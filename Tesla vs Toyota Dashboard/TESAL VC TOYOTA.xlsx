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tables/table3.xml" ContentType="application/vnd.openxmlformats-officedocument.spreadsheetml.table+xml"/>
  <Override PartName="/xl/queryTables/queryTable3.xml" ContentType="application/vnd.openxmlformats-officedocument.spreadsheetml.query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C:\Users\1234\Desktop\DA RESOURSES\PROJECTS\"/>
    </mc:Choice>
  </mc:AlternateContent>
  <xr:revisionPtr revIDLastSave="0" documentId="13_ncr:1_{2741EF88-C057-4137-A08F-F5AAB49D87FE}" xr6:coauthVersionLast="47" xr6:coauthVersionMax="47" xr10:uidLastSave="{00000000-0000-0000-0000-000000000000}"/>
  <bookViews>
    <workbookView xWindow="-120" yWindow="-120" windowWidth="20730" windowHeight="11160" firstSheet="3" activeTab="6" xr2:uid="{E127326C-E3A7-4B11-AC17-E82903130D38}"/>
  </bookViews>
  <sheets>
    <sheet name="Sheet1 (2)" sheetId="2" r:id="rId1"/>
    <sheet name="Sheet1 (3)" sheetId="3" r:id="rId2"/>
    <sheet name="Sheet8" sheetId="15" r:id="rId3"/>
    <sheet name="Sheet3" sheetId="6" r:id="rId4"/>
    <sheet name="CarData" sheetId="4" r:id="rId5"/>
    <sheet name="dashboard" sheetId="5" r:id="rId6"/>
    <sheet name="MAI DASBOARD" sheetId="7" r:id="rId7"/>
  </sheets>
  <definedNames>
    <definedName name="_xlcn.WorksheetConnection_Book1car_data" hidden="1">car_data[]</definedName>
    <definedName name="_xlcn.WorksheetConnection_CarDataAA" hidden="1">CarData!$A:$A</definedName>
    <definedName name="ExternalData_1" localSheetId="0" hidden="1">'Sheet1 (2)'!$A$1:$J$1101</definedName>
    <definedName name="ExternalData_2" localSheetId="1" hidden="1">'Sheet1 (3)'!$A$1:$J$1101</definedName>
    <definedName name="ExternalData_3" localSheetId="4" hidden="1">CarData!$A$1:$J$2201</definedName>
    <definedName name="Slicer_Company">#N/A</definedName>
    <definedName name="Slicer_Date__Month">#N/A</definedName>
    <definedName name="Slicer_Model">#N/A</definedName>
    <definedName name="Slicer_Region">#N/A</definedName>
    <definedName name="topregion">dashboard!$B$8</definedName>
    <definedName name="totalprofit">dashboard!$B$7</definedName>
    <definedName name="Totalrevenue">dashboard!$B$5</definedName>
    <definedName name="totalunitsold">dashboard!$B$6</definedName>
  </definedNames>
  <calcPr calcId="191029"/>
  <pivotCaches>
    <pivotCache cacheId="0" r:id="rId8"/>
    <pivotCache cacheId="12" r:id="rId9"/>
    <pivotCache cacheId="15" r:id="rId10"/>
  </pivotCaches>
  <extLst>
    <ext xmlns:x14="http://schemas.microsoft.com/office/spreadsheetml/2009/9/main" uri="{876F7934-8845-4945-9796-88D515C7AA90}">
      <x14:pivotCaches>
        <pivotCache cacheId="3" r:id="rId11"/>
      </x14:pivotCaches>
    </ext>
    <ext xmlns:x14="http://schemas.microsoft.com/office/spreadsheetml/2009/9/main" uri="{BBE1A952-AA13-448e-AADC-164F8A28A991}">
      <x14:slicerCaches>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CarData!$A:$A"/>
          <x15:modelTable id="car_data" name="car_data" connection="WorksheetConnection_Book1!car_data"/>
        </x15:modelTables>
        <x15:extLst>
          <ext xmlns:x16="http://schemas.microsoft.com/office/spreadsheetml/2014/11/main" uri="{9835A34E-60A6-4A7C-AAB8-D5F71C897F49}">
            <x16:modelTimeGroupings>
              <x16:modelTimeGrouping tableName="Range" columnName="Date" columnId="Date">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2" i="4" l="1"/>
  <c r="K3" i="4"/>
  <c r="K4" i="4"/>
  <c r="K5" i="4"/>
  <c r="K6" i="4"/>
  <c r="K7" i="4"/>
  <c r="K8" i="4"/>
  <c r="K9" i="4"/>
  <c r="K10" i="4"/>
  <c r="K11" i="4"/>
  <c r="K12" i="4"/>
  <c r="K13" i="4"/>
  <c r="K14" i="4"/>
  <c r="K15" i="4"/>
  <c r="K16" i="4"/>
  <c r="K17" i="4"/>
  <c r="K18" i="4"/>
  <c r="K19" i="4"/>
  <c r="K20" i="4"/>
  <c r="K21" i="4"/>
  <c r="K22" i="4"/>
  <c r="K23" i="4"/>
  <c r="K24" i="4"/>
  <c r="K25" i="4"/>
  <c r="K26" i="4"/>
  <c r="K27" i="4"/>
  <c r="K28" i="4"/>
  <c r="K29" i="4"/>
  <c r="K30" i="4"/>
  <c r="K31" i="4"/>
  <c r="K32" i="4"/>
  <c r="K33" i="4"/>
  <c r="K34" i="4"/>
  <c r="K35" i="4"/>
  <c r="K36" i="4"/>
  <c r="K37" i="4"/>
  <c r="K38" i="4"/>
  <c r="K39" i="4"/>
  <c r="K40" i="4"/>
  <c r="K41" i="4"/>
  <c r="K42" i="4"/>
  <c r="K43" i="4"/>
  <c r="K44" i="4"/>
  <c r="K45" i="4"/>
  <c r="K46" i="4"/>
  <c r="K47" i="4"/>
  <c r="K48" i="4"/>
  <c r="K49" i="4"/>
  <c r="K50" i="4"/>
  <c r="K51" i="4"/>
  <c r="K52" i="4"/>
  <c r="K53" i="4"/>
  <c r="K54" i="4"/>
  <c r="K55" i="4"/>
  <c r="K56" i="4"/>
  <c r="K57" i="4"/>
  <c r="K58" i="4"/>
  <c r="K59" i="4"/>
  <c r="K60" i="4"/>
  <c r="K61" i="4"/>
  <c r="K62" i="4"/>
  <c r="K63" i="4"/>
  <c r="K64" i="4"/>
  <c r="K65" i="4"/>
  <c r="K66" i="4"/>
  <c r="K67" i="4"/>
  <c r="K68" i="4"/>
  <c r="K69" i="4"/>
  <c r="K70" i="4"/>
  <c r="K71" i="4"/>
  <c r="K72" i="4"/>
  <c r="K73" i="4"/>
  <c r="K74" i="4"/>
  <c r="K75" i="4"/>
  <c r="K76" i="4"/>
  <c r="K77" i="4"/>
  <c r="K78" i="4"/>
  <c r="K79" i="4"/>
  <c r="K80" i="4"/>
  <c r="K81" i="4"/>
  <c r="K82" i="4"/>
  <c r="K83" i="4"/>
  <c r="K84" i="4"/>
  <c r="K85" i="4"/>
  <c r="K86" i="4"/>
  <c r="K87" i="4"/>
  <c r="K88" i="4"/>
  <c r="K89" i="4"/>
  <c r="K90" i="4"/>
  <c r="K91" i="4"/>
  <c r="K92" i="4"/>
  <c r="K93" i="4"/>
  <c r="K94" i="4"/>
  <c r="K95" i="4"/>
  <c r="K96" i="4"/>
  <c r="K97" i="4"/>
  <c r="K98" i="4"/>
  <c r="K99" i="4"/>
  <c r="K100" i="4"/>
  <c r="K101" i="4"/>
  <c r="K102" i="4"/>
  <c r="K103" i="4"/>
  <c r="K104" i="4"/>
  <c r="K105" i="4"/>
  <c r="K106" i="4"/>
  <c r="K107" i="4"/>
  <c r="K108" i="4"/>
  <c r="K109" i="4"/>
  <c r="K110" i="4"/>
  <c r="K111" i="4"/>
  <c r="K112" i="4"/>
  <c r="K113" i="4"/>
  <c r="K114" i="4"/>
  <c r="K115" i="4"/>
  <c r="K116" i="4"/>
  <c r="K117" i="4"/>
  <c r="K118" i="4"/>
  <c r="K119" i="4"/>
  <c r="K120" i="4"/>
  <c r="K121" i="4"/>
  <c r="K122" i="4"/>
  <c r="K123" i="4"/>
  <c r="K124" i="4"/>
  <c r="K125" i="4"/>
  <c r="K126" i="4"/>
  <c r="K127" i="4"/>
  <c r="K128" i="4"/>
  <c r="K129" i="4"/>
  <c r="K130" i="4"/>
  <c r="K131" i="4"/>
  <c r="K132" i="4"/>
  <c r="K133" i="4"/>
  <c r="K134" i="4"/>
  <c r="K135" i="4"/>
  <c r="K136" i="4"/>
  <c r="K137" i="4"/>
  <c r="K138" i="4"/>
  <c r="K139" i="4"/>
  <c r="K140" i="4"/>
  <c r="K141" i="4"/>
  <c r="K142" i="4"/>
  <c r="K143" i="4"/>
  <c r="K144" i="4"/>
  <c r="K145" i="4"/>
  <c r="K146" i="4"/>
  <c r="K147" i="4"/>
  <c r="K148" i="4"/>
  <c r="K149" i="4"/>
  <c r="K150" i="4"/>
  <c r="K151" i="4"/>
  <c r="K152" i="4"/>
  <c r="K153" i="4"/>
  <c r="K154" i="4"/>
  <c r="K155" i="4"/>
  <c r="K156" i="4"/>
  <c r="K157" i="4"/>
  <c r="K158" i="4"/>
  <c r="K159" i="4"/>
  <c r="K160" i="4"/>
  <c r="K161" i="4"/>
  <c r="K162" i="4"/>
  <c r="K163" i="4"/>
  <c r="K164" i="4"/>
  <c r="K165" i="4"/>
  <c r="K166" i="4"/>
  <c r="K167" i="4"/>
  <c r="K168" i="4"/>
  <c r="K169" i="4"/>
  <c r="K170" i="4"/>
  <c r="K171" i="4"/>
  <c r="K172" i="4"/>
  <c r="K173" i="4"/>
  <c r="K174" i="4"/>
  <c r="K175" i="4"/>
  <c r="K176" i="4"/>
  <c r="K177" i="4"/>
  <c r="K178" i="4"/>
  <c r="K179" i="4"/>
  <c r="K180" i="4"/>
  <c r="K181" i="4"/>
  <c r="K182" i="4"/>
  <c r="K183" i="4"/>
  <c r="K184" i="4"/>
  <c r="K185" i="4"/>
  <c r="K186" i="4"/>
  <c r="K187" i="4"/>
  <c r="K188" i="4"/>
  <c r="K189" i="4"/>
  <c r="K190" i="4"/>
  <c r="K191" i="4"/>
  <c r="K192" i="4"/>
  <c r="K193" i="4"/>
  <c r="K194" i="4"/>
  <c r="K195" i="4"/>
  <c r="K196" i="4"/>
  <c r="K197" i="4"/>
  <c r="K198" i="4"/>
  <c r="K199" i="4"/>
  <c r="K200" i="4"/>
  <c r="K201" i="4"/>
  <c r="K202" i="4"/>
  <c r="K203" i="4"/>
  <c r="K204" i="4"/>
  <c r="K205" i="4"/>
  <c r="K206" i="4"/>
  <c r="K207" i="4"/>
  <c r="K208" i="4"/>
  <c r="K209" i="4"/>
  <c r="K210" i="4"/>
  <c r="K211" i="4"/>
  <c r="K212" i="4"/>
  <c r="K213" i="4"/>
  <c r="K214" i="4"/>
  <c r="K215" i="4"/>
  <c r="K216" i="4"/>
  <c r="K217" i="4"/>
  <c r="K218" i="4"/>
  <c r="K219" i="4"/>
  <c r="K220" i="4"/>
  <c r="K221" i="4"/>
  <c r="K222" i="4"/>
  <c r="K223" i="4"/>
  <c r="K224" i="4"/>
  <c r="K225" i="4"/>
  <c r="K226" i="4"/>
  <c r="K227" i="4"/>
  <c r="K228" i="4"/>
  <c r="K229" i="4"/>
  <c r="K230" i="4"/>
  <c r="K231" i="4"/>
  <c r="K232" i="4"/>
  <c r="K233" i="4"/>
  <c r="K234" i="4"/>
  <c r="K235" i="4"/>
  <c r="K236" i="4"/>
  <c r="K237" i="4"/>
  <c r="K238" i="4"/>
  <c r="K239" i="4"/>
  <c r="K240" i="4"/>
  <c r="K241" i="4"/>
  <c r="K242" i="4"/>
  <c r="K243" i="4"/>
  <c r="K244" i="4"/>
  <c r="K245" i="4"/>
  <c r="K246" i="4"/>
  <c r="K247" i="4"/>
  <c r="K248" i="4"/>
  <c r="K249" i="4"/>
  <c r="K250" i="4"/>
  <c r="K251" i="4"/>
  <c r="K252" i="4"/>
  <c r="K253" i="4"/>
  <c r="K254" i="4"/>
  <c r="K255" i="4"/>
  <c r="K256" i="4"/>
  <c r="K257" i="4"/>
  <c r="K258" i="4"/>
  <c r="K259" i="4"/>
  <c r="K260" i="4"/>
  <c r="K261" i="4"/>
  <c r="K262" i="4"/>
  <c r="K263" i="4"/>
  <c r="K264" i="4"/>
  <c r="K265" i="4"/>
  <c r="K266" i="4"/>
  <c r="K267" i="4"/>
  <c r="K268" i="4"/>
  <c r="K269" i="4"/>
  <c r="K270" i="4"/>
  <c r="K271" i="4"/>
  <c r="K272" i="4"/>
  <c r="K273" i="4"/>
  <c r="K274" i="4"/>
  <c r="K275" i="4"/>
  <c r="K276" i="4"/>
  <c r="K277" i="4"/>
  <c r="K278" i="4"/>
  <c r="K279" i="4"/>
  <c r="K280" i="4"/>
  <c r="K281" i="4"/>
  <c r="K282" i="4"/>
  <c r="K283" i="4"/>
  <c r="K284" i="4"/>
  <c r="K285" i="4"/>
  <c r="K286" i="4"/>
  <c r="K287" i="4"/>
  <c r="K288" i="4"/>
  <c r="K289" i="4"/>
  <c r="K290" i="4"/>
  <c r="K291" i="4"/>
  <c r="K292" i="4"/>
  <c r="K293" i="4"/>
  <c r="K294" i="4"/>
  <c r="K295" i="4"/>
  <c r="K296" i="4"/>
  <c r="K297" i="4"/>
  <c r="K298" i="4"/>
  <c r="K299" i="4"/>
  <c r="K300" i="4"/>
  <c r="K301" i="4"/>
  <c r="K302" i="4"/>
  <c r="K303" i="4"/>
  <c r="K304" i="4"/>
  <c r="K305" i="4"/>
  <c r="K306" i="4"/>
  <c r="K307" i="4"/>
  <c r="K308" i="4"/>
  <c r="K309" i="4"/>
  <c r="K310" i="4"/>
  <c r="K311" i="4"/>
  <c r="K312" i="4"/>
  <c r="K313" i="4"/>
  <c r="K314" i="4"/>
  <c r="K315" i="4"/>
  <c r="K316" i="4"/>
  <c r="K317" i="4"/>
  <c r="K318" i="4"/>
  <c r="K319" i="4"/>
  <c r="K320" i="4"/>
  <c r="K321" i="4"/>
  <c r="K322" i="4"/>
  <c r="K323" i="4"/>
  <c r="K324" i="4"/>
  <c r="K325" i="4"/>
  <c r="K326" i="4"/>
  <c r="K327" i="4"/>
  <c r="K328" i="4"/>
  <c r="K329" i="4"/>
  <c r="K330" i="4"/>
  <c r="K331" i="4"/>
  <c r="K332" i="4"/>
  <c r="K333" i="4"/>
  <c r="K334" i="4"/>
  <c r="K335" i="4"/>
  <c r="K336" i="4"/>
  <c r="K337" i="4"/>
  <c r="K338" i="4"/>
  <c r="K339" i="4"/>
  <c r="K340" i="4"/>
  <c r="K341" i="4"/>
  <c r="K342" i="4"/>
  <c r="K343" i="4"/>
  <c r="K344" i="4"/>
  <c r="K345" i="4"/>
  <c r="K346" i="4"/>
  <c r="K347" i="4"/>
  <c r="K348" i="4"/>
  <c r="K349" i="4"/>
  <c r="K350" i="4"/>
  <c r="K351" i="4"/>
  <c r="K352" i="4"/>
  <c r="K353" i="4"/>
  <c r="K354" i="4"/>
  <c r="K355" i="4"/>
  <c r="K356" i="4"/>
  <c r="K357" i="4"/>
  <c r="K358" i="4"/>
  <c r="K359" i="4"/>
  <c r="K360" i="4"/>
  <c r="K361" i="4"/>
  <c r="K362" i="4"/>
  <c r="K363" i="4"/>
  <c r="K364" i="4"/>
  <c r="K365" i="4"/>
  <c r="K366" i="4"/>
  <c r="K367" i="4"/>
  <c r="K368" i="4"/>
  <c r="K369" i="4"/>
  <c r="K370" i="4"/>
  <c r="K371" i="4"/>
  <c r="K372" i="4"/>
  <c r="K373" i="4"/>
  <c r="K374" i="4"/>
  <c r="K375" i="4"/>
  <c r="K376" i="4"/>
  <c r="K377" i="4"/>
  <c r="K378" i="4"/>
  <c r="K379" i="4"/>
  <c r="K380" i="4"/>
  <c r="K381" i="4"/>
  <c r="K382" i="4"/>
  <c r="K383" i="4"/>
  <c r="K384" i="4"/>
  <c r="K385" i="4"/>
  <c r="K386" i="4"/>
  <c r="K387" i="4"/>
  <c r="K388" i="4"/>
  <c r="K389" i="4"/>
  <c r="K390" i="4"/>
  <c r="K391" i="4"/>
  <c r="K392" i="4"/>
  <c r="K393" i="4"/>
  <c r="K394" i="4"/>
  <c r="K395" i="4"/>
  <c r="K396" i="4"/>
  <c r="K397" i="4"/>
  <c r="K398" i="4"/>
  <c r="K399" i="4"/>
  <c r="K400" i="4"/>
  <c r="K401" i="4"/>
  <c r="K402" i="4"/>
  <c r="K403" i="4"/>
  <c r="K404" i="4"/>
  <c r="K405" i="4"/>
  <c r="K406" i="4"/>
  <c r="K407" i="4"/>
  <c r="K408" i="4"/>
  <c r="K409" i="4"/>
  <c r="K410" i="4"/>
  <c r="K411" i="4"/>
  <c r="K412" i="4"/>
  <c r="K413" i="4"/>
  <c r="K414" i="4"/>
  <c r="K415" i="4"/>
  <c r="K416" i="4"/>
  <c r="K417" i="4"/>
  <c r="K418" i="4"/>
  <c r="K419" i="4"/>
  <c r="K420" i="4"/>
  <c r="K421" i="4"/>
  <c r="K422" i="4"/>
  <c r="K423" i="4"/>
  <c r="K424" i="4"/>
  <c r="K425" i="4"/>
  <c r="K426" i="4"/>
  <c r="K427" i="4"/>
  <c r="K428" i="4"/>
  <c r="K429" i="4"/>
  <c r="K430" i="4"/>
  <c r="K431" i="4"/>
  <c r="K432" i="4"/>
  <c r="K433" i="4"/>
  <c r="K434" i="4"/>
  <c r="K435" i="4"/>
  <c r="K436" i="4"/>
  <c r="K437" i="4"/>
  <c r="K438" i="4"/>
  <c r="K439" i="4"/>
  <c r="K440" i="4"/>
  <c r="K441" i="4"/>
  <c r="K442" i="4"/>
  <c r="K443" i="4"/>
  <c r="K444" i="4"/>
  <c r="K445" i="4"/>
  <c r="K446" i="4"/>
  <c r="K447" i="4"/>
  <c r="K448" i="4"/>
  <c r="K449" i="4"/>
  <c r="K450" i="4"/>
  <c r="K451" i="4"/>
  <c r="K452" i="4"/>
  <c r="K453" i="4"/>
  <c r="K454" i="4"/>
  <c r="K455" i="4"/>
  <c r="K456" i="4"/>
  <c r="K457" i="4"/>
  <c r="K458" i="4"/>
  <c r="K459" i="4"/>
  <c r="K460" i="4"/>
  <c r="K461" i="4"/>
  <c r="K462" i="4"/>
  <c r="K463" i="4"/>
  <c r="K464" i="4"/>
  <c r="K465" i="4"/>
  <c r="K466" i="4"/>
  <c r="K467" i="4"/>
  <c r="K468" i="4"/>
  <c r="K469" i="4"/>
  <c r="K470" i="4"/>
  <c r="K471" i="4"/>
  <c r="K472" i="4"/>
  <c r="K473" i="4"/>
  <c r="K474" i="4"/>
  <c r="K475" i="4"/>
  <c r="K476" i="4"/>
  <c r="K477" i="4"/>
  <c r="K478" i="4"/>
  <c r="K479" i="4"/>
  <c r="K480" i="4"/>
  <c r="K481" i="4"/>
  <c r="K482" i="4"/>
  <c r="K483" i="4"/>
  <c r="K484" i="4"/>
  <c r="K485" i="4"/>
  <c r="K486" i="4"/>
  <c r="K487" i="4"/>
  <c r="K488" i="4"/>
  <c r="K489" i="4"/>
  <c r="K490" i="4"/>
  <c r="K491" i="4"/>
  <c r="K492" i="4"/>
  <c r="K493" i="4"/>
  <c r="K494" i="4"/>
  <c r="K495" i="4"/>
  <c r="K496" i="4"/>
  <c r="K497" i="4"/>
  <c r="K498" i="4"/>
  <c r="K499" i="4"/>
  <c r="K500" i="4"/>
  <c r="K501" i="4"/>
  <c r="K502" i="4"/>
  <c r="K503" i="4"/>
  <c r="K504" i="4"/>
  <c r="K505" i="4"/>
  <c r="K506" i="4"/>
  <c r="K507" i="4"/>
  <c r="K508" i="4"/>
  <c r="K509" i="4"/>
  <c r="K510" i="4"/>
  <c r="K511" i="4"/>
  <c r="K512" i="4"/>
  <c r="K513" i="4"/>
  <c r="K514" i="4"/>
  <c r="K515" i="4"/>
  <c r="K516" i="4"/>
  <c r="K517" i="4"/>
  <c r="K518" i="4"/>
  <c r="K519" i="4"/>
  <c r="K520" i="4"/>
  <c r="K521" i="4"/>
  <c r="K522" i="4"/>
  <c r="K523" i="4"/>
  <c r="K524" i="4"/>
  <c r="K525" i="4"/>
  <c r="K526" i="4"/>
  <c r="K527" i="4"/>
  <c r="K528" i="4"/>
  <c r="K529" i="4"/>
  <c r="K530" i="4"/>
  <c r="K531" i="4"/>
  <c r="K532" i="4"/>
  <c r="K533" i="4"/>
  <c r="K534" i="4"/>
  <c r="K535" i="4"/>
  <c r="K536" i="4"/>
  <c r="K537" i="4"/>
  <c r="K538" i="4"/>
  <c r="K539" i="4"/>
  <c r="K540" i="4"/>
  <c r="K541" i="4"/>
  <c r="K542" i="4"/>
  <c r="K543" i="4"/>
  <c r="K544" i="4"/>
  <c r="K545" i="4"/>
  <c r="K546" i="4"/>
  <c r="K547" i="4"/>
  <c r="K548" i="4"/>
  <c r="K549" i="4"/>
  <c r="K550" i="4"/>
  <c r="K551" i="4"/>
  <c r="K552" i="4"/>
  <c r="K553" i="4"/>
  <c r="K554" i="4"/>
  <c r="K555" i="4"/>
  <c r="K556" i="4"/>
  <c r="K557" i="4"/>
  <c r="K558" i="4"/>
  <c r="K559" i="4"/>
  <c r="K560" i="4"/>
  <c r="K561" i="4"/>
  <c r="K562" i="4"/>
  <c r="K563" i="4"/>
  <c r="K564" i="4"/>
  <c r="K565" i="4"/>
  <c r="K566" i="4"/>
  <c r="K567" i="4"/>
  <c r="K568" i="4"/>
  <c r="K569" i="4"/>
  <c r="K570" i="4"/>
  <c r="K571" i="4"/>
  <c r="K572" i="4"/>
  <c r="K573" i="4"/>
  <c r="K574" i="4"/>
  <c r="K575" i="4"/>
  <c r="K576" i="4"/>
  <c r="K577" i="4"/>
  <c r="K578" i="4"/>
  <c r="K579" i="4"/>
  <c r="K580" i="4"/>
  <c r="K581" i="4"/>
  <c r="K582" i="4"/>
  <c r="K583" i="4"/>
  <c r="K584" i="4"/>
  <c r="K585" i="4"/>
  <c r="K586" i="4"/>
  <c r="K587" i="4"/>
  <c r="K588" i="4"/>
  <c r="K589" i="4"/>
  <c r="K590" i="4"/>
  <c r="K591" i="4"/>
  <c r="K592" i="4"/>
  <c r="K593" i="4"/>
  <c r="K594" i="4"/>
  <c r="K595" i="4"/>
  <c r="K596" i="4"/>
  <c r="K597" i="4"/>
  <c r="K598" i="4"/>
  <c r="K599" i="4"/>
  <c r="K600" i="4"/>
  <c r="K601" i="4"/>
  <c r="K602" i="4"/>
  <c r="K603" i="4"/>
  <c r="K604" i="4"/>
  <c r="K605" i="4"/>
  <c r="K606" i="4"/>
  <c r="K607" i="4"/>
  <c r="K608" i="4"/>
  <c r="K609" i="4"/>
  <c r="K610" i="4"/>
  <c r="K611" i="4"/>
  <c r="K612" i="4"/>
  <c r="K613" i="4"/>
  <c r="K614" i="4"/>
  <c r="K615" i="4"/>
  <c r="K616" i="4"/>
  <c r="K617" i="4"/>
  <c r="K618" i="4"/>
  <c r="K619" i="4"/>
  <c r="K620" i="4"/>
  <c r="K621" i="4"/>
  <c r="K622" i="4"/>
  <c r="K623" i="4"/>
  <c r="K624" i="4"/>
  <c r="K625" i="4"/>
  <c r="K626" i="4"/>
  <c r="K627" i="4"/>
  <c r="K628" i="4"/>
  <c r="K629" i="4"/>
  <c r="K630" i="4"/>
  <c r="K631" i="4"/>
  <c r="K632" i="4"/>
  <c r="K633" i="4"/>
  <c r="K634" i="4"/>
  <c r="K635" i="4"/>
  <c r="K636" i="4"/>
  <c r="K637" i="4"/>
  <c r="K638" i="4"/>
  <c r="K639" i="4"/>
  <c r="K640" i="4"/>
  <c r="K641" i="4"/>
  <c r="K642" i="4"/>
  <c r="K643" i="4"/>
  <c r="K644" i="4"/>
  <c r="K645" i="4"/>
  <c r="K646" i="4"/>
  <c r="K647" i="4"/>
  <c r="K648" i="4"/>
  <c r="K649" i="4"/>
  <c r="K650" i="4"/>
  <c r="K651" i="4"/>
  <c r="K652" i="4"/>
  <c r="K653" i="4"/>
  <c r="K654" i="4"/>
  <c r="K655" i="4"/>
  <c r="K656" i="4"/>
  <c r="K657" i="4"/>
  <c r="K658" i="4"/>
  <c r="K659" i="4"/>
  <c r="K660" i="4"/>
  <c r="K661" i="4"/>
  <c r="K662" i="4"/>
  <c r="K663" i="4"/>
  <c r="K664" i="4"/>
  <c r="K665" i="4"/>
  <c r="K666" i="4"/>
  <c r="K667" i="4"/>
  <c r="K668" i="4"/>
  <c r="K669" i="4"/>
  <c r="K670" i="4"/>
  <c r="K671" i="4"/>
  <c r="K672" i="4"/>
  <c r="K673" i="4"/>
  <c r="K674" i="4"/>
  <c r="K675" i="4"/>
  <c r="K676" i="4"/>
  <c r="K677" i="4"/>
  <c r="K678" i="4"/>
  <c r="K679" i="4"/>
  <c r="K680" i="4"/>
  <c r="K681" i="4"/>
  <c r="K682" i="4"/>
  <c r="K683" i="4"/>
  <c r="K684" i="4"/>
  <c r="K685" i="4"/>
  <c r="K686" i="4"/>
  <c r="K687" i="4"/>
  <c r="K688" i="4"/>
  <c r="K689" i="4"/>
  <c r="K690" i="4"/>
  <c r="K691" i="4"/>
  <c r="K692" i="4"/>
  <c r="K693" i="4"/>
  <c r="K694" i="4"/>
  <c r="K695" i="4"/>
  <c r="K696" i="4"/>
  <c r="K697" i="4"/>
  <c r="K698" i="4"/>
  <c r="K699" i="4"/>
  <c r="K700" i="4"/>
  <c r="K701" i="4"/>
  <c r="K702" i="4"/>
  <c r="K703" i="4"/>
  <c r="K704" i="4"/>
  <c r="K705" i="4"/>
  <c r="K706" i="4"/>
  <c r="K707" i="4"/>
  <c r="K708" i="4"/>
  <c r="K709" i="4"/>
  <c r="K710" i="4"/>
  <c r="K711" i="4"/>
  <c r="K712" i="4"/>
  <c r="K713" i="4"/>
  <c r="K714" i="4"/>
  <c r="K715" i="4"/>
  <c r="K716" i="4"/>
  <c r="K717" i="4"/>
  <c r="K718" i="4"/>
  <c r="K719" i="4"/>
  <c r="K720" i="4"/>
  <c r="K721" i="4"/>
  <c r="K722" i="4"/>
  <c r="K723" i="4"/>
  <c r="K724" i="4"/>
  <c r="K725" i="4"/>
  <c r="K726" i="4"/>
  <c r="K727" i="4"/>
  <c r="K728" i="4"/>
  <c r="K729" i="4"/>
  <c r="K730" i="4"/>
  <c r="K731" i="4"/>
  <c r="K732" i="4"/>
  <c r="K733" i="4"/>
  <c r="K734" i="4"/>
  <c r="K735" i="4"/>
  <c r="K736" i="4"/>
  <c r="K737" i="4"/>
  <c r="K738" i="4"/>
  <c r="K739" i="4"/>
  <c r="K740" i="4"/>
  <c r="K741" i="4"/>
  <c r="K742" i="4"/>
  <c r="K743" i="4"/>
  <c r="K744" i="4"/>
  <c r="K745" i="4"/>
  <c r="K746" i="4"/>
  <c r="K747" i="4"/>
  <c r="K748" i="4"/>
  <c r="K749" i="4"/>
  <c r="K750" i="4"/>
  <c r="K751" i="4"/>
  <c r="K752" i="4"/>
  <c r="K753" i="4"/>
  <c r="K754" i="4"/>
  <c r="K755" i="4"/>
  <c r="K756" i="4"/>
  <c r="K757" i="4"/>
  <c r="K758" i="4"/>
  <c r="K759" i="4"/>
  <c r="K760" i="4"/>
  <c r="K761" i="4"/>
  <c r="K762" i="4"/>
  <c r="K763" i="4"/>
  <c r="K764" i="4"/>
  <c r="K765" i="4"/>
  <c r="K766" i="4"/>
  <c r="K767" i="4"/>
  <c r="K768" i="4"/>
  <c r="K769" i="4"/>
  <c r="K770" i="4"/>
  <c r="K771" i="4"/>
  <c r="K772" i="4"/>
  <c r="K773" i="4"/>
  <c r="K774" i="4"/>
  <c r="K775" i="4"/>
  <c r="K776" i="4"/>
  <c r="K777" i="4"/>
  <c r="K778" i="4"/>
  <c r="K779" i="4"/>
  <c r="K780" i="4"/>
  <c r="K781" i="4"/>
  <c r="K782" i="4"/>
  <c r="K783" i="4"/>
  <c r="K784" i="4"/>
  <c r="K785" i="4"/>
  <c r="K786" i="4"/>
  <c r="K787" i="4"/>
  <c r="K788" i="4"/>
  <c r="K789" i="4"/>
  <c r="K790" i="4"/>
  <c r="K791" i="4"/>
  <c r="K792" i="4"/>
  <c r="K793" i="4"/>
  <c r="K794" i="4"/>
  <c r="K795" i="4"/>
  <c r="K796" i="4"/>
  <c r="K797" i="4"/>
  <c r="K798" i="4"/>
  <c r="K799" i="4"/>
  <c r="K800" i="4"/>
  <c r="K801" i="4"/>
  <c r="K802" i="4"/>
  <c r="K803" i="4"/>
  <c r="K804" i="4"/>
  <c r="K805" i="4"/>
  <c r="K806" i="4"/>
  <c r="K807" i="4"/>
  <c r="K808" i="4"/>
  <c r="K809" i="4"/>
  <c r="K810" i="4"/>
  <c r="K811" i="4"/>
  <c r="K812" i="4"/>
  <c r="K813" i="4"/>
  <c r="K814" i="4"/>
  <c r="K815" i="4"/>
  <c r="K816" i="4"/>
  <c r="K817" i="4"/>
  <c r="K818" i="4"/>
  <c r="K819" i="4"/>
  <c r="K820" i="4"/>
  <c r="K821" i="4"/>
  <c r="K822" i="4"/>
  <c r="K823" i="4"/>
  <c r="K824" i="4"/>
  <c r="K825" i="4"/>
  <c r="K826" i="4"/>
  <c r="K827" i="4"/>
  <c r="K828" i="4"/>
  <c r="K829" i="4"/>
  <c r="K830" i="4"/>
  <c r="K831" i="4"/>
  <c r="K832" i="4"/>
  <c r="K833" i="4"/>
  <c r="K834" i="4"/>
  <c r="K835" i="4"/>
  <c r="K836" i="4"/>
  <c r="K837" i="4"/>
  <c r="K838" i="4"/>
  <c r="K839" i="4"/>
  <c r="K840" i="4"/>
  <c r="K841" i="4"/>
  <c r="K842" i="4"/>
  <c r="K843" i="4"/>
  <c r="K844" i="4"/>
  <c r="K845" i="4"/>
  <c r="K846" i="4"/>
  <c r="K847" i="4"/>
  <c r="K848" i="4"/>
  <c r="K849" i="4"/>
  <c r="K850" i="4"/>
  <c r="K851" i="4"/>
  <c r="K852" i="4"/>
  <c r="K853" i="4"/>
  <c r="K854" i="4"/>
  <c r="K855" i="4"/>
  <c r="K856" i="4"/>
  <c r="K857" i="4"/>
  <c r="K858" i="4"/>
  <c r="K859" i="4"/>
  <c r="K860" i="4"/>
  <c r="K861" i="4"/>
  <c r="K862" i="4"/>
  <c r="K863" i="4"/>
  <c r="K864" i="4"/>
  <c r="K865" i="4"/>
  <c r="K866" i="4"/>
  <c r="K867" i="4"/>
  <c r="K868" i="4"/>
  <c r="K869" i="4"/>
  <c r="K870" i="4"/>
  <c r="K871" i="4"/>
  <c r="K872" i="4"/>
  <c r="K873" i="4"/>
  <c r="K874" i="4"/>
  <c r="K875" i="4"/>
  <c r="K876" i="4"/>
  <c r="K877" i="4"/>
  <c r="K878" i="4"/>
  <c r="K879" i="4"/>
  <c r="K880" i="4"/>
  <c r="K881" i="4"/>
  <c r="K882" i="4"/>
  <c r="K883" i="4"/>
  <c r="K884" i="4"/>
  <c r="K885" i="4"/>
  <c r="K886" i="4"/>
  <c r="K887" i="4"/>
  <c r="K888" i="4"/>
  <c r="K889" i="4"/>
  <c r="K890" i="4"/>
  <c r="K891" i="4"/>
  <c r="K892" i="4"/>
  <c r="K893" i="4"/>
  <c r="K894" i="4"/>
  <c r="K895" i="4"/>
  <c r="K896" i="4"/>
  <c r="K897" i="4"/>
  <c r="K898" i="4"/>
  <c r="K899" i="4"/>
  <c r="K900" i="4"/>
  <c r="K901" i="4"/>
  <c r="K902" i="4"/>
  <c r="K903" i="4"/>
  <c r="K904" i="4"/>
  <c r="K905" i="4"/>
  <c r="K906" i="4"/>
  <c r="K907" i="4"/>
  <c r="K908" i="4"/>
  <c r="K909" i="4"/>
  <c r="K910" i="4"/>
  <c r="K911" i="4"/>
  <c r="K912" i="4"/>
  <c r="K913" i="4"/>
  <c r="K914" i="4"/>
  <c r="K915" i="4"/>
  <c r="K916" i="4"/>
  <c r="K917" i="4"/>
  <c r="K918" i="4"/>
  <c r="K919" i="4"/>
  <c r="K920" i="4"/>
  <c r="K921" i="4"/>
  <c r="K922" i="4"/>
  <c r="K923" i="4"/>
  <c r="K924" i="4"/>
  <c r="K925" i="4"/>
  <c r="K926" i="4"/>
  <c r="K927" i="4"/>
  <c r="K928" i="4"/>
  <c r="K929" i="4"/>
  <c r="K930" i="4"/>
  <c r="K931" i="4"/>
  <c r="K932" i="4"/>
  <c r="K933" i="4"/>
  <c r="K934" i="4"/>
  <c r="K935" i="4"/>
  <c r="K936" i="4"/>
  <c r="K937" i="4"/>
  <c r="K938" i="4"/>
  <c r="K939" i="4"/>
  <c r="K940" i="4"/>
  <c r="K941" i="4"/>
  <c r="K942" i="4"/>
  <c r="K943" i="4"/>
  <c r="K944" i="4"/>
  <c r="K945" i="4"/>
  <c r="K946" i="4"/>
  <c r="K947" i="4"/>
  <c r="K948" i="4"/>
  <c r="K949" i="4"/>
  <c r="K950" i="4"/>
  <c r="K951" i="4"/>
  <c r="K952" i="4"/>
  <c r="K953" i="4"/>
  <c r="K954" i="4"/>
  <c r="K955" i="4"/>
  <c r="K956" i="4"/>
  <c r="K957" i="4"/>
  <c r="K958" i="4"/>
  <c r="K959" i="4"/>
  <c r="K960" i="4"/>
  <c r="K961" i="4"/>
  <c r="K962" i="4"/>
  <c r="K963" i="4"/>
  <c r="K964" i="4"/>
  <c r="K965" i="4"/>
  <c r="K966" i="4"/>
  <c r="K967" i="4"/>
  <c r="K968" i="4"/>
  <c r="K969" i="4"/>
  <c r="K970" i="4"/>
  <c r="K971" i="4"/>
  <c r="K972" i="4"/>
  <c r="K973" i="4"/>
  <c r="K974" i="4"/>
  <c r="K975" i="4"/>
  <c r="K976" i="4"/>
  <c r="K977" i="4"/>
  <c r="K978" i="4"/>
  <c r="K979" i="4"/>
  <c r="K980" i="4"/>
  <c r="K981" i="4"/>
  <c r="K982" i="4"/>
  <c r="K983" i="4"/>
  <c r="K984" i="4"/>
  <c r="K985" i="4"/>
  <c r="K986" i="4"/>
  <c r="K987" i="4"/>
  <c r="K988" i="4"/>
  <c r="K989" i="4"/>
  <c r="K990" i="4"/>
  <c r="K991" i="4"/>
  <c r="K992" i="4"/>
  <c r="K993" i="4"/>
  <c r="K994" i="4"/>
  <c r="K995" i="4"/>
  <c r="K996" i="4"/>
  <c r="K997" i="4"/>
  <c r="K998" i="4"/>
  <c r="K999" i="4"/>
  <c r="K1000" i="4"/>
  <c r="K1001" i="4"/>
  <c r="K1002" i="4"/>
  <c r="K1003" i="4"/>
  <c r="K1004" i="4"/>
  <c r="K1005" i="4"/>
  <c r="K1006" i="4"/>
  <c r="K1007" i="4"/>
  <c r="K1008" i="4"/>
  <c r="K1009" i="4"/>
  <c r="K1010" i="4"/>
  <c r="K1011" i="4"/>
  <c r="K1012" i="4"/>
  <c r="K1013" i="4"/>
  <c r="K1014" i="4"/>
  <c r="K1015" i="4"/>
  <c r="K1016" i="4"/>
  <c r="K1017" i="4"/>
  <c r="K1018" i="4"/>
  <c r="K1019" i="4"/>
  <c r="K1020" i="4"/>
  <c r="K1021" i="4"/>
  <c r="K1022" i="4"/>
  <c r="K1023" i="4"/>
  <c r="K1024" i="4"/>
  <c r="K1025" i="4"/>
  <c r="K1026" i="4"/>
  <c r="K1027" i="4"/>
  <c r="K1028" i="4"/>
  <c r="K1029" i="4"/>
  <c r="K1030" i="4"/>
  <c r="K1031" i="4"/>
  <c r="K1032" i="4"/>
  <c r="K1033" i="4"/>
  <c r="K1034" i="4"/>
  <c r="K1035" i="4"/>
  <c r="K1036" i="4"/>
  <c r="K1037" i="4"/>
  <c r="K1038" i="4"/>
  <c r="K1039" i="4"/>
  <c r="K1040" i="4"/>
  <c r="K1041" i="4"/>
  <c r="K1042" i="4"/>
  <c r="K1043" i="4"/>
  <c r="K1044" i="4"/>
  <c r="K1045" i="4"/>
  <c r="K1046" i="4"/>
  <c r="K1047" i="4"/>
  <c r="K1048" i="4"/>
  <c r="K1049" i="4"/>
  <c r="K1050" i="4"/>
  <c r="K1051" i="4"/>
  <c r="K1052" i="4"/>
  <c r="K1053" i="4"/>
  <c r="K1054" i="4"/>
  <c r="K1055" i="4"/>
  <c r="K1056" i="4"/>
  <c r="K1057" i="4"/>
  <c r="K1058" i="4"/>
  <c r="K1059" i="4"/>
  <c r="K1060" i="4"/>
  <c r="K1061" i="4"/>
  <c r="K1062" i="4"/>
  <c r="K1063" i="4"/>
  <c r="K1064" i="4"/>
  <c r="K1065" i="4"/>
  <c r="K1066" i="4"/>
  <c r="K1067" i="4"/>
  <c r="K1068" i="4"/>
  <c r="K1069" i="4"/>
  <c r="K1070" i="4"/>
  <c r="K1071" i="4"/>
  <c r="K1072" i="4"/>
  <c r="K1073" i="4"/>
  <c r="K1074" i="4"/>
  <c r="K1075" i="4"/>
  <c r="K1076" i="4"/>
  <c r="K1077" i="4"/>
  <c r="K1078" i="4"/>
  <c r="K1079" i="4"/>
  <c r="K1080" i="4"/>
  <c r="K1081" i="4"/>
  <c r="K1082" i="4"/>
  <c r="K1083" i="4"/>
  <c r="K1084" i="4"/>
  <c r="K1085" i="4"/>
  <c r="K1086" i="4"/>
  <c r="K1087" i="4"/>
  <c r="K1088" i="4"/>
  <c r="K1089" i="4"/>
  <c r="K1090" i="4"/>
  <c r="K1091" i="4"/>
  <c r="K1092" i="4"/>
  <c r="K1093" i="4"/>
  <c r="K1094" i="4"/>
  <c r="K1095" i="4"/>
  <c r="K1096" i="4"/>
  <c r="K1097" i="4"/>
  <c r="K1098" i="4"/>
  <c r="K1099" i="4"/>
  <c r="K1100" i="4"/>
  <c r="K1101" i="4"/>
  <c r="K1102" i="4"/>
  <c r="K1103" i="4"/>
  <c r="K1104" i="4"/>
  <c r="K1105" i="4"/>
  <c r="K1106" i="4"/>
  <c r="K1107" i="4"/>
  <c r="K1108" i="4"/>
  <c r="K1109" i="4"/>
  <c r="K1110" i="4"/>
  <c r="K1111" i="4"/>
  <c r="K1112" i="4"/>
  <c r="K1113" i="4"/>
  <c r="K1114" i="4"/>
  <c r="K1115" i="4"/>
  <c r="K1116" i="4"/>
  <c r="K1117" i="4"/>
  <c r="K1118" i="4"/>
  <c r="K1119" i="4"/>
  <c r="K1120" i="4"/>
  <c r="K1121" i="4"/>
  <c r="K1122" i="4"/>
  <c r="K1123" i="4"/>
  <c r="K1124" i="4"/>
  <c r="K1125" i="4"/>
  <c r="K1126" i="4"/>
  <c r="K1127" i="4"/>
  <c r="K1128" i="4"/>
  <c r="K1129" i="4"/>
  <c r="K1130" i="4"/>
  <c r="K1131" i="4"/>
  <c r="K1132" i="4"/>
  <c r="K1133" i="4"/>
  <c r="K1134" i="4"/>
  <c r="K1135" i="4"/>
  <c r="K1136" i="4"/>
  <c r="K1137" i="4"/>
  <c r="K1138" i="4"/>
  <c r="K1139" i="4"/>
  <c r="K1140" i="4"/>
  <c r="K1141" i="4"/>
  <c r="K1142" i="4"/>
  <c r="K1143" i="4"/>
  <c r="K1144" i="4"/>
  <c r="K1145" i="4"/>
  <c r="K1146" i="4"/>
  <c r="K1147" i="4"/>
  <c r="K1148" i="4"/>
  <c r="K1149" i="4"/>
  <c r="K1150" i="4"/>
  <c r="K1151" i="4"/>
  <c r="K1152" i="4"/>
  <c r="K1153" i="4"/>
  <c r="K1154" i="4"/>
  <c r="K1155" i="4"/>
  <c r="K1156" i="4"/>
  <c r="K1157" i="4"/>
  <c r="K1158" i="4"/>
  <c r="K1159" i="4"/>
  <c r="K1160" i="4"/>
  <c r="K1161" i="4"/>
  <c r="K1162" i="4"/>
  <c r="K1163" i="4"/>
  <c r="K1164" i="4"/>
  <c r="K1165" i="4"/>
  <c r="K1166" i="4"/>
  <c r="K1167" i="4"/>
  <c r="K1168" i="4"/>
  <c r="K1169" i="4"/>
  <c r="K1170" i="4"/>
  <c r="K1171" i="4"/>
  <c r="K1172" i="4"/>
  <c r="K1173" i="4"/>
  <c r="K1174" i="4"/>
  <c r="K1175" i="4"/>
  <c r="K1176" i="4"/>
  <c r="K1177" i="4"/>
  <c r="K1178" i="4"/>
  <c r="K1179" i="4"/>
  <c r="K1180" i="4"/>
  <c r="K1181" i="4"/>
  <c r="K1182" i="4"/>
  <c r="K1183" i="4"/>
  <c r="K1184" i="4"/>
  <c r="K1185" i="4"/>
  <c r="K1186" i="4"/>
  <c r="K1187" i="4"/>
  <c r="K1188" i="4"/>
  <c r="K1189" i="4"/>
  <c r="K1190" i="4"/>
  <c r="K1191" i="4"/>
  <c r="K1192" i="4"/>
  <c r="K1193" i="4"/>
  <c r="K1194" i="4"/>
  <c r="K1195" i="4"/>
  <c r="K1196" i="4"/>
  <c r="K1197" i="4"/>
  <c r="K1198" i="4"/>
  <c r="K1199" i="4"/>
  <c r="K1200" i="4"/>
  <c r="K1201" i="4"/>
  <c r="K1202" i="4"/>
  <c r="K1203" i="4"/>
  <c r="K1204" i="4"/>
  <c r="K1205" i="4"/>
  <c r="K1206" i="4"/>
  <c r="K1207" i="4"/>
  <c r="K1208" i="4"/>
  <c r="K1209" i="4"/>
  <c r="K1210" i="4"/>
  <c r="K1211" i="4"/>
  <c r="K1212" i="4"/>
  <c r="K1213" i="4"/>
  <c r="K1214" i="4"/>
  <c r="K1215" i="4"/>
  <c r="K1216" i="4"/>
  <c r="K1217" i="4"/>
  <c r="K1218" i="4"/>
  <c r="K1219" i="4"/>
  <c r="K1220" i="4"/>
  <c r="K1221" i="4"/>
  <c r="K1222" i="4"/>
  <c r="K1223" i="4"/>
  <c r="K1224" i="4"/>
  <c r="K1225" i="4"/>
  <c r="K1226" i="4"/>
  <c r="K1227" i="4"/>
  <c r="K1228" i="4"/>
  <c r="K1229" i="4"/>
  <c r="K1230" i="4"/>
  <c r="K1231" i="4"/>
  <c r="K1232" i="4"/>
  <c r="K1233" i="4"/>
  <c r="K1234" i="4"/>
  <c r="K1235" i="4"/>
  <c r="K1236" i="4"/>
  <c r="K1237" i="4"/>
  <c r="K1238" i="4"/>
  <c r="K1239" i="4"/>
  <c r="K1240" i="4"/>
  <c r="K1241" i="4"/>
  <c r="K1242" i="4"/>
  <c r="K1243" i="4"/>
  <c r="K1244" i="4"/>
  <c r="K1245" i="4"/>
  <c r="K1246" i="4"/>
  <c r="K1247" i="4"/>
  <c r="K1248" i="4"/>
  <c r="K1249" i="4"/>
  <c r="K1250" i="4"/>
  <c r="K1251" i="4"/>
  <c r="K1252" i="4"/>
  <c r="K1253" i="4"/>
  <c r="K1254" i="4"/>
  <c r="K1255" i="4"/>
  <c r="K1256" i="4"/>
  <c r="K1257" i="4"/>
  <c r="K1258" i="4"/>
  <c r="K1259" i="4"/>
  <c r="K1260" i="4"/>
  <c r="K1261" i="4"/>
  <c r="K1262" i="4"/>
  <c r="K1263" i="4"/>
  <c r="K1264" i="4"/>
  <c r="K1265" i="4"/>
  <c r="K1266" i="4"/>
  <c r="K1267" i="4"/>
  <c r="K1268" i="4"/>
  <c r="K1269" i="4"/>
  <c r="K1270" i="4"/>
  <c r="K1271" i="4"/>
  <c r="K1272" i="4"/>
  <c r="K1273" i="4"/>
  <c r="K1274" i="4"/>
  <c r="K1275" i="4"/>
  <c r="K1276" i="4"/>
  <c r="K1277" i="4"/>
  <c r="K1278" i="4"/>
  <c r="K1279" i="4"/>
  <c r="K1280" i="4"/>
  <c r="K1281" i="4"/>
  <c r="K1282" i="4"/>
  <c r="K1283" i="4"/>
  <c r="K1284" i="4"/>
  <c r="K1285" i="4"/>
  <c r="K1286" i="4"/>
  <c r="K1287" i="4"/>
  <c r="K1288" i="4"/>
  <c r="K1289" i="4"/>
  <c r="K1290" i="4"/>
  <c r="K1291" i="4"/>
  <c r="K1292" i="4"/>
  <c r="K1293" i="4"/>
  <c r="K1294" i="4"/>
  <c r="K1295" i="4"/>
  <c r="K1296" i="4"/>
  <c r="K1297" i="4"/>
  <c r="K1298" i="4"/>
  <c r="K1299" i="4"/>
  <c r="K1300" i="4"/>
  <c r="K1301" i="4"/>
  <c r="K1302" i="4"/>
  <c r="K1303" i="4"/>
  <c r="K1304" i="4"/>
  <c r="K1305" i="4"/>
  <c r="K1306" i="4"/>
  <c r="K1307" i="4"/>
  <c r="K1308" i="4"/>
  <c r="K1309" i="4"/>
  <c r="K1310" i="4"/>
  <c r="K1311" i="4"/>
  <c r="K1312" i="4"/>
  <c r="K1313" i="4"/>
  <c r="K1314" i="4"/>
  <c r="K1315" i="4"/>
  <c r="K1316" i="4"/>
  <c r="K1317" i="4"/>
  <c r="K1318" i="4"/>
  <c r="K1319" i="4"/>
  <c r="K1320" i="4"/>
  <c r="K1321" i="4"/>
  <c r="K1322" i="4"/>
  <c r="K1323" i="4"/>
  <c r="K1324" i="4"/>
  <c r="K1325" i="4"/>
  <c r="K1326" i="4"/>
  <c r="K1327" i="4"/>
  <c r="K1328" i="4"/>
  <c r="K1329" i="4"/>
  <c r="K1330" i="4"/>
  <c r="K1331" i="4"/>
  <c r="K1332" i="4"/>
  <c r="K1333" i="4"/>
  <c r="K1334" i="4"/>
  <c r="K1335" i="4"/>
  <c r="K1336" i="4"/>
  <c r="K1337" i="4"/>
  <c r="K1338" i="4"/>
  <c r="K1339" i="4"/>
  <c r="K1340" i="4"/>
  <c r="K1341" i="4"/>
  <c r="K1342" i="4"/>
  <c r="K1343" i="4"/>
  <c r="K1344" i="4"/>
  <c r="K1345" i="4"/>
  <c r="K1346" i="4"/>
  <c r="K1347" i="4"/>
  <c r="K1348" i="4"/>
  <c r="K1349" i="4"/>
  <c r="K1350" i="4"/>
  <c r="K1351" i="4"/>
  <c r="K1352" i="4"/>
  <c r="K1353" i="4"/>
  <c r="K1354" i="4"/>
  <c r="K1355" i="4"/>
  <c r="K1356" i="4"/>
  <c r="K1357" i="4"/>
  <c r="K1358" i="4"/>
  <c r="K1359" i="4"/>
  <c r="K1360" i="4"/>
  <c r="K1361" i="4"/>
  <c r="K1362" i="4"/>
  <c r="K1363" i="4"/>
  <c r="K1364" i="4"/>
  <c r="K1365" i="4"/>
  <c r="K1366" i="4"/>
  <c r="K1367" i="4"/>
  <c r="K1368" i="4"/>
  <c r="K1369" i="4"/>
  <c r="K1370" i="4"/>
  <c r="K1371" i="4"/>
  <c r="K1372" i="4"/>
  <c r="K1373" i="4"/>
  <c r="K1374" i="4"/>
  <c r="K1375" i="4"/>
  <c r="K1376" i="4"/>
  <c r="K1377" i="4"/>
  <c r="K1378" i="4"/>
  <c r="K1379" i="4"/>
  <c r="K1380" i="4"/>
  <c r="K1381" i="4"/>
  <c r="K1382" i="4"/>
  <c r="K1383" i="4"/>
  <c r="K1384" i="4"/>
  <c r="K1385" i="4"/>
  <c r="K1386" i="4"/>
  <c r="K1387" i="4"/>
  <c r="K1388" i="4"/>
  <c r="K1389" i="4"/>
  <c r="K1390" i="4"/>
  <c r="K1391" i="4"/>
  <c r="K1392" i="4"/>
  <c r="K1393" i="4"/>
  <c r="K1394" i="4"/>
  <c r="K1395" i="4"/>
  <c r="K1396" i="4"/>
  <c r="K1397" i="4"/>
  <c r="K1398" i="4"/>
  <c r="K1399" i="4"/>
  <c r="K1400" i="4"/>
  <c r="K1401" i="4"/>
  <c r="K1402" i="4"/>
  <c r="K1403" i="4"/>
  <c r="K1404" i="4"/>
  <c r="K1405" i="4"/>
  <c r="K1406" i="4"/>
  <c r="K1407" i="4"/>
  <c r="K1408" i="4"/>
  <c r="K1409" i="4"/>
  <c r="K1410" i="4"/>
  <c r="K1411" i="4"/>
  <c r="K1412" i="4"/>
  <c r="K1413" i="4"/>
  <c r="K1414" i="4"/>
  <c r="K1415" i="4"/>
  <c r="K1416" i="4"/>
  <c r="K1417" i="4"/>
  <c r="K1418" i="4"/>
  <c r="K1419" i="4"/>
  <c r="K1420" i="4"/>
  <c r="K1421" i="4"/>
  <c r="K1422" i="4"/>
  <c r="K1423" i="4"/>
  <c r="K1424" i="4"/>
  <c r="K1425" i="4"/>
  <c r="K1426" i="4"/>
  <c r="K1427" i="4"/>
  <c r="K1428" i="4"/>
  <c r="K1429" i="4"/>
  <c r="K1430" i="4"/>
  <c r="K1431" i="4"/>
  <c r="K1432" i="4"/>
  <c r="K1433" i="4"/>
  <c r="K1434" i="4"/>
  <c r="K1435" i="4"/>
  <c r="K1436" i="4"/>
  <c r="K1437" i="4"/>
  <c r="K1438" i="4"/>
  <c r="K1439" i="4"/>
  <c r="K1440" i="4"/>
  <c r="K1441" i="4"/>
  <c r="K1442" i="4"/>
  <c r="K1443" i="4"/>
  <c r="K1444" i="4"/>
  <c r="K1445" i="4"/>
  <c r="K1446" i="4"/>
  <c r="K1447" i="4"/>
  <c r="K1448" i="4"/>
  <c r="K1449" i="4"/>
  <c r="K1450" i="4"/>
  <c r="K1451" i="4"/>
  <c r="K1452" i="4"/>
  <c r="K1453" i="4"/>
  <c r="K1454" i="4"/>
  <c r="K1455" i="4"/>
  <c r="K1456" i="4"/>
  <c r="K1457" i="4"/>
  <c r="K1458" i="4"/>
  <c r="K1459" i="4"/>
  <c r="K1460" i="4"/>
  <c r="K1461" i="4"/>
  <c r="K1462" i="4"/>
  <c r="K1463" i="4"/>
  <c r="K1464" i="4"/>
  <c r="K1465" i="4"/>
  <c r="K1466" i="4"/>
  <c r="K1467" i="4"/>
  <c r="K1468" i="4"/>
  <c r="K1469" i="4"/>
  <c r="K1470" i="4"/>
  <c r="K1471" i="4"/>
  <c r="K1472" i="4"/>
  <c r="K1473" i="4"/>
  <c r="K1474" i="4"/>
  <c r="K1475" i="4"/>
  <c r="K1476" i="4"/>
  <c r="K1477" i="4"/>
  <c r="K1478" i="4"/>
  <c r="K1479" i="4"/>
  <c r="K1480" i="4"/>
  <c r="K1481" i="4"/>
  <c r="K1482" i="4"/>
  <c r="K1483" i="4"/>
  <c r="K1484" i="4"/>
  <c r="K1485" i="4"/>
  <c r="K1486" i="4"/>
  <c r="K1487" i="4"/>
  <c r="K1488" i="4"/>
  <c r="K1489" i="4"/>
  <c r="K1490" i="4"/>
  <c r="K1491" i="4"/>
  <c r="K1492" i="4"/>
  <c r="K1493" i="4"/>
  <c r="K1494" i="4"/>
  <c r="K1495" i="4"/>
  <c r="K1496" i="4"/>
  <c r="K1497" i="4"/>
  <c r="K1498" i="4"/>
  <c r="K1499" i="4"/>
  <c r="K1500" i="4"/>
  <c r="K1501" i="4"/>
  <c r="K1502" i="4"/>
  <c r="K1503" i="4"/>
  <c r="K1504" i="4"/>
  <c r="K1505" i="4"/>
  <c r="K1506" i="4"/>
  <c r="K1507" i="4"/>
  <c r="K1508" i="4"/>
  <c r="K1509" i="4"/>
  <c r="K1510" i="4"/>
  <c r="K1511" i="4"/>
  <c r="K1512" i="4"/>
  <c r="K1513" i="4"/>
  <c r="K1514" i="4"/>
  <c r="K1515" i="4"/>
  <c r="K1516" i="4"/>
  <c r="K1517" i="4"/>
  <c r="K1518" i="4"/>
  <c r="K1519" i="4"/>
  <c r="K1520" i="4"/>
  <c r="K1521" i="4"/>
  <c r="K1522" i="4"/>
  <c r="K1523" i="4"/>
  <c r="K1524" i="4"/>
  <c r="K1525" i="4"/>
  <c r="K1526" i="4"/>
  <c r="K1527" i="4"/>
  <c r="K1528" i="4"/>
  <c r="K1529" i="4"/>
  <c r="K1530" i="4"/>
  <c r="K1531" i="4"/>
  <c r="K1532" i="4"/>
  <c r="K1533" i="4"/>
  <c r="K1534" i="4"/>
  <c r="K1535" i="4"/>
  <c r="K1536" i="4"/>
  <c r="K1537" i="4"/>
  <c r="K1538" i="4"/>
  <c r="K1539" i="4"/>
  <c r="K1540" i="4"/>
  <c r="K1541" i="4"/>
  <c r="K1542" i="4"/>
  <c r="K1543" i="4"/>
  <c r="K1544" i="4"/>
  <c r="K1545" i="4"/>
  <c r="K1546" i="4"/>
  <c r="K1547" i="4"/>
  <c r="K1548" i="4"/>
  <c r="K1549" i="4"/>
  <c r="K1550" i="4"/>
  <c r="K1551" i="4"/>
  <c r="K1552" i="4"/>
  <c r="K1553" i="4"/>
  <c r="K1554" i="4"/>
  <c r="K1555" i="4"/>
  <c r="K1556" i="4"/>
  <c r="K1557" i="4"/>
  <c r="K1558" i="4"/>
  <c r="K1559" i="4"/>
  <c r="K1560" i="4"/>
  <c r="K1561" i="4"/>
  <c r="K1562" i="4"/>
  <c r="K1563" i="4"/>
  <c r="K1564" i="4"/>
  <c r="K1565" i="4"/>
  <c r="K1566" i="4"/>
  <c r="K1567" i="4"/>
  <c r="K1568" i="4"/>
  <c r="K1569" i="4"/>
  <c r="K1570" i="4"/>
  <c r="K1571" i="4"/>
  <c r="K1572" i="4"/>
  <c r="K1573" i="4"/>
  <c r="K1574" i="4"/>
  <c r="K1575" i="4"/>
  <c r="K1576" i="4"/>
  <c r="K1577" i="4"/>
  <c r="K1578" i="4"/>
  <c r="K1579" i="4"/>
  <c r="K1580" i="4"/>
  <c r="K1581" i="4"/>
  <c r="K1582" i="4"/>
  <c r="K1583" i="4"/>
  <c r="K1584" i="4"/>
  <c r="K1585" i="4"/>
  <c r="K1586" i="4"/>
  <c r="K1587" i="4"/>
  <c r="K1588" i="4"/>
  <c r="K1589" i="4"/>
  <c r="K1590" i="4"/>
  <c r="K1591" i="4"/>
  <c r="K1592" i="4"/>
  <c r="K1593" i="4"/>
  <c r="K1594" i="4"/>
  <c r="K1595" i="4"/>
  <c r="K1596" i="4"/>
  <c r="K1597" i="4"/>
  <c r="K1598" i="4"/>
  <c r="K1599" i="4"/>
  <c r="K1600" i="4"/>
  <c r="K1601" i="4"/>
  <c r="K1602" i="4"/>
  <c r="K1603" i="4"/>
  <c r="K1604" i="4"/>
  <c r="K1605" i="4"/>
  <c r="K1606" i="4"/>
  <c r="K1607" i="4"/>
  <c r="K1608" i="4"/>
  <c r="K1609" i="4"/>
  <c r="K1610" i="4"/>
  <c r="K1611" i="4"/>
  <c r="K1612" i="4"/>
  <c r="K1613" i="4"/>
  <c r="K1614" i="4"/>
  <c r="K1615" i="4"/>
  <c r="K1616" i="4"/>
  <c r="K1617" i="4"/>
  <c r="K1618" i="4"/>
  <c r="K1619" i="4"/>
  <c r="K1620" i="4"/>
  <c r="K1621" i="4"/>
  <c r="K1622" i="4"/>
  <c r="K1623" i="4"/>
  <c r="K1624" i="4"/>
  <c r="K1625" i="4"/>
  <c r="K1626" i="4"/>
  <c r="K1627" i="4"/>
  <c r="K1628" i="4"/>
  <c r="K1629" i="4"/>
  <c r="K1630" i="4"/>
  <c r="K1631" i="4"/>
  <c r="K1632" i="4"/>
  <c r="K1633" i="4"/>
  <c r="K1634" i="4"/>
  <c r="K1635" i="4"/>
  <c r="K1636" i="4"/>
  <c r="K1637" i="4"/>
  <c r="K1638" i="4"/>
  <c r="K1639" i="4"/>
  <c r="K1640" i="4"/>
  <c r="K1641" i="4"/>
  <c r="K1642" i="4"/>
  <c r="K1643" i="4"/>
  <c r="K1644" i="4"/>
  <c r="K1645" i="4"/>
  <c r="K1646" i="4"/>
  <c r="K1647" i="4"/>
  <c r="K1648" i="4"/>
  <c r="K1649" i="4"/>
  <c r="K1650" i="4"/>
  <c r="K1651" i="4"/>
  <c r="K1652" i="4"/>
  <c r="K1653" i="4"/>
  <c r="K1654" i="4"/>
  <c r="K1655" i="4"/>
  <c r="K1656" i="4"/>
  <c r="K1657" i="4"/>
  <c r="K1658" i="4"/>
  <c r="K1659" i="4"/>
  <c r="K1660" i="4"/>
  <c r="K1661" i="4"/>
  <c r="K1662" i="4"/>
  <c r="K1663" i="4"/>
  <c r="K1664" i="4"/>
  <c r="K1665" i="4"/>
  <c r="K1666" i="4"/>
  <c r="K1667" i="4"/>
  <c r="K1668" i="4"/>
  <c r="K1669" i="4"/>
  <c r="K1670" i="4"/>
  <c r="K1671" i="4"/>
  <c r="K1672" i="4"/>
  <c r="K1673" i="4"/>
  <c r="K1674" i="4"/>
  <c r="K1675" i="4"/>
  <c r="K1676" i="4"/>
  <c r="K1677" i="4"/>
  <c r="K1678" i="4"/>
  <c r="K1679" i="4"/>
  <c r="K1680" i="4"/>
  <c r="K1681" i="4"/>
  <c r="K1682" i="4"/>
  <c r="K1683" i="4"/>
  <c r="K1684" i="4"/>
  <c r="K1685" i="4"/>
  <c r="K1686" i="4"/>
  <c r="K1687" i="4"/>
  <c r="K1688" i="4"/>
  <c r="K1689" i="4"/>
  <c r="K1690" i="4"/>
  <c r="K1691" i="4"/>
  <c r="K1692" i="4"/>
  <c r="K1693" i="4"/>
  <c r="K1694" i="4"/>
  <c r="K1695" i="4"/>
  <c r="K1696" i="4"/>
  <c r="K1697" i="4"/>
  <c r="K1698" i="4"/>
  <c r="K1699" i="4"/>
  <c r="K1700" i="4"/>
  <c r="K1701" i="4"/>
  <c r="K1702" i="4"/>
  <c r="K1703" i="4"/>
  <c r="K1704" i="4"/>
  <c r="K1705" i="4"/>
  <c r="K1706" i="4"/>
  <c r="K1707" i="4"/>
  <c r="K1708" i="4"/>
  <c r="K1709" i="4"/>
  <c r="K1710" i="4"/>
  <c r="K1711" i="4"/>
  <c r="K1712" i="4"/>
  <c r="K1713" i="4"/>
  <c r="K1714" i="4"/>
  <c r="K1715" i="4"/>
  <c r="K1716" i="4"/>
  <c r="K1717" i="4"/>
  <c r="K1718" i="4"/>
  <c r="K1719" i="4"/>
  <c r="K1720" i="4"/>
  <c r="K1721" i="4"/>
  <c r="K1722" i="4"/>
  <c r="K1723" i="4"/>
  <c r="K1724" i="4"/>
  <c r="K1725" i="4"/>
  <c r="K1726" i="4"/>
  <c r="K1727" i="4"/>
  <c r="K1728" i="4"/>
  <c r="K1729" i="4"/>
  <c r="K1730" i="4"/>
  <c r="K1731" i="4"/>
  <c r="K1732" i="4"/>
  <c r="K1733" i="4"/>
  <c r="K1734" i="4"/>
  <c r="K1735" i="4"/>
  <c r="K1736" i="4"/>
  <c r="K1737" i="4"/>
  <c r="K1738" i="4"/>
  <c r="K1739" i="4"/>
  <c r="K1740" i="4"/>
  <c r="K1741" i="4"/>
  <c r="K1742" i="4"/>
  <c r="K1743" i="4"/>
  <c r="K1744" i="4"/>
  <c r="K1745" i="4"/>
  <c r="K1746" i="4"/>
  <c r="K1747" i="4"/>
  <c r="K1748" i="4"/>
  <c r="K1749" i="4"/>
  <c r="K1750" i="4"/>
  <c r="K1751" i="4"/>
  <c r="K1752" i="4"/>
  <c r="K1753" i="4"/>
  <c r="K1754" i="4"/>
  <c r="K1755" i="4"/>
  <c r="K1756" i="4"/>
  <c r="K1757" i="4"/>
  <c r="K1758" i="4"/>
  <c r="K1759" i="4"/>
  <c r="K1760" i="4"/>
  <c r="K1761" i="4"/>
  <c r="K1762" i="4"/>
  <c r="K1763" i="4"/>
  <c r="K1764" i="4"/>
  <c r="K1765" i="4"/>
  <c r="K1766" i="4"/>
  <c r="K1767" i="4"/>
  <c r="K1768" i="4"/>
  <c r="K1769" i="4"/>
  <c r="K1770" i="4"/>
  <c r="K1771" i="4"/>
  <c r="K1772" i="4"/>
  <c r="K1773" i="4"/>
  <c r="K1774" i="4"/>
  <c r="K1775" i="4"/>
  <c r="K1776" i="4"/>
  <c r="K1777" i="4"/>
  <c r="K1778" i="4"/>
  <c r="K1779" i="4"/>
  <c r="K1780" i="4"/>
  <c r="K1781" i="4"/>
  <c r="K1782" i="4"/>
  <c r="K1783" i="4"/>
  <c r="K1784" i="4"/>
  <c r="K1785" i="4"/>
  <c r="K1786" i="4"/>
  <c r="K1787" i="4"/>
  <c r="K1788" i="4"/>
  <c r="K1789" i="4"/>
  <c r="K1790" i="4"/>
  <c r="K1791" i="4"/>
  <c r="K1792" i="4"/>
  <c r="K1793" i="4"/>
  <c r="K1794" i="4"/>
  <c r="K1795" i="4"/>
  <c r="K1796" i="4"/>
  <c r="K1797" i="4"/>
  <c r="K1798" i="4"/>
  <c r="K1799" i="4"/>
  <c r="K1800" i="4"/>
  <c r="K1801" i="4"/>
  <c r="K1802" i="4"/>
  <c r="K1803" i="4"/>
  <c r="K1804" i="4"/>
  <c r="K1805" i="4"/>
  <c r="K1806" i="4"/>
  <c r="K1807" i="4"/>
  <c r="K1808" i="4"/>
  <c r="K1809" i="4"/>
  <c r="K1810" i="4"/>
  <c r="K1811" i="4"/>
  <c r="K1812" i="4"/>
  <c r="K1813" i="4"/>
  <c r="K1814" i="4"/>
  <c r="K1815" i="4"/>
  <c r="K1816" i="4"/>
  <c r="K1817" i="4"/>
  <c r="K1818" i="4"/>
  <c r="K1819" i="4"/>
  <c r="K1820" i="4"/>
  <c r="K1821" i="4"/>
  <c r="K1822" i="4"/>
  <c r="K1823" i="4"/>
  <c r="K1824" i="4"/>
  <c r="K1825" i="4"/>
  <c r="K1826" i="4"/>
  <c r="K1827" i="4"/>
  <c r="K1828" i="4"/>
  <c r="K1829" i="4"/>
  <c r="K1830" i="4"/>
  <c r="K1831" i="4"/>
  <c r="K1832" i="4"/>
  <c r="K1833" i="4"/>
  <c r="K1834" i="4"/>
  <c r="K1835" i="4"/>
  <c r="K1836" i="4"/>
  <c r="K1837" i="4"/>
  <c r="K1838" i="4"/>
  <c r="K1839" i="4"/>
  <c r="K1840" i="4"/>
  <c r="K1841" i="4"/>
  <c r="K1842" i="4"/>
  <c r="K1843" i="4"/>
  <c r="K1844" i="4"/>
  <c r="K1845" i="4"/>
  <c r="K1846" i="4"/>
  <c r="K1847" i="4"/>
  <c r="K1848" i="4"/>
  <c r="K1849" i="4"/>
  <c r="K1850" i="4"/>
  <c r="K1851" i="4"/>
  <c r="K1852" i="4"/>
  <c r="K1853" i="4"/>
  <c r="K1854" i="4"/>
  <c r="K1855" i="4"/>
  <c r="K1856" i="4"/>
  <c r="K1857" i="4"/>
  <c r="K1858" i="4"/>
  <c r="K1859" i="4"/>
  <c r="K1860" i="4"/>
  <c r="K1861" i="4"/>
  <c r="K1862" i="4"/>
  <c r="K1863" i="4"/>
  <c r="K1864" i="4"/>
  <c r="K1865" i="4"/>
  <c r="K1866" i="4"/>
  <c r="K1867" i="4"/>
  <c r="K1868" i="4"/>
  <c r="K1869" i="4"/>
  <c r="K1870" i="4"/>
  <c r="K1871" i="4"/>
  <c r="K1872" i="4"/>
  <c r="K1873" i="4"/>
  <c r="K1874" i="4"/>
  <c r="K1875" i="4"/>
  <c r="K1876" i="4"/>
  <c r="K1877" i="4"/>
  <c r="K1878" i="4"/>
  <c r="K1879" i="4"/>
  <c r="K1880" i="4"/>
  <c r="K1881" i="4"/>
  <c r="K1882" i="4"/>
  <c r="K1883" i="4"/>
  <c r="K1884" i="4"/>
  <c r="K1885" i="4"/>
  <c r="K1886" i="4"/>
  <c r="K1887" i="4"/>
  <c r="K1888" i="4"/>
  <c r="K1889" i="4"/>
  <c r="K1890" i="4"/>
  <c r="K1891" i="4"/>
  <c r="K1892" i="4"/>
  <c r="K1893" i="4"/>
  <c r="K1894" i="4"/>
  <c r="K1895" i="4"/>
  <c r="K1896" i="4"/>
  <c r="K1897" i="4"/>
  <c r="K1898" i="4"/>
  <c r="K1899" i="4"/>
  <c r="K1900" i="4"/>
  <c r="K1901" i="4"/>
  <c r="K1902" i="4"/>
  <c r="K1903" i="4"/>
  <c r="K1904" i="4"/>
  <c r="K1905" i="4"/>
  <c r="K1906" i="4"/>
  <c r="K1907" i="4"/>
  <c r="K1908" i="4"/>
  <c r="K1909" i="4"/>
  <c r="K1910" i="4"/>
  <c r="K1911" i="4"/>
  <c r="K1912" i="4"/>
  <c r="K1913" i="4"/>
  <c r="K1914" i="4"/>
  <c r="K1915" i="4"/>
  <c r="K1916" i="4"/>
  <c r="K1917" i="4"/>
  <c r="K1918" i="4"/>
  <c r="K1919" i="4"/>
  <c r="K1920" i="4"/>
  <c r="K1921" i="4"/>
  <c r="K1922" i="4"/>
  <c r="K1923" i="4"/>
  <c r="K1924" i="4"/>
  <c r="K1925" i="4"/>
  <c r="K1926" i="4"/>
  <c r="K1927" i="4"/>
  <c r="K1928" i="4"/>
  <c r="K1929" i="4"/>
  <c r="K1930" i="4"/>
  <c r="K1931" i="4"/>
  <c r="K1932" i="4"/>
  <c r="K1933" i="4"/>
  <c r="K1934" i="4"/>
  <c r="K1935" i="4"/>
  <c r="K1936" i="4"/>
  <c r="K1937" i="4"/>
  <c r="K1938" i="4"/>
  <c r="K1939" i="4"/>
  <c r="K1940" i="4"/>
  <c r="K1941" i="4"/>
  <c r="K1942" i="4"/>
  <c r="K1943" i="4"/>
  <c r="K1944" i="4"/>
  <c r="K1945" i="4"/>
  <c r="K1946" i="4"/>
  <c r="K1947" i="4"/>
  <c r="K1948" i="4"/>
  <c r="K1949" i="4"/>
  <c r="K1950" i="4"/>
  <c r="K1951" i="4"/>
  <c r="K1952" i="4"/>
  <c r="K1953" i="4"/>
  <c r="K1954" i="4"/>
  <c r="K1955" i="4"/>
  <c r="K1956" i="4"/>
  <c r="K1957" i="4"/>
  <c r="K1958" i="4"/>
  <c r="K1959" i="4"/>
  <c r="K1960" i="4"/>
  <c r="K1961" i="4"/>
  <c r="K1962" i="4"/>
  <c r="K1963" i="4"/>
  <c r="K1964" i="4"/>
  <c r="K1965" i="4"/>
  <c r="K1966" i="4"/>
  <c r="K1967" i="4"/>
  <c r="K1968" i="4"/>
  <c r="K1969" i="4"/>
  <c r="K1970" i="4"/>
  <c r="K1971" i="4"/>
  <c r="K1972" i="4"/>
  <c r="K1973" i="4"/>
  <c r="K1974" i="4"/>
  <c r="K1975" i="4"/>
  <c r="K1976" i="4"/>
  <c r="K1977" i="4"/>
  <c r="K1978" i="4"/>
  <c r="K1979" i="4"/>
  <c r="K1980" i="4"/>
  <c r="K1981" i="4"/>
  <c r="K1982" i="4"/>
  <c r="K1983" i="4"/>
  <c r="K1984" i="4"/>
  <c r="K1985" i="4"/>
  <c r="K1986" i="4"/>
  <c r="K1987" i="4"/>
  <c r="K1988" i="4"/>
  <c r="K1989" i="4"/>
  <c r="K1990" i="4"/>
  <c r="K1991" i="4"/>
  <c r="K1992" i="4"/>
  <c r="K1993" i="4"/>
  <c r="K1994" i="4"/>
  <c r="K1995" i="4"/>
  <c r="K1996" i="4"/>
  <c r="K1997" i="4"/>
  <c r="K1998" i="4"/>
  <c r="K1999" i="4"/>
  <c r="K2000" i="4"/>
  <c r="K2001" i="4"/>
  <c r="K2002" i="4"/>
  <c r="K2003" i="4"/>
  <c r="K2004" i="4"/>
  <c r="K2005" i="4"/>
  <c r="K2006" i="4"/>
  <c r="K2007" i="4"/>
  <c r="K2008" i="4"/>
  <c r="K2009" i="4"/>
  <c r="K2010" i="4"/>
  <c r="K2011" i="4"/>
  <c r="K2012" i="4"/>
  <c r="K2013" i="4"/>
  <c r="K2014" i="4"/>
  <c r="K2015" i="4"/>
  <c r="K2016" i="4"/>
  <c r="K2017" i="4"/>
  <c r="K2018" i="4"/>
  <c r="K2019" i="4"/>
  <c r="K2020" i="4"/>
  <c r="K2021" i="4"/>
  <c r="K2022" i="4"/>
  <c r="K2023" i="4"/>
  <c r="K2024" i="4"/>
  <c r="K2025" i="4"/>
  <c r="K2026" i="4"/>
  <c r="K2027" i="4"/>
  <c r="K2028" i="4"/>
  <c r="K2029" i="4"/>
  <c r="K2030" i="4"/>
  <c r="K2031" i="4"/>
  <c r="K2032" i="4"/>
  <c r="K2033" i="4"/>
  <c r="K2034" i="4"/>
  <c r="K2035" i="4"/>
  <c r="K2036" i="4"/>
  <c r="K2037" i="4"/>
  <c r="K2038" i="4"/>
  <c r="K2039" i="4"/>
  <c r="K2040" i="4"/>
  <c r="K2041" i="4"/>
  <c r="K2042" i="4"/>
  <c r="K2043" i="4"/>
  <c r="K2044" i="4"/>
  <c r="K2045" i="4"/>
  <c r="K2046" i="4"/>
  <c r="K2047" i="4"/>
  <c r="K2048" i="4"/>
  <c r="K2049" i="4"/>
  <c r="K2050" i="4"/>
  <c r="K2051" i="4"/>
  <c r="K2052" i="4"/>
  <c r="K2053" i="4"/>
  <c r="K2054" i="4"/>
  <c r="K2055" i="4"/>
  <c r="K2056" i="4"/>
  <c r="K2057" i="4"/>
  <c r="K2058" i="4"/>
  <c r="K2059" i="4"/>
  <c r="K2060" i="4"/>
  <c r="K2061" i="4"/>
  <c r="K2062" i="4"/>
  <c r="K2063" i="4"/>
  <c r="K2064" i="4"/>
  <c r="K2065" i="4"/>
  <c r="K2066" i="4"/>
  <c r="K2067" i="4"/>
  <c r="K2068" i="4"/>
  <c r="K2069" i="4"/>
  <c r="K2070" i="4"/>
  <c r="K2071" i="4"/>
  <c r="K2072" i="4"/>
  <c r="K2073" i="4"/>
  <c r="K2074" i="4"/>
  <c r="K2075" i="4"/>
  <c r="K2076" i="4"/>
  <c r="K2077" i="4"/>
  <c r="K2078" i="4"/>
  <c r="K2079" i="4"/>
  <c r="K2080" i="4"/>
  <c r="K2081" i="4"/>
  <c r="K2082" i="4"/>
  <c r="K2083" i="4"/>
  <c r="K2084" i="4"/>
  <c r="K2085" i="4"/>
  <c r="K2086" i="4"/>
  <c r="K2087" i="4"/>
  <c r="K2088" i="4"/>
  <c r="K2089" i="4"/>
  <c r="K2090" i="4"/>
  <c r="K2091" i="4"/>
  <c r="K2092" i="4"/>
  <c r="K2093" i="4"/>
  <c r="K2094" i="4"/>
  <c r="K2095" i="4"/>
  <c r="K2096" i="4"/>
  <c r="K2097" i="4"/>
  <c r="K2098" i="4"/>
  <c r="K2099" i="4"/>
  <c r="K2100" i="4"/>
  <c r="K2101" i="4"/>
  <c r="K2102" i="4"/>
  <c r="K2103" i="4"/>
  <c r="K2104" i="4"/>
  <c r="K2105" i="4"/>
  <c r="K2106" i="4"/>
  <c r="K2107" i="4"/>
  <c r="K2108" i="4"/>
  <c r="K2109" i="4"/>
  <c r="K2110" i="4"/>
  <c r="K2111" i="4"/>
  <c r="K2112" i="4"/>
  <c r="K2113" i="4"/>
  <c r="K2114" i="4"/>
  <c r="K2115" i="4"/>
  <c r="K2116" i="4"/>
  <c r="K2117" i="4"/>
  <c r="K2118" i="4"/>
  <c r="K2119" i="4"/>
  <c r="K2120" i="4"/>
  <c r="K2121" i="4"/>
  <c r="K2122" i="4"/>
  <c r="K2123" i="4"/>
  <c r="K2124" i="4"/>
  <c r="K2125" i="4"/>
  <c r="K2126" i="4"/>
  <c r="K2127" i="4"/>
  <c r="K2128" i="4"/>
  <c r="K2129" i="4"/>
  <c r="K2130" i="4"/>
  <c r="K2131" i="4"/>
  <c r="K2132" i="4"/>
  <c r="K2133" i="4"/>
  <c r="K2134" i="4"/>
  <c r="K2135" i="4"/>
  <c r="K2136" i="4"/>
  <c r="K2137" i="4"/>
  <c r="K2138" i="4"/>
  <c r="K2139" i="4"/>
  <c r="K2140" i="4"/>
  <c r="K2141" i="4"/>
  <c r="K2142" i="4"/>
  <c r="K2143" i="4"/>
  <c r="K2144" i="4"/>
  <c r="K2145" i="4"/>
  <c r="K2146" i="4"/>
  <c r="K2147" i="4"/>
  <c r="K2148" i="4"/>
  <c r="K2149" i="4"/>
  <c r="K2150" i="4"/>
  <c r="K2151" i="4"/>
  <c r="K2152" i="4"/>
  <c r="K2153" i="4"/>
  <c r="K2154" i="4"/>
  <c r="K2155" i="4"/>
  <c r="K2156" i="4"/>
  <c r="K2157" i="4"/>
  <c r="K2158" i="4"/>
  <c r="K2159" i="4"/>
  <c r="K2160" i="4"/>
  <c r="K2161" i="4"/>
  <c r="K2162" i="4"/>
  <c r="K2163" i="4"/>
  <c r="K2164" i="4"/>
  <c r="K2165" i="4"/>
  <c r="K2166" i="4"/>
  <c r="K2167" i="4"/>
  <c r="K2168" i="4"/>
  <c r="K2169" i="4"/>
  <c r="K2170" i="4"/>
  <c r="K2171" i="4"/>
  <c r="K2172" i="4"/>
  <c r="K2173" i="4"/>
  <c r="K2174" i="4"/>
  <c r="K2175" i="4"/>
  <c r="K2176" i="4"/>
  <c r="K2177" i="4"/>
  <c r="K2178" i="4"/>
  <c r="K2179" i="4"/>
  <c r="K2180" i="4"/>
  <c r="K2181" i="4"/>
  <c r="K2182" i="4"/>
  <c r="K2183" i="4"/>
  <c r="K2184" i="4"/>
  <c r="K2185" i="4"/>
  <c r="K2186" i="4"/>
  <c r="K2187" i="4"/>
  <c r="K2188" i="4"/>
  <c r="K2189" i="4"/>
  <c r="K2190" i="4"/>
  <c r="K2191" i="4"/>
  <c r="K2192" i="4"/>
  <c r="K2193" i="4"/>
  <c r="K2194" i="4"/>
  <c r="K2195" i="4"/>
  <c r="K2196" i="4"/>
  <c r="K2197" i="4"/>
  <c r="K2198" i="4"/>
  <c r="K2199" i="4"/>
  <c r="K2200" i="4"/>
  <c r="K2201" i="4"/>
  <c r="H16" i="6"/>
  <c r="B8" i="5"/>
  <c r="B7" i="5"/>
  <c r="B6" i="5"/>
  <c r="B5"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38050B5-253F-4F50-8EF4-B7B8EAE390D2}" keepAlive="1" name="Query - car data" description="Connection to the 'car data' query in the workbook." type="5" refreshedVersion="8" background="1" saveData="1">
    <dbPr connection="Provider=Microsoft.Mashup.OleDb.1;Data Source=$Workbook$;Location=&quot;car data&quot;;Extended Properties=&quot;&quot;" command="SELECT * FROM [car data]"/>
  </connection>
  <connection id="2" xr16:uid="{BA48A6AB-052E-47FA-8BF9-AA4C35955C4D}" keepAlive="1" name="Query - Sheet1" description="Connection to the 'Sheet1' query in the workbook." type="5" refreshedVersion="8" background="1" saveData="1">
    <dbPr connection="Provider=Microsoft.Mashup.OleDb.1;Data Source=$Workbook$;Location=Sheet1;Extended Properties=&quot;&quot;" command="SELECT * FROM [Sheet1]"/>
  </connection>
  <connection id="3" xr16:uid="{4A8DC8CC-476C-46ED-82EE-F0F9C294A00C}" keepAlive="1" name="Query - Sheet1 (2)" description="Connection to the 'Sheet1 (2)' query in the workbook." type="5" refreshedVersion="8" background="1" saveData="1">
    <dbPr connection="Provider=Microsoft.Mashup.OleDb.1;Data Source=$Workbook$;Location=&quot;Sheet1 (2)&quot;;Extended Properties=&quot;&quot;" command="SELECT * FROM [Sheet1 (2)]"/>
  </connection>
  <connection id="4" xr16:uid="{5C380659-4F3B-4430-945A-3DCBEDF5202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5" xr16:uid="{71CEDD12-3729-438E-81B3-35728FB0D0F9}" name="WorksheetConnection_Book1!car_data" type="102" refreshedVersion="8" minRefreshableVersion="5">
    <extLst>
      <ext xmlns:x15="http://schemas.microsoft.com/office/spreadsheetml/2010/11/main" uri="{DE250136-89BD-433C-8126-D09CA5730AF9}">
        <x15:connection id="car_data" autoDelete="1">
          <x15:rangePr sourceName="_xlcn.WorksheetConnection_Book1car_data"/>
        </x15:connection>
      </ext>
    </extLst>
  </connection>
  <connection id="6" xr16:uid="{A8857E6F-1D19-4AAF-A517-304F31854374}" name="WorksheetConnection_CarData!$A:$A" type="102" refreshedVersion="8" minRefreshableVersion="5">
    <extLst>
      <ext xmlns:x15="http://schemas.microsoft.com/office/spreadsheetml/2010/11/main" uri="{DE250136-89BD-433C-8126-D09CA5730AF9}">
        <x15:connection id="Range" autoDelete="1">
          <x15:rangePr sourceName="_xlcn.WorksheetConnection_CarDataAA"/>
        </x15:connection>
      </ext>
    </extLst>
  </connection>
</connections>
</file>

<file path=xl/sharedStrings.xml><?xml version="1.0" encoding="utf-8"?>
<sst xmlns="http://schemas.openxmlformats.org/spreadsheetml/2006/main" count="13341" uniqueCount="65">
  <si>
    <t>Date</t>
  </si>
  <si>
    <t>Company</t>
  </si>
  <si>
    <t>Model</t>
  </si>
  <si>
    <t>Region</t>
  </si>
  <si>
    <t>Units_Sold</t>
  </si>
  <si>
    <t>Revenue</t>
  </si>
  <si>
    <t>Profit</t>
  </si>
  <si>
    <t>Production_Cost</t>
  </si>
  <si>
    <t>Dealer_Discount</t>
  </si>
  <si>
    <t>Customer_Rating</t>
  </si>
  <si>
    <t>Tesla</t>
  </si>
  <si>
    <t>Cybertruck</t>
  </si>
  <si>
    <t>Europe</t>
  </si>
  <si>
    <t>Model 3</t>
  </si>
  <si>
    <t>Asia</t>
  </si>
  <si>
    <t>Model S</t>
  </si>
  <si>
    <t>Model Y</t>
  </si>
  <si>
    <t>North America</t>
  </si>
  <si>
    <t>Model X</t>
  </si>
  <si>
    <t>Toyota</t>
  </si>
  <si>
    <t>Prius</t>
  </si>
  <si>
    <t>Hilux</t>
  </si>
  <si>
    <t>RAV4</t>
  </si>
  <si>
    <t>Corolla</t>
  </si>
  <si>
    <t>Camry</t>
  </si>
  <si>
    <t>Row Labels</t>
  </si>
  <si>
    <t>Grand Total</t>
  </si>
  <si>
    <t>Sum of Units_Sold</t>
  </si>
  <si>
    <t>Sum of Revenue</t>
  </si>
  <si>
    <t>Column Labels</t>
  </si>
  <si>
    <t>Sum of Profit</t>
  </si>
  <si>
    <t>month</t>
  </si>
  <si>
    <t>fg</t>
  </si>
  <si>
    <t>43831-43930</t>
  </si>
  <si>
    <t>43931-44030</t>
  </si>
  <si>
    <t>44031-44130</t>
  </si>
  <si>
    <t>44131-44230</t>
  </si>
  <si>
    <t>44231-44330</t>
  </si>
  <si>
    <t>44331-44430</t>
  </si>
  <si>
    <t>44431-44530</t>
  </si>
  <si>
    <t>44531-44630</t>
  </si>
  <si>
    <t>44631-44730</t>
  </si>
  <si>
    <t>44731-44830</t>
  </si>
  <si>
    <t>44831-44930</t>
  </si>
  <si>
    <t>44931-45030</t>
  </si>
  <si>
    <t>45031-45130</t>
  </si>
  <si>
    <t>45131-45230</t>
  </si>
  <si>
    <t>45231-45330</t>
  </si>
  <si>
    <t>45331-45430</t>
  </si>
  <si>
    <t>45431-45530</t>
  </si>
  <si>
    <t>45531-45630</t>
  </si>
  <si>
    <t>45631-45730</t>
  </si>
  <si>
    <t/>
  </si>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</sst>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4009]\ #,##0.00"/>
    <numFmt numFmtId="165" formatCode="_ [$₹-4009]\ * #,##0.00_ ;_ [$₹-4009]\ * \-#,##0.00_ ;_ [$₹-4009]\ * &quot;-&quot;??_ ;_ @_ "/>
    <numFmt numFmtId="166" formatCode="[$-F800]dddd\,\ mmmm\ dd\,\ yyyy"/>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14" fontId="0" fillId="0" borderId="0" xfId="0" applyNumberFormat="1" applyAlignment="1">
      <alignment horizontal="left"/>
    </xf>
    <xf numFmtId="14" fontId="0" fillId="0" borderId="0" xfId="0" applyNumberFormat="1"/>
    <xf numFmtId="166" fontId="0" fillId="0" borderId="0" xfId="0" applyNumberFormat="1" applyAlignment="1">
      <alignment horizontal="left"/>
    </xf>
    <xf numFmtId="0" fontId="0" fillId="0" borderId="0" xfId="0" applyNumberFormat="1"/>
  </cellXfs>
  <cellStyles count="1">
    <cellStyle name="Normal" xfId="0" builtinId="0"/>
  </cellStyles>
  <dxfs count="32">
    <dxf>
      <numFmt numFmtId="166" formatCode="[$-F800]dddd\,\ mmmm\ dd\,\ yyyy"/>
    </dxf>
    <dxf>
      <numFmt numFmtId="19" formatCode="m/d/yyyy"/>
    </dxf>
    <dxf>
      <numFmt numFmtId="166" formatCode="[$-F800]dddd\,\ mmmm\ dd\,\ yyyy"/>
    </dxf>
    <dxf>
      <numFmt numFmtId="19" formatCode="m/d/yyyy"/>
    </dxf>
    <dxf>
      <numFmt numFmtId="166" formatCode="[$-F800]dddd\,\ mmmm\ dd\,\ yyyy"/>
    </dxf>
    <dxf>
      <numFmt numFmtId="19" formatCode="m/d/yyyy"/>
    </dxf>
    <dxf>
      <numFmt numFmtId="166" formatCode="[$-F800]dddd\,\ mmmm\ dd\,\ yyyy"/>
    </dxf>
    <dxf>
      <numFmt numFmtId="19" formatCode="m/d/yyyy"/>
    </dxf>
    <dxf>
      <numFmt numFmtId="166" formatCode="[$-F800]dddd\,\ mmmm\ dd\,\ yyyy"/>
    </dxf>
    <dxf>
      <numFmt numFmtId="19" formatCode="m/d/yyyy"/>
    </dxf>
    <dxf>
      <numFmt numFmtId="166" formatCode="[$-F800]dddd\,\ mmmm\ dd\,\ yyyy"/>
    </dxf>
    <dxf>
      <numFmt numFmtId="19" formatCode="m/d/yyyy"/>
    </dxf>
    <dxf>
      <numFmt numFmtId="166" formatCode="[$-F800]dddd\,\ mmmm\ dd\,\ yyyy"/>
    </dxf>
    <dxf>
      <numFmt numFmtId="19" formatCode="m/d/yyyy"/>
    </dxf>
    <dxf>
      <numFmt numFmtId="166" formatCode="[$-F800]dddd\,\ mmmm\ dd\,\ yyyy"/>
    </dxf>
    <dxf>
      <numFmt numFmtId="19" formatCode="m/d/yyyy"/>
    </dxf>
    <dxf>
      <numFmt numFmtId="166" formatCode="[$-F800]dddd\,\ mmmm\ dd\,\ yyyy"/>
    </dxf>
    <dxf>
      <numFmt numFmtId="19" formatCode="m/d/yyyy"/>
    </dxf>
    <dxf>
      <numFmt numFmtId="0" formatCode="General"/>
    </dxf>
    <dxf>
      <numFmt numFmtId="164" formatCode="[$₹-4009]\ #,##0.00"/>
    </dxf>
    <dxf>
      <numFmt numFmtId="0" formatCode="General"/>
    </dxf>
    <dxf>
      <numFmt numFmtId="0" formatCode="General"/>
    </dxf>
    <dxf>
      <numFmt numFmtId="0" formatCode="General"/>
    </dxf>
    <dxf>
      <numFmt numFmtId="19" formatCode="m/d/yyyy"/>
    </dxf>
    <dxf>
      <numFmt numFmtId="19" formatCode="m/d/yyyy"/>
    </dxf>
    <dxf>
      <numFmt numFmtId="166" formatCode="[$-F800]dddd\,\ mmmm\ dd\,\ yyyy"/>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CA3BCD"/>
      <color rgb="FFCC66FF"/>
      <color rgb="FFDE15F3"/>
      <color rgb="FF9933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2.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pivotCacheDefinition" Target="pivotCache/pivotCacheDefinition3.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microsoft.com/office/2007/relationships/slicerCache" Target="slicerCaches/slicerCache3.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[TESAL VC TOYOTA.xlsx]Sheet3!PivotTable2</c:name>
    <c:fmtId val="4"/>
  </c:pivotSource>
  <c:chart>
    <c:title>
      <c:layout>
        <c:manualLayout>
          <c:xMode val="edge"/>
          <c:yMode val="edge"/>
          <c:x val="0.42368618273979441"/>
          <c:y val="6.8128456789234307E-2"/>
        </c:manualLayout>
      </c:layout>
      <c:overlay val="0"/>
      <c:spPr>
        <a:noFill/>
        <a:ln>
          <a:noFill/>
        </a:ln>
        <a:effectLst/>
      </c:spPr>
      <c:txPr>
        <a:bodyPr rot="0" spcFirstLastPara="1" vertOverflow="ellipsis" vert="horz" wrap="square" anchor="ctr" anchorCtr="1"/>
        <a:lstStyle/>
        <a:p>
          <a:pPr>
            <a:defRPr sz="1140" b="1" i="0" u="none" strike="noStrike" kern="1200" cap="none" baseline="0">
              <a:solidFill>
                <a:schemeClr val="bg1"/>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2"/>
            </a:solidFill>
            <a:miter lim="800000"/>
          </a:ln>
          <a:effectLst>
            <a:glow rad="63500">
              <a:schemeClr val="accent2">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2"/>
            </a:solidFill>
            <a:miter lim="800000"/>
          </a:ln>
          <a:effectLst>
            <a:glow rad="63500">
              <a:schemeClr val="accent2">
                <a:satMod val="175000"/>
                <a:alpha val="25000"/>
              </a:schemeClr>
            </a:glow>
          </a:effectLst>
        </c:spPr>
      </c:pivotFmt>
      <c:pivotFmt>
        <c:idx val="4"/>
        <c:spPr>
          <a:noFill/>
          <a:ln w="9525" cap="flat" cmpd="sng" algn="ctr">
            <a:solidFill>
              <a:schemeClr val="accent2"/>
            </a:solidFill>
            <a:miter lim="800000"/>
          </a:ln>
          <a:effectLst>
            <a:glow rad="63500">
              <a:schemeClr val="accent2">
                <a:satMod val="175000"/>
                <a:alpha val="25000"/>
              </a:schemeClr>
            </a:glow>
          </a:effectLst>
        </c:spPr>
      </c:pivotFmt>
    </c:pivotFmts>
    <c:plotArea>
      <c:layout/>
      <c:barChart>
        <c:barDir val="col"/>
        <c:grouping val="clustered"/>
        <c:varyColors val="0"/>
        <c:ser>
          <c:idx val="0"/>
          <c:order val="0"/>
          <c:tx>
            <c:strRef>
              <c:f>Sheet3!$B$3</c:f>
              <c:strCache>
                <c:ptCount val="1"/>
                <c:pt idx="0">
                  <c:v>Total</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dPt>
            <c:idx val="1"/>
            <c:invertIfNegative val="0"/>
            <c:bubble3D val="0"/>
            <c:extLst>
              <c:ext xmlns:c16="http://schemas.microsoft.com/office/drawing/2014/chart" uri="{C3380CC4-5D6E-409C-BE32-E72D297353CC}">
                <c16:uniqueId val="{00000001-A6B5-4950-8EB8-E8D4BB215DB5}"/>
              </c:ext>
            </c:extLst>
          </c:dPt>
          <c:dLbls>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Sheet3!$A$4:$A$6</c:f>
              <c:strCache>
                <c:ptCount val="2"/>
                <c:pt idx="0">
                  <c:v>Tesla</c:v>
                </c:pt>
                <c:pt idx="1">
                  <c:v>Toyota</c:v>
                </c:pt>
              </c:strCache>
            </c:strRef>
          </c:cat>
          <c:val>
            <c:numRef>
              <c:f>Sheet3!$B$4:$B$6</c:f>
              <c:numCache>
                <c:formatCode>General</c:formatCode>
                <c:ptCount val="2"/>
                <c:pt idx="0">
                  <c:v>18711789144.669994</c:v>
                </c:pt>
                <c:pt idx="1">
                  <c:v>18711789144.669994</c:v>
                </c:pt>
              </c:numCache>
            </c:numRef>
          </c:val>
          <c:extLst>
            <c:ext xmlns:c16="http://schemas.microsoft.com/office/drawing/2014/chart" uri="{C3380CC4-5D6E-409C-BE32-E72D297353CC}">
              <c16:uniqueId val="{00000000-A6B5-4950-8EB8-E8D4BB215DB5}"/>
            </c:ext>
          </c:extLst>
        </c:ser>
        <c:dLbls>
          <c:dLblPos val="outEnd"/>
          <c:showLegendKey val="0"/>
          <c:showVal val="1"/>
          <c:showCatName val="0"/>
          <c:showSerName val="0"/>
          <c:showPercent val="0"/>
          <c:showBubbleSize val="0"/>
        </c:dLbls>
        <c:gapWidth val="315"/>
        <c:overlap val="-40"/>
        <c:axId val="501808768"/>
        <c:axId val="501808408"/>
      </c:barChart>
      <c:catAx>
        <c:axId val="501808768"/>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50" b="0" i="0" u="none" strike="noStrike" kern="1200" baseline="0">
                <a:solidFill>
                  <a:schemeClr val="bg1"/>
                </a:solidFill>
                <a:latin typeface="+mn-lt"/>
                <a:ea typeface="+mn-ea"/>
                <a:cs typeface="+mn-cs"/>
              </a:defRPr>
            </a:pPr>
            <a:endParaRPr lang="en-US"/>
          </a:p>
        </c:txPr>
        <c:crossAx val="501808408"/>
        <c:crosses val="autoZero"/>
        <c:auto val="1"/>
        <c:lblAlgn val="ctr"/>
        <c:lblOffset val="100"/>
        <c:noMultiLvlLbl val="0"/>
      </c:catAx>
      <c:valAx>
        <c:axId val="501808408"/>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50" b="0" i="0" u="none" strike="noStrike" kern="1200" baseline="0">
                <a:solidFill>
                  <a:schemeClr val="bg1"/>
                </a:solidFill>
                <a:latin typeface="+mn-lt"/>
                <a:ea typeface="+mn-ea"/>
                <a:cs typeface="+mn-cs"/>
              </a:defRPr>
            </a:pPr>
            <a:endParaRPr lang="en-US"/>
          </a:p>
        </c:txPr>
        <c:crossAx val="5018087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5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rgbClr val="CC66FF"/>
        </a:gs>
        <a:gs pos="23874">
          <a:srgbClr val="9933FF"/>
        </a:gs>
        <a:gs pos="100000">
          <a:srgbClr val="7030A0">
            <a:shade val="67500"/>
            <a:satMod val="115000"/>
          </a:srgbClr>
        </a:gs>
        <a:gs pos="54000">
          <a:srgbClr val="9933FF"/>
        </a:gs>
      </a:gsLst>
      <a:lin ang="5400000" scaled="1"/>
    </a:gradFill>
    <a:ln w="9525" cap="flat" cmpd="sng" algn="ctr">
      <a:solidFill>
        <a:schemeClr val="dk1">
          <a:lumMod val="15000"/>
          <a:lumOff val="85000"/>
        </a:schemeClr>
      </a:solidFill>
      <a:round/>
    </a:ln>
    <a:effectLst/>
  </c:spPr>
  <c:txPr>
    <a:bodyPr/>
    <a:lstStyle/>
    <a:p>
      <a:pPr>
        <a:defRPr sz="950" baseline="0">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[TESAL VC TOYOTA.xlsx]Sheet3!PivotTable5</c:name>
    <c:fmtId val="2"/>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pivotFmt>
      <c:pivotFmt>
        <c:idx val="2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5"/>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19179352580927383"/>
          <c:y val="9.1571886847477399E-2"/>
          <c:w val="0.46233595800524935"/>
          <c:h val="0.77055993000874889"/>
        </c:manualLayout>
      </c:layout>
      <c:doughnutChart>
        <c:varyColors val="1"/>
        <c:ser>
          <c:idx val="0"/>
          <c:order val="0"/>
          <c:tx>
            <c:strRef>
              <c:f>Sheet3!$M$3:$M$4</c:f>
              <c:strCache>
                <c:ptCount val="1"/>
                <c:pt idx="0">
                  <c:v>Tesla</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8924-48C3-8E31-9C74A2B87000}"/>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8924-48C3-8E31-9C74A2B87000}"/>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8924-48C3-8E31-9C74A2B87000}"/>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8924-48C3-8E31-9C74A2B87000}"/>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8924-48C3-8E31-9C74A2B87000}"/>
              </c:ext>
            </c:extLst>
          </c:dPt>
          <c:dPt>
            <c:idx val="5"/>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B-8924-48C3-8E31-9C74A2B87000}"/>
              </c:ext>
            </c:extLst>
          </c:dPt>
          <c:dPt>
            <c:idx val="6"/>
            <c:bubble3D val="0"/>
            <c:spPr>
              <a:solidFill>
                <a:schemeClr val="accent1">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D-8924-48C3-8E31-9C74A2B87000}"/>
              </c:ext>
            </c:extLst>
          </c:dPt>
          <c:dPt>
            <c:idx val="7"/>
            <c:bubble3D val="0"/>
            <c:spPr>
              <a:solidFill>
                <a:schemeClr val="accent2">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F-8924-48C3-8E31-9C74A2B87000}"/>
              </c:ext>
            </c:extLst>
          </c:dPt>
          <c:dPt>
            <c:idx val="8"/>
            <c:bubble3D val="0"/>
            <c:spPr>
              <a:solidFill>
                <a:schemeClr val="accent3">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1-8924-48C3-8E31-9C74A2B87000}"/>
              </c:ext>
            </c:extLst>
          </c:dPt>
          <c:dPt>
            <c:idx val="9"/>
            <c:bubble3D val="0"/>
            <c:spPr>
              <a:solidFill>
                <a:schemeClr val="accent4">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3-8924-48C3-8E31-9C74A2B8700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Sheet3!$L$5:$L$15</c:f>
              <c:strCache>
                <c:ptCount val="10"/>
                <c:pt idx="0">
                  <c:v>Camry</c:v>
                </c:pt>
                <c:pt idx="1">
                  <c:v>Corolla</c:v>
                </c:pt>
                <c:pt idx="2">
                  <c:v>Cybertruck</c:v>
                </c:pt>
                <c:pt idx="3">
                  <c:v>Hilux</c:v>
                </c:pt>
                <c:pt idx="4">
                  <c:v>Model 3</c:v>
                </c:pt>
                <c:pt idx="5">
                  <c:v>Model S</c:v>
                </c:pt>
                <c:pt idx="6">
                  <c:v>Model X</c:v>
                </c:pt>
                <c:pt idx="7">
                  <c:v>Model Y</c:v>
                </c:pt>
                <c:pt idx="8">
                  <c:v>Prius</c:v>
                </c:pt>
                <c:pt idx="9">
                  <c:v>RAV4</c:v>
                </c:pt>
              </c:strCache>
            </c:strRef>
          </c:cat>
          <c:val>
            <c:numRef>
              <c:f>Sheet3!$M$5:$M$15</c:f>
              <c:numCache>
                <c:formatCode>General</c:formatCode>
                <c:ptCount val="10"/>
                <c:pt idx="2">
                  <c:v>1058638162.45</c:v>
                </c:pt>
                <c:pt idx="4">
                  <c:v>1084952695.1599998</c:v>
                </c:pt>
                <c:pt idx="5">
                  <c:v>1274493196.8799999</c:v>
                </c:pt>
                <c:pt idx="6">
                  <c:v>1031231088.7299997</c:v>
                </c:pt>
                <c:pt idx="7">
                  <c:v>1227388340.8800001</c:v>
                </c:pt>
              </c:numCache>
            </c:numRef>
          </c:val>
          <c:extLst>
            <c:ext xmlns:c16="http://schemas.microsoft.com/office/drawing/2014/chart" uri="{C3380CC4-5D6E-409C-BE32-E72D297353CC}">
              <c16:uniqueId val="{00000014-8924-48C3-8E31-9C74A2B87000}"/>
            </c:ext>
          </c:extLst>
        </c:ser>
        <c:ser>
          <c:idx val="1"/>
          <c:order val="1"/>
          <c:tx>
            <c:strRef>
              <c:f>Sheet3!$N$3:$N$4</c:f>
              <c:strCache>
                <c:ptCount val="1"/>
                <c:pt idx="0">
                  <c:v>Toyota</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dPt>
          <c:dPt>
            <c:idx val="5"/>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dPt>
          <c:dPt>
            <c:idx val="6"/>
            <c:bubble3D val="0"/>
            <c:spPr>
              <a:solidFill>
                <a:schemeClr val="accent1">
                  <a:lumMod val="60000"/>
                </a:schemeClr>
              </a:solidFill>
              <a:ln>
                <a:noFill/>
              </a:ln>
              <a:effectLst/>
              <a:scene3d>
                <a:camera prst="orthographicFront"/>
                <a:lightRig rig="brightRoom" dir="t"/>
              </a:scene3d>
              <a:sp3d prstMaterial="flat">
                <a:bevelT w="50800" h="101600" prst="angle"/>
                <a:contourClr>
                  <a:srgbClr val="000000"/>
                </a:contourClr>
              </a:sp3d>
            </c:spPr>
          </c:dPt>
          <c:dPt>
            <c:idx val="7"/>
            <c:bubble3D val="0"/>
            <c:spPr>
              <a:solidFill>
                <a:schemeClr val="accent2">
                  <a:lumMod val="60000"/>
                </a:schemeClr>
              </a:solidFill>
              <a:ln>
                <a:noFill/>
              </a:ln>
              <a:effectLst/>
              <a:scene3d>
                <a:camera prst="orthographicFront"/>
                <a:lightRig rig="brightRoom" dir="t"/>
              </a:scene3d>
              <a:sp3d prstMaterial="flat">
                <a:bevelT w="50800" h="101600" prst="angle"/>
                <a:contourClr>
                  <a:srgbClr val="000000"/>
                </a:contourClr>
              </a:sp3d>
            </c:spPr>
          </c:dPt>
          <c:dPt>
            <c:idx val="8"/>
            <c:bubble3D val="0"/>
            <c:spPr>
              <a:solidFill>
                <a:schemeClr val="accent3">
                  <a:lumMod val="60000"/>
                </a:schemeClr>
              </a:solidFill>
              <a:ln>
                <a:noFill/>
              </a:ln>
              <a:effectLst/>
              <a:scene3d>
                <a:camera prst="orthographicFront"/>
                <a:lightRig rig="brightRoom" dir="t"/>
              </a:scene3d>
              <a:sp3d prstMaterial="flat">
                <a:bevelT w="50800" h="101600" prst="angle"/>
                <a:contourClr>
                  <a:srgbClr val="000000"/>
                </a:contourClr>
              </a:sp3d>
            </c:spPr>
          </c:dPt>
          <c:dPt>
            <c:idx val="9"/>
            <c:bubble3D val="0"/>
            <c:spPr>
              <a:solidFill>
                <a:schemeClr val="accent4">
                  <a:lumMod val="60000"/>
                </a:schemeClr>
              </a:solidFill>
              <a:ln>
                <a:noFill/>
              </a:ln>
              <a:effectLst/>
              <a:scene3d>
                <a:camera prst="orthographicFront"/>
                <a:lightRig rig="brightRoom" dir="t"/>
              </a:scene3d>
              <a:sp3d prstMaterial="flat">
                <a:bevelT w="50800" h="101600" prst="angle"/>
                <a:contourClr>
                  <a:srgbClr val="000000"/>
                </a:contourClr>
              </a:sp3d>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Sheet3!$L$5:$L$15</c:f>
              <c:strCache>
                <c:ptCount val="10"/>
                <c:pt idx="0">
                  <c:v>Camry</c:v>
                </c:pt>
                <c:pt idx="1">
                  <c:v>Corolla</c:v>
                </c:pt>
                <c:pt idx="2">
                  <c:v>Cybertruck</c:v>
                </c:pt>
                <c:pt idx="3">
                  <c:v>Hilux</c:v>
                </c:pt>
                <c:pt idx="4">
                  <c:v>Model 3</c:v>
                </c:pt>
                <c:pt idx="5">
                  <c:v>Model S</c:v>
                </c:pt>
                <c:pt idx="6">
                  <c:v>Model X</c:v>
                </c:pt>
                <c:pt idx="7">
                  <c:v>Model Y</c:v>
                </c:pt>
                <c:pt idx="8">
                  <c:v>Prius</c:v>
                </c:pt>
                <c:pt idx="9">
                  <c:v>RAV4</c:v>
                </c:pt>
              </c:strCache>
            </c:strRef>
          </c:cat>
          <c:val>
            <c:numRef>
              <c:f>Sheet3!$N$5:$N$15</c:f>
              <c:numCache>
                <c:formatCode>General</c:formatCode>
                <c:ptCount val="10"/>
                <c:pt idx="0">
                  <c:v>1069344367.2600003</c:v>
                </c:pt>
                <c:pt idx="1">
                  <c:v>1176321834.4299996</c:v>
                </c:pt>
                <c:pt idx="3">
                  <c:v>1103681684.6800003</c:v>
                </c:pt>
                <c:pt idx="8">
                  <c:v>1236120254.4300001</c:v>
                </c:pt>
                <c:pt idx="9">
                  <c:v>1091235343.3000002</c:v>
                </c:pt>
              </c:numCache>
            </c:numRef>
          </c:val>
          <c:extLst>
            <c:ext xmlns:c16="http://schemas.microsoft.com/office/drawing/2014/chart" uri="{C3380CC4-5D6E-409C-BE32-E72D297353CC}">
              <c16:uniqueId val="{00000029-2B5F-4811-BCFC-B10729435E99}"/>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75147856517935263"/>
          <c:y val="0.17143117526975796"/>
          <c:w val="0.14151192313001601"/>
          <c:h val="0.5821615147825914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rgbClr val="7030A0">
            <a:shade val="30000"/>
            <a:satMod val="115000"/>
          </a:srgbClr>
        </a:gs>
        <a:gs pos="23874">
          <a:srgbClr val="4F1977"/>
        </a:gs>
        <a:gs pos="52000">
          <a:srgbClr val="7030A0">
            <a:shade val="67500"/>
            <a:satMod val="115000"/>
          </a:srgbClr>
        </a:gs>
        <a:gs pos="98000">
          <a:srgbClr val="DE15F3"/>
        </a:gs>
      </a:gsLst>
      <a:lin ang="5400000" scaled="1"/>
    </a:gradFill>
    <a:ln w="9525" cap="flat" cmpd="sng" algn="ctr">
      <a:solidFill>
        <a:schemeClr val="tx1">
          <a:lumMod val="15000"/>
          <a:lumOff val="85000"/>
        </a:schemeClr>
      </a:solidFill>
      <a:round/>
    </a:ln>
    <a:effectLst>
      <a:glow rad="63500">
        <a:schemeClr val="accent2">
          <a:satMod val="175000"/>
          <a:alpha val="40000"/>
        </a:schemeClr>
      </a:glow>
      <a:softEdge rad="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[TESAL VC TOYOTA.xlsx]Sheet8!PivotTable7</c:name>
    <c:fmtId val="2"/>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Sheet8!$B$3:$B$4</c:f>
              <c:strCache>
                <c:ptCount val="1"/>
                <c:pt idx="0">
                  <c:v>Tesla</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Sheet8!$A$5:$A$18</c:f>
              <c:strCache>
                <c:ptCount val="13"/>
                <c:pt idx="1">
                  <c:v>Jan</c:v>
                </c:pt>
                <c:pt idx="2">
                  <c:v>Feb</c:v>
                </c:pt>
                <c:pt idx="3">
                  <c:v>Mar</c:v>
                </c:pt>
                <c:pt idx="4">
                  <c:v>Apr</c:v>
                </c:pt>
                <c:pt idx="5">
                  <c:v>May</c:v>
                </c:pt>
                <c:pt idx="6">
                  <c:v>Jun</c:v>
                </c:pt>
                <c:pt idx="7">
                  <c:v>Jul</c:v>
                </c:pt>
                <c:pt idx="8">
                  <c:v>Aug</c:v>
                </c:pt>
                <c:pt idx="9">
                  <c:v>Sep</c:v>
                </c:pt>
                <c:pt idx="10">
                  <c:v>Oct</c:v>
                </c:pt>
                <c:pt idx="11">
                  <c:v>Nov</c:v>
                </c:pt>
                <c:pt idx="12">
                  <c:v>Dec</c:v>
                </c:pt>
              </c:strCache>
            </c:strRef>
          </c:cat>
          <c:val>
            <c:numRef>
              <c:f>Sheet8!$B$5:$B$18</c:f>
              <c:numCache>
                <c:formatCode>General</c:formatCode>
                <c:ptCount val="13"/>
                <c:pt idx="0">
                  <c:v>301231</c:v>
                </c:pt>
                <c:pt idx="1">
                  <c:v>301231</c:v>
                </c:pt>
                <c:pt idx="2">
                  <c:v>301231</c:v>
                </c:pt>
                <c:pt idx="3">
                  <c:v>301231</c:v>
                </c:pt>
                <c:pt idx="4">
                  <c:v>301231</c:v>
                </c:pt>
                <c:pt idx="5">
                  <c:v>301231</c:v>
                </c:pt>
                <c:pt idx="6">
                  <c:v>301231</c:v>
                </c:pt>
                <c:pt idx="7">
                  <c:v>301231</c:v>
                </c:pt>
                <c:pt idx="8">
                  <c:v>301231</c:v>
                </c:pt>
                <c:pt idx="9">
                  <c:v>301231</c:v>
                </c:pt>
                <c:pt idx="10">
                  <c:v>301231</c:v>
                </c:pt>
                <c:pt idx="11">
                  <c:v>301231</c:v>
                </c:pt>
                <c:pt idx="12">
                  <c:v>301231</c:v>
                </c:pt>
              </c:numCache>
            </c:numRef>
          </c:val>
          <c:extLst>
            <c:ext xmlns:c16="http://schemas.microsoft.com/office/drawing/2014/chart" uri="{C3380CC4-5D6E-409C-BE32-E72D297353CC}">
              <c16:uniqueId val="{00000000-62EC-49D8-9C2E-CC1948C06ECC}"/>
            </c:ext>
          </c:extLst>
        </c:ser>
        <c:ser>
          <c:idx val="1"/>
          <c:order val="1"/>
          <c:tx>
            <c:strRef>
              <c:f>Sheet8!$C$3:$C$4</c:f>
              <c:strCache>
                <c:ptCount val="1"/>
                <c:pt idx="0">
                  <c:v>Toyota</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Sheet8!$A$5:$A$18</c:f>
              <c:strCache>
                <c:ptCount val="13"/>
                <c:pt idx="1">
                  <c:v>Jan</c:v>
                </c:pt>
                <c:pt idx="2">
                  <c:v>Feb</c:v>
                </c:pt>
                <c:pt idx="3">
                  <c:v>Mar</c:v>
                </c:pt>
                <c:pt idx="4">
                  <c:v>Apr</c:v>
                </c:pt>
                <c:pt idx="5">
                  <c:v>May</c:v>
                </c:pt>
                <c:pt idx="6">
                  <c:v>Jun</c:v>
                </c:pt>
                <c:pt idx="7">
                  <c:v>Jul</c:v>
                </c:pt>
                <c:pt idx="8">
                  <c:v>Aug</c:v>
                </c:pt>
                <c:pt idx="9">
                  <c:v>Sep</c:v>
                </c:pt>
                <c:pt idx="10">
                  <c:v>Oct</c:v>
                </c:pt>
                <c:pt idx="11">
                  <c:v>Nov</c:v>
                </c:pt>
                <c:pt idx="12">
                  <c:v>Dec</c:v>
                </c:pt>
              </c:strCache>
            </c:strRef>
          </c:cat>
          <c:val>
            <c:numRef>
              <c:f>Sheet8!$C$5:$C$18</c:f>
              <c:numCache>
                <c:formatCode>General</c:formatCode>
                <c:ptCount val="13"/>
                <c:pt idx="0">
                  <c:v>301231</c:v>
                </c:pt>
                <c:pt idx="1">
                  <c:v>301231</c:v>
                </c:pt>
                <c:pt idx="2">
                  <c:v>301231</c:v>
                </c:pt>
                <c:pt idx="3">
                  <c:v>301231</c:v>
                </c:pt>
                <c:pt idx="4">
                  <c:v>301231</c:v>
                </c:pt>
                <c:pt idx="5">
                  <c:v>301231</c:v>
                </c:pt>
                <c:pt idx="6">
                  <c:v>301231</c:v>
                </c:pt>
                <c:pt idx="7">
                  <c:v>301231</c:v>
                </c:pt>
                <c:pt idx="8">
                  <c:v>301231</c:v>
                </c:pt>
                <c:pt idx="9">
                  <c:v>301231</c:v>
                </c:pt>
                <c:pt idx="10">
                  <c:v>301231</c:v>
                </c:pt>
                <c:pt idx="11">
                  <c:v>301231</c:v>
                </c:pt>
                <c:pt idx="12">
                  <c:v>301231</c:v>
                </c:pt>
              </c:numCache>
            </c:numRef>
          </c:val>
          <c:extLst>
            <c:ext xmlns:c16="http://schemas.microsoft.com/office/drawing/2014/chart" uri="{C3380CC4-5D6E-409C-BE32-E72D297353CC}">
              <c16:uniqueId val="{00000002-7301-461C-9505-554D1614FA89}"/>
            </c:ext>
          </c:extLst>
        </c:ser>
        <c:dLbls>
          <c:showLegendKey val="0"/>
          <c:showVal val="0"/>
          <c:showCatName val="0"/>
          <c:showSerName val="0"/>
          <c:showPercent val="0"/>
          <c:showBubbleSize val="0"/>
        </c:dLbls>
        <c:gapWidth val="150"/>
        <c:overlap val="100"/>
        <c:axId val="514371176"/>
        <c:axId val="514369016"/>
      </c:barChart>
      <c:catAx>
        <c:axId val="514371176"/>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14369016"/>
        <c:crosses val="autoZero"/>
        <c:auto val="1"/>
        <c:lblAlgn val="ctr"/>
        <c:lblOffset val="100"/>
        <c:noMultiLvlLbl val="0"/>
      </c:catAx>
      <c:valAx>
        <c:axId val="514369016"/>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143711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rgbClr val="CC66FF"/>
        </a:gs>
        <a:gs pos="23874">
          <a:srgbClr val="4F1977"/>
        </a:gs>
        <a:gs pos="46000">
          <a:srgbClr val="7030A0">
            <a:shade val="67500"/>
            <a:satMod val="115000"/>
          </a:srgbClr>
        </a:gs>
        <a:gs pos="100000">
          <a:srgbClr val="DE15F3"/>
        </a:gs>
      </a:gsLst>
      <a:lin ang="5400000" scaled="1"/>
      <a:tileRect/>
    </a:gradFill>
    <a:ln w="19050">
      <a:solidFill>
        <a:schemeClr val="bg1"/>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[TESAL VC TOYOTA.xlsx]Sheet3!PivotTable6</c:name>
    <c:fmtId val="2"/>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Sheet3!$B$10:$B$11</c:f>
              <c:strCache>
                <c:ptCount val="1"/>
                <c:pt idx="0">
                  <c:v>Tesla</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Sheet3!$A$12:$A$15</c:f>
              <c:strCache>
                <c:ptCount val="3"/>
                <c:pt idx="0">
                  <c:v>Asia</c:v>
                </c:pt>
                <c:pt idx="1">
                  <c:v>Europe</c:v>
                </c:pt>
                <c:pt idx="2">
                  <c:v>North America</c:v>
                </c:pt>
              </c:strCache>
            </c:strRef>
          </c:cat>
          <c:val>
            <c:numRef>
              <c:f>Sheet3!$B$12:$B$15</c:f>
              <c:numCache>
                <c:formatCode>General</c:formatCode>
                <c:ptCount val="3"/>
                <c:pt idx="0">
                  <c:v>5760228129.3700018</c:v>
                </c:pt>
                <c:pt idx="1">
                  <c:v>6202473958.3299999</c:v>
                </c:pt>
                <c:pt idx="2">
                  <c:v>6749087056.9700003</c:v>
                </c:pt>
              </c:numCache>
            </c:numRef>
          </c:val>
          <c:extLst>
            <c:ext xmlns:c16="http://schemas.microsoft.com/office/drawing/2014/chart" uri="{C3380CC4-5D6E-409C-BE32-E72D297353CC}">
              <c16:uniqueId val="{00000000-8616-4BBC-A643-8D96ADB1596E}"/>
            </c:ext>
          </c:extLst>
        </c:ser>
        <c:ser>
          <c:idx val="1"/>
          <c:order val="1"/>
          <c:tx>
            <c:strRef>
              <c:f>Sheet3!$C$10:$C$11</c:f>
              <c:strCache>
                <c:ptCount val="1"/>
                <c:pt idx="0">
                  <c:v>Toyota</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Sheet3!$A$12:$A$15</c:f>
              <c:strCache>
                <c:ptCount val="3"/>
                <c:pt idx="0">
                  <c:v>Asia</c:v>
                </c:pt>
                <c:pt idx="1">
                  <c:v>Europe</c:v>
                </c:pt>
                <c:pt idx="2">
                  <c:v>North America</c:v>
                </c:pt>
              </c:strCache>
            </c:strRef>
          </c:cat>
          <c:val>
            <c:numRef>
              <c:f>Sheet3!$C$12:$C$15</c:f>
              <c:numCache>
                <c:formatCode>General</c:formatCode>
                <c:ptCount val="3"/>
                <c:pt idx="0">
                  <c:v>6079104442.3499985</c:v>
                </c:pt>
                <c:pt idx="1">
                  <c:v>6428354423.8800001</c:v>
                </c:pt>
                <c:pt idx="2">
                  <c:v>6204330278.4400015</c:v>
                </c:pt>
              </c:numCache>
            </c:numRef>
          </c:val>
          <c:extLst>
            <c:ext xmlns:c16="http://schemas.microsoft.com/office/drawing/2014/chart" uri="{C3380CC4-5D6E-409C-BE32-E72D297353CC}">
              <c16:uniqueId val="{00000001-D9E6-4CC0-AA90-28A8CFED9D76}"/>
            </c:ext>
          </c:extLst>
        </c:ser>
        <c:dLbls>
          <c:dLblPos val="inEnd"/>
          <c:showLegendKey val="0"/>
          <c:showVal val="1"/>
          <c:showCatName val="0"/>
          <c:showSerName val="0"/>
          <c:showPercent val="0"/>
          <c:showBubbleSize val="0"/>
        </c:dLbls>
        <c:gapWidth val="100"/>
        <c:overlap val="-24"/>
        <c:axId val="1076683744"/>
        <c:axId val="1076688784"/>
      </c:barChart>
      <c:catAx>
        <c:axId val="107668374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76688784"/>
        <c:crosses val="autoZero"/>
        <c:auto val="1"/>
        <c:lblAlgn val="ctr"/>
        <c:lblOffset val="100"/>
        <c:noMultiLvlLbl val="0"/>
      </c:catAx>
      <c:valAx>
        <c:axId val="107668878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76683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rgbClr val="CC66FF"/>
        </a:gs>
        <a:gs pos="68000">
          <a:srgbClr val="4F1977"/>
        </a:gs>
        <a:gs pos="46000">
          <a:srgbClr val="7030A0">
            <a:shade val="67500"/>
            <a:satMod val="115000"/>
          </a:srgbClr>
        </a:gs>
        <a:gs pos="59000">
          <a:srgbClr val="7030A0">
            <a:shade val="100000"/>
            <a:satMod val="115000"/>
          </a:srgbClr>
        </a:gs>
      </a:gsLst>
      <a:lin ang="5400000" scaled="1"/>
      <a:tileRect/>
    </a:gradFill>
    <a:ln w="15875">
      <a:solidFill>
        <a:schemeClr val="bg1"/>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svg"/><Relationship Id="rId5" Type="http://schemas.openxmlformats.org/officeDocument/2006/relationships/image" Target="../media/image1.png"/><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1</xdr:col>
      <xdr:colOff>952500</xdr:colOff>
      <xdr:row>3</xdr:row>
      <xdr:rowOff>28574</xdr:rowOff>
    </xdr:from>
    <xdr:ext cx="1847850" cy="374141"/>
    <xdr:sp macro="" textlink="">
      <xdr:nvSpPr>
        <xdr:cNvPr id="3" name="TextBox 2">
          <a:extLst>
            <a:ext uri="{FF2B5EF4-FFF2-40B4-BE49-F238E27FC236}">
              <a16:creationId xmlns:a16="http://schemas.microsoft.com/office/drawing/2014/main" id="{7092EE0C-9D4F-4D88-05F1-8772CC25E6D6}"/>
            </a:ext>
          </a:extLst>
        </xdr:cNvPr>
        <xdr:cNvSpPr txBox="1"/>
      </xdr:nvSpPr>
      <xdr:spPr>
        <a:xfrm>
          <a:off x="1828800" y="600074"/>
          <a:ext cx="1847850"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800">
            <a:solidFill>
              <a:schemeClr val="bg1"/>
            </a:solidFill>
          </a:endParaRPr>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96892</xdr:rowOff>
    </xdr:from>
    <xdr:to>
      <xdr:col>26</xdr:col>
      <xdr:colOff>593066</xdr:colOff>
      <xdr:row>40</xdr:row>
      <xdr:rowOff>65142</xdr:rowOff>
    </xdr:to>
    <xdr:sp macro="" textlink="">
      <xdr:nvSpPr>
        <xdr:cNvPr id="2" name="Rectangle 1">
          <a:extLst>
            <a:ext uri="{FF2B5EF4-FFF2-40B4-BE49-F238E27FC236}">
              <a16:creationId xmlns:a16="http://schemas.microsoft.com/office/drawing/2014/main" id="{4BBBA745-0B63-415C-8AB5-7E464B5A255D}"/>
            </a:ext>
          </a:extLst>
        </xdr:cNvPr>
        <xdr:cNvSpPr/>
      </xdr:nvSpPr>
      <xdr:spPr>
        <a:xfrm>
          <a:off x="0" y="96892"/>
          <a:ext cx="16391428" cy="7851009"/>
        </a:xfrm>
        <a:prstGeom prst="rect">
          <a:avLst/>
        </a:prstGeom>
        <a:gradFill flip="none" rotWithShape="1">
          <a:gsLst>
            <a:gs pos="0">
              <a:srgbClr val="7030A0">
                <a:shade val="30000"/>
                <a:satMod val="115000"/>
              </a:srgbClr>
            </a:gs>
            <a:gs pos="23874">
              <a:srgbClr val="4F1977"/>
            </a:gs>
            <a:gs pos="46000">
              <a:srgbClr val="7030A0">
                <a:shade val="67500"/>
                <a:satMod val="115000"/>
              </a:srgbClr>
            </a:gs>
            <a:gs pos="59000">
              <a:srgbClr val="7030A0">
                <a:shade val="100000"/>
                <a:satMod val="115000"/>
              </a:srgbClr>
            </a:gs>
          </a:gsLst>
          <a:lin ang="5400000" scaled="1"/>
          <a:tileRect/>
        </a:gradFill>
        <a:ln w="381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476249</xdr:colOff>
      <xdr:row>7</xdr:row>
      <xdr:rowOff>125802</xdr:rowOff>
    </xdr:from>
    <xdr:to>
      <xdr:col>26</xdr:col>
      <xdr:colOff>431321</xdr:colOff>
      <xdr:row>37</xdr:row>
      <xdr:rowOff>179717</xdr:rowOff>
    </xdr:to>
    <xdr:sp macro="" textlink="">
      <xdr:nvSpPr>
        <xdr:cNvPr id="16" name="Rectangle: Diagonal Corners Rounded 15">
          <a:extLst>
            <a:ext uri="{FF2B5EF4-FFF2-40B4-BE49-F238E27FC236}">
              <a16:creationId xmlns:a16="http://schemas.microsoft.com/office/drawing/2014/main" id="{FB65A039-ECD6-8F8F-99E3-ED1B4C9888A7}"/>
            </a:ext>
          </a:extLst>
        </xdr:cNvPr>
        <xdr:cNvSpPr/>
      </xdr:nvSpPr>
      <xdr:spPr>
        <a:xfrm>
          <a:off x="13308041" y="1509623"/>
          <a:ext cx="3010261" cy="5984575"/>
        </a:xfrm>
        <a:prstGeom prst="round2DiagRect">
          <a:avLst/>
        </a:prstGeom>
        <a:solidFill>
          <a:srgbClr val="CA3BCD"/>
        </a:solidFill>
        <a:ln w="3810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168992</xdr:colOff>
      <xdr:row>7</xdr:row>
      <xdr:rowOff>141225</xdr:rowOff>
    </xdr:from>
    <xdr:to>
      <xdr:col>6</xdr:col>
      <xdr:colOff>333375</xdr:colOff>
      <xdr:row>21</xdr:row>
      <xdr:rowOff>11778</xdr:rowOff>
    </xdr:to>
    <xdr:graphicFrame macro="">
      <xdr:nvGraphicFramePr>
        <xdr:cNvPr id="7" name="Chart 6">
          <a:extLst>
            <a:ext uri="{FF2B5EF4-FFF2-40B4-BE49-F238E27FC236}">
              <a16:creationId xmlns:a16="http://schemas.microsoft.com/office/drawing/2014/main" id="{EF18C7B7-717B-440D-8643-A86449D9BB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454190</xdr:colOff>
      <xdr:row>7</xdr:row>
      <xdr:rowOff>141225</xdr:rowOff>
    </xdr:from>
    <xdr:to>
      <xdr:col>15</xdr:col>
      <xdr:colOff>158750</xdr:colOff>
      <xdr:row>21</xdr:row>
      <xdr:rowOff>0</xdr:rowOff>
    </xdr:to>
    <xdr:graphicFrame macro="">
      <xdr:nvGraphicFramePr>
        <xdr:cNvPr id="8" name="Chart 7">
          <a:extLst>
            <a:ext uri="{FF2B5EF4-FFF2-40B4-BE49-F238E27FC236}">
              <a16:creationId xmlns:a16="http://schemas.microsoft.com/office/drawing/2014/main" id="{2CF26358-A0F3-4E9E-A3EB-CD50003935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158751</xdr:colOff>
      <xdr:row>21</xdr:row>
      <xdr:rowOff>142873</xdr:rowOff>
    </xdr:from>
    <xdr:to>
      <xdr:col>5</xdr:col>
      <xdr:colOff>476251</xdr:colOff>
      <xdr:row>38</xdr:row>
      <xdr:rowOff>15874</xdr:rowOff>
    </xdr:to>
    <xdr:graphicFrame macro="">
      <xdr:nvGraphicFramePr>
        <xdr:cNvPr id="9" name="Chart 8">
          <a:extLst>
            <a:ext uri="{FF2B5EF4-FFF2-40B4-BE49-F238E27FC236}">
              <a16:creationId xmlns:a16="http://schemas.microsoft.com/office/drawing/2014/main" id="{16BF46F9-5747-457C-B244-8CBD9E32A6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577849</xdr:colOff>
      <xdr:row>21</xdr:row>
      <xdr:rowOff>142875</xdr:rowOff>
    </xdr:from>
    <xdr:to>
      <xdr:col>15</xdr:col>
      <xdr:colOff>174624</xdr:colOff>
      <xdr:row>38</xdr:row>
      <xdr:rowOff>0</xdr:rowOff>
    </xdr:to>
    <xdr:graphicFrame macro="">
      <xdr:nvGraphicFramePr>
        <xdr:cNvPr id="10" name="Chart 4">
          <a:extLst>
            <a:ext uri="{FF2B5EF4-FFF2-40B4-BE49-F238E27FC236}">
              <a16:creationId xmlns:a16="http://schemas.microsoft.com/office/drawing/2014/main" id="{3E03AF13-DAC8-562A-60F8-1DCE2E8518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127000</xdr:colOff>
      <xdr:row>0</xdr:row>
      <xdr:rowOff>158749</xdr:rowOff>
    </xdr:from>
    <xdr:to>
      <xdr:col>26</xdr:col>
      <xdr:colOff>485236</xdr:colOff>
      <xdr:row>7</xdr:row>
      <xdr:rowOff>15875</xdr:rowOff>
    </xdr:to>
    <xdr:sp macro="" textlink="">
      <xdr:nvSpPr>
        <xdr:cNvPr id="14" name="Rectangle: Diagonal Corners Rounded 13">
          <a:extLst>
            <a:ext uri="{FF2B5EF4-FFF2-40B4-BE49-F238E27FC236}">
              <a16:creationId xmlns:a16="http://schemas.microsoft.com/office/drawing/2014/main" id="{2EB0267E-9E06-1463-735E-163AB319CB6B}"/>
            </a:ext>
          </a:extLst>
        </xdr:cNvPr>
        <xdr:cNvSpPr/>
      </xdr:nvSpPr>
      <xdr:spPr>
        <a:xfrm>
          <a:off x="127000" y="158749"/>
          <a:ext cx="16245217" cy="1240947"/>
        </a:xfrm>
        <a:prstGeom prst="round2DiagRect">
          <a:avLst/>
        </a:prstGeom>
        <a:solidFill>
          <a:srgbClr val="7030A0"/>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6600">
              <a:latin typeface="Bahnschrift SemiBold" panose="020B0502040204020203" pitchFamily="34" charset="0"/>
            </a:rPr>
            <a:t>    </a:t>
          </a:r>
          <a:r>
            <a:rPr lang="en-US" sz="6000">
              <a:latin typeface="Bahnschrift SemiBold" panose="020B0502040204020203" pitchFamily="34" charset="0"/>
            </a:rPr>
            <a:t>Tesla vs Toyota: Performance Analytics</a:t>
          </a:r>
        </a:p>
      </xdr:txBody>
    </xdr:sp>
    <xdr:clientData/>
  </xdr:twoCellAnchor>
  <xdr:twoCellAnchor>
    <xdr:from>
      <xdr:col>21</xdr:col>
      <xdr:colOff>554504</xdr:colOff>
      <xdr:row>28</xdr:row>
      <xdr:rowOff>125803</xdr:rowOff>
    </xdr:from>
    <xdr:to>
      <xdr:col>26</xdr:col>
      <xdr:colOff>319297</xdr:colOff>
      <xdr:row>36</xdr:row>
      <xdr:rowOff>63500</xdr:rowOff>
    </xdr:to>
    <xdr:sp macro="" textlink="topregion">
      <xdr:nvSpPr>
        <xdr:cNvPr id="6" name="Rectangle 5">
          <a:extLst>
            <a:ext uri="{FF2B5EF4-FFF2-40B4-BE49-F238E27FC236}">
              <a16:creationId xmlns:a16="http://schemas.microsoft.com/office/drawing/2014/main" id="{1EECC576-959D-4E44-99E8-0BE9C5A2444E}"/>
            </a:ext>
          </a:extLst>
        </xdr:cNvPr>
        <xdr:cNvSpPr/>
      </xdr:nvSpPr>
      <xdr:spPr>
        <a:xfrm>
          <a:off x="13222754" y="5459803"/>
          <a:ext cx="2781043" cy="1461697"/>
        </a:xfrm>
        <a:prstGeom prst="rect">
          <a:avLst/>
        </a:prstGeom>
        <a:solidFill>
          <a:srgbClr val="7030A0"/>
        </a:solidFill>
        <a:ln>
          <a:noFill/>
        </a:ln>
        <a:effectLst/>
        <a:scene3d>
          <a:camera prst="orthographicFront">
            <a:rot lat="0" lon="0" rev="0"/>
          </a:camera>
          <a:lightRig rig="glow" dir="t">
            <a:rot lat="0" lon="0" rev="14100000"/>
          </a:lightRig>
        </a:scene3d>
        <a:sp3d prstMaterial="softEdge">
          <a:bevelT w="127000" prst="artDeco"/>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1D0F265-4566-4E82-B6E8-433976127C54}" type="TxLink">
            <a:rPr lang="en-US" sz="1800" b="0" i="0" u="none" strike="noStrike">
              <a:solidFill>
                <a:schemeClr val="bg1"/>
              </a:solidFill>
              <a:latin typeface="Calibri"/>
              <a:cs typeface="Calibri"/>
            </a:rPr>
            <a:pPr algn="ctr"/>
            <a:t>North America</a:t>
          </a:fld>
          <a:endParaRPr lang="en-US" sz="1800">
            <a:solidFill>
              <a:schemeClr val="bg1"/>
            </a:solidFill>
          </a:endParaRPr>
        </a:p>
      </xdr:txBody>
    </xdr:sp>
    <xdr:clientData/>
  </xdr:twoCellAnchor>
  <xdr:twoCellAnchor>
    <xdr:from>
      <xdr:col>21</xdr:col>
      <xdr:colOff>535558</xdr:colOff>
      <xdr:row>22</xdr:row>
      <xdr:rowOff>29653</xdr:rowOff>
    </xdr:from>
    <xdr:to>
      <xdr:col>26</xdr:col>
      <xdr:colOff>287547</xdr:colOff>
      <xdr:row>28</xdr:row>
      <xdr:rowOff>77961</xdr:rowOff>
    </xdr:to>
    <xdr:sp macro="" textlink="totalprofit">
      <xdr:nvSpPr>
        <xdr:cNvPr id="5" name="Rectangle 4">
          <a:extLst>
            <a:ext uri="{FF2B5EF4-FFF2-40B4-BE49-F238E27FC236}">
              <a16:creationId xmlns:a16="http://schemas.microsoft.com/office/drawing/2014/main" id="{8658F063-E7B7-4FDB-B918-225FD0ED5AC5}"/>
            </a:ext>
          </a:extLst>
        </xdr:cNvPr>
        <xdr:cNvSpPr/>
      </xdr:nvSpPr>
      <xdr:spPr>
        <a:xfrm>
          <a:off x="13367350" y="4378804"/>
          <a:ext cx="2807178" cy="1234440"/>
        </a:xfrm>
        <a:prstGeom prst="rect">
          <a:avLst/>
        </a:prstGeom>
        <a:solidFill>
          <a:srgbClr val="7030A0"/>
        </a:solidFill>
        <a:ln>
          <a:noFill/>
        </a:ln>
        <a:effectLst/>
        <a:scene3d>
          <a:camera prst="orthographicFront">
            <a:rot lat="0" lon="0" rev="0"/>
          </a:camera>
          <a:lightRig rig="glow" dir="t">
            <a:rot lat="0" lon="0" rev="14100000"/>
          </a:lightRig>
        </a:scene3d>
        <a:sp3d prstMaterial="softEdge">
          <a:bevelT w="127000" prst="artDeco"/>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F09BDE0-7675-4DE3-B4F1-20F63CE0A9E0}" type="TxLink">
            <a:rPr lang="en-US" sz="1800" b="0" i="0" u="none" strike="noStrike">
              <a:solidFill>
                <a:schemeClr val="bg1"/>
              </a:solidFill>
              <a:latin typeface="Calibri"/>
              <a:cs typeface="Calibri"/>
            </a:rPr>
            <a:pPr algn="ctr"/>
            <a:t> ₹ 11,353,406,968.20 </a:t>
          </a:fld>
          <a:endParaRPr lang="en-US" sz="1800">
            <a:solidFill>
              <a:schemeClr val="bg1"/>
            </a:solidFill>
          </a:endParaRPr>
        </a:p>
      </xdr:txBody>
    </xdr:sp>
    <xdr:clientData/>
  </xdr:twoCellAnchor>
  <xdr:twoCellAnchor>
    <xdr:from>
      <xdr:col>21</xdr:col>
      <xdr:colOff>557122</xdr:colOff>
      <xdr:row>15</xdr:row>
      <xdr:rowOff>131192</xdr:rowOff>
    </xdr:from>
    <xdr:to>
      <xdr:col>26</xdr:col>
      <xdr:colOff>269576</xdr:colOff>
      <xdr:row>21</xdr:row>
      <xdr:rowOff>179500</xdr:rowOff>
    </xdr:to>
    <xdr:sp macro="" textlink="totalunitsold">
      <xdr:nvSpPr>
        <xdr:cNvPr id="4" name="Rectangle 3">
          <a:extLst>
            <a:ext uri="{FF2B5EF4-FFF2-40B4-BE49-F238E27FC236}">
              <a16:creationId xmlns:a16="http://schemas.microsoft.com/office/drawing/2014/main" id="{A655F209-1ECB-4309-9DAC-CCA9B892EACE}"/>
            </a:ext>
          </a:extLst>
        </xdr:cNvPr>
        <xdr:cNvSpPr/>
      </xdr:nvSpPr>
      <xdr:spPr>
        <a:xfrm>
          <a:off x="13388914" y="3096522"/>
          <a:ext cx="2767643" cy="1234440"/>
        </a:xfrm>
        <a:prstGeom prst="rect">
          <a:avLst/>
        </a:prstGeom>
        <a:solidFill>
          <a:srgbClr val="7030A0"/>
        </a:solidFill>
        <a:ln>
          <a:noFill/>
        </a:ln>
        <a:effectLst/>
        <a:scene3d>
          <a:camera prst="orthographicFront">
            <a:rot lat="0" lon="0" rev="0"/>
          </a:camera>
          <a:lightRig rig="glow" dir="t">
            <a:rot lat="0" lon="0" rev="14100000"/>
          </a:lightRig>
        </a:scene3d>
        <a:sp3d prstMaterial="softEdge">
          <a:bevelT w="127000" prst="artDeco"/>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9DAA115-CD14-4652-89F9-BB8495861631}" type="TxLink">
            <a:rPr lang="en-US" sz="1800" b="0" i="0" u="none" strike="noStrike">
              <a:solidFill>
                <a:schemeClr val="bg1"/>
              </a:solidFill>
              <a:latin typeface="Calibri"/>
              <a:cs typeface="Calibri"/>
            </a:rPr>
            <a:pPr algn="ctr"/>
            <a:t>602462</a:t>
          </a:fld>
          <a:endParaRPr lang="en-US" sz="1800">
            <a:solidFill>
              <a:schemeClr val="bg1"/>
            </a:solidFill>
          </a:endParaRPr>
        </a:p>
      </xdr:txBody>
    </xdr:sp>
    <xdr:clientData/>
  </xdr:twoCellAnchor>
  <xdr:twoCellAnchor>
    <xdr:from>
      <xdr:col>22</xdr:col>
      <xdr:colOff>30799</xdr:colOff>
      <xdr:row>9</xdr:row>
      <xdr:rowOff>10377</xdr:rowOff>
    </xdr:from>
    <xdr:to>
      <xdr:col>26</xdr:col>
      <xdr:colOff>268026</xdr:colOff>
      <xdr:row>15</xdr:row>
      <xdr:rowOff>55463</xdr:rowOff>
    </xdr:to>
    <xdr:sp macro="" textlink="Totalrevenue">
      <xdr:nvSpPr>
        <xdr:cNvPr id="3" name="Rectangle 2">
          <a:extLst>
            <a:ext uri="{FF2B5EF4-FFF2-40B4-BE49-F238E27FC236}">
              <a16:creationId xmlns:a16="http://schemas.microsoft.com/office/drawing/2014/main" id="{926826AB-ABB9-49D8-91E9-781A96CEC7CA}"/>
            </a:ext>
          </a:extLst>
        </xdr:cNvPr>
        <xdr:cNvSpPr/>
      </xdr:nvSpPr>
      <xdr:spPr>
        <a:xfrm>
          <a:off x="13398644" y="1783998"/>
          <a:ext cx="2667744" cy="1227499"/>
        </a:xfrm>
        <a:prstGeom prst="rect">
          <a:avLst/>
        </a:prstGeom>
        <a:solidFill>
          <a:srgbClr val="7030A0"/>
        </a:solidFill>
        <a:ln>
          <a:noFill/>
        </a:ln>
        <a:effectLst/>
        <a:scene3d>
          <a:camera prst="orthographicFront">
            <a:rot lat="0" lon="0" rev="0"/>
          </a:camera>
          <a:lightRig rig="glow" dir="t">
            <a:rot lat="0" lon="0" rev="14100000"/>
          </a:lightRig>
        </a:scene3d>
        <a:sp3d prstMaterial="softEdge">
          <a:bevelT w="127000" prst="artDeco"/>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CE6AF34-1706-4FA4-959F-CB9F87C93219}" type="TxLink">
            <a:rPr lang="en-US" sz="1800" b="0" i="0" u="none" strike="noStrike" baseline="0">
              <a:solidFill>
                <a:schemeClr val="bg1"/>
              </a:solidFill>
              <a:latin typeface="Calibri"/>
              <a:cs typeface="Calibri"/>
            </a:rPr>
            <a:pPr algn="ctr"/>
            <a:t>₹ 37,423,578,289.34</a:t>
          </a:fld>
          <a:endParaRPr lang="en-US" sz="1800">
            <a:solidFill>
              <a:schemeClr val="bg1"/>
            </a:solidFill>
          </a:endParaRPr>
        </a:p>
      </xdr:txBody>
    </xdr:sp>
    <xdr:clientData/>
  </xdr:twoCellAnchor>
  <xdr:twoCellAnchor editAs="oneCell">
    <xdr:from>
      <xdr:col>15</xdr:col>
      <xdr:colOff>285750</xdr:colOff>
      <xdr:row>7</xdr:row>
      <xdr:rowOff>188162</xdr:rowOff>
    </xdr:from>
    <xdr:to>
      <xdr:col>18</xdr:col>
      <xdr:colOff>304800</xdr:colOff>
      <xdr:row>27</xdr:row>
      <xdr:rowOff>125802</xdr:rowOff>
    </xdr:to>
    <mc:AlternateContent xmlns:mc="http://schemas.openxmlformats.org/markup-compatibility/2006" xmlns:a14="http://schemas.microsoft.com/office/drawing/2010/main">
      <mc:Choice Requires="a14">
        <xdr:graphicFrame macro="">
          <xdr:nvGraphicFramePr>
            <xdr:cNvPr id="17" name="Date (Month)">
              <a:extLst>
                <a:ext uri="{FF2B5EF4-FFF2-40B4-BE49-F238E27FC236}">
                  <a16:creationId xmlns:a16="http://schemas.microsoft.com/office/drawing/2014/main" id="{FF48E6C0-2572-4486-BB72-C4EF95340AF8}"/>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9451316" y="1571983"/>
              <a:ext cx="1852163" cy="389141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391484</xdr:colOff>
      <xdr:row>23</xdr:row>
      <xdr:rowOff>195591</xdr:rowOff>
    </xdr:from>
    <xdr:to>
      <xdr:col>21</xdr:col>
      <xdr:colOff>410534</xdr:colOff>
      <xdr:row>29</xdr:row>
      <xdr:rowOff>161745</xdr:rowOff>
    </xdr:to>
    <mc:AlternateContent xmlns:mc="http://schemas.openxmlformats.org/markup-compatibility/2006" xmlns:a14="http://schemas.microsoft.com/office/drawing/2010/main">
      <mc:Choice Requires="a14">
        <xdr:graphicFrame macro="">
          <xdr:nvGraphicFramePr>
            <xdr:cNvPr id="19" name="Region">
              <a:extLst>
                <a:ext uri="{FF2B5EF4-FFF2-40B4-BE49-F238E27FC236}">
                  <a16:creationId xmlns:a16="http://schemas.microsoft.com/office/drawing/2014/main" id="{1C31FAF7-5B89-4827-8892-499ADC6724E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1390163" y="4732906"/>
              <a:ext cx="1852163" cy="116181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301624</xdr:colOff>
      <xdr:row>28</xdr:row>
      <xdr:rowOff>39238</xdr:rowOff>
    </xdr:from>
    <xdr:to>
      <xdr:col>18</xdr:col>
      <xdr:colOff>320674</xdr:colOff>
      <xdr:row>33</xdr:row>
      <xdr:rowOff>10664</xdr:rowOff>
    </xdr:to>
    <mc:AlternateContent xmlns:mc="http://schemas.openxmlformats.org/markup-compatibility/2006" xmlns:a14="http://schemas.microsoft.com/office/drawing/2010/main">
      <mc:Choice Requires="a14">
        <xdr:graphicFrame macro="">
          <xdr:nvGraphicFramePr>
            <xdr:cNvPr id="20" name="Company">
              <a:extLst>
                <a:ext uri="{FF2B5EF4-FFF2-40B4-BE49-F238E27FC236}">
                  <a16:creationId xmlns:a16="http://schemas.microsoft.com/office/drawing/2014/main" id="{C583791A-7755-49AD-BA39-2F5616E84A44}"/>
                </a:ext>
              </a:extLst>
            </xdr:cNvPr>
            <xdr:cNvGraphicFramePr/>
          </xdr:nvGraphicFramePr>
          <xdr:xfrm>
            <a:off x="0" y="0"/>
            <a:ext cx="0" cy="0"/>
          </xdr:xfrm>
          <a:graphic>
            <a:graphicData uri="http://schemas.microsoft.com/office/drawing/2010/slicer">
              <sle:slicer xmlns:sle="http://schemas.microsoft.com/office/drawing/2010/slicer" name="Company"/>
            </a:graphicData>
          </a:graphic>
        </xdr:graphicFrame>
      </mc:Choice>
      <mc:Fallback xmlns="">
        <xdr:sp macro="" textlink="">
          <xdr:nvSpPr>
            <xdr:cNvPr id="0" name=""/>
            <xdr:cNvSpPr>
              <a:spLocks noTextEdit="1"/>
            </xdr:cNvSpPr>
          </xdr:nvSpPr>
          <xdr:spPr>
            <a:xfrm>
              <a:off x="9467190" y="5574521"/>
              <a:ext cx="1852163" cy="9598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385193</xdr:colOff>
      <xdr:row>7</xdr:row>
      <xdr:rowOff>165039</xdr:rowOff>
    </xdr:from>
    <xdr:to>
      <xdr:col>21</xdr:col>
      <xdr:colOff>404243</xdr:colOff>
      <xdr:row>23</xdr:row>
      <xdr:rowOff>53915</xdr:rowOff>
    </xdr:to>
    <mc:AlternateContent xmlns:mc="http://schemas.openxmlformats.org/markup-compatibility/2006" xmlns:a14="http://schemas.microsoft.com/office/drawing/2010/main">
      <mc:Choice Requires="a14">
        <xdr:graphicFrame macro="">
          <xdr:nvGraphicFramePr>
            <xdr:cNvPr id="21" name="Model">
              <a:extLst>
                <a:ext uri="{FF2B5EF4-FFF2-40B4-BE49-F238E27FC236}">
                  <a16:creationId xmlns:a16="http://schemas.microsoft.com/office/drawing/2014/main" id="{9C915DE3-C99A-4411-9C22-8204FCA02A7F}"/>
                </a:ext>
              </a:extLst>
            </xdr:cNvPr>
            <xdr:cNvGraphicFramePr/>
          </xdr:nvGraphicFramePr>
          <xdr:xfrm>
            <a:off x="0" y="0"/>
            <a:ext cx="0" cy="0"/>
          </xdr:xfrm>
          <a:graphic>
            <a:graphicData uri="http://schemas.microsoft.com/office/drawing/2010/slicer">
              <sle:slicer xmlns:sle="http://schemas.microsoft.com/office/drawing/2010/slicer" name="Model"/>
            </a:graphicData>
          </a:graphic>
        </xdr:graphicFrame>
      </mc:Choice>
      <mc:Fallback xmlns="">
        <xdr:sp macro="" textlink="">
          <xdr:nvSpPr>
            <xdr:cNvPr id="0" name=""/>
            <xdr:cNvSpPr>
              <a:spLocks noTextEdit="1"/>
            </xdr:cNvSpPr>
          </xdr:nvSpPr>
          <xdr:spPr>
            <a:xfrm>
              <a:off x="11383872" y="1548860"/>
              <a:ext cx="1852163" cy="305189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22</xdr:col>
      <xdr:colOff>323488</xdr:colOff>
      <xdr:row>9</xdr:row>
      <xdr:rowOff>143773</xdr:rowOff>
    </xdr:from>
    <xdr:ext cx="1979901" cy="376513"/>
    <xdr:sp macro="" textlink="">
      <xdr:nvSpPr>
        <xdr:cNvPr id="22" name="TextBox 21">
          <a:extLst>
            <a:ext uri="{FF2B5EF4-FFF2-40B4-BE49-F238E27FC236}">
              <a16:creationId xmlns:a16="http://schemas.microsoft.com/office/drawing/2014/main" id="{E26D3F8D-C50C-F36F-0A92-FA282B371DB1}"/>
            </a:ext>
          </a:extLst>
        </xdr:cNvPr>
        <xdr:cNvSpPr txBox="1"/>
      </xdr:nvSpPr>
      <xdr:spPr>
        <a:xfrm>
          <a:off x="13766318" y="1922971"/>
          <a:ext cx="1979901" cy="3765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2000">
              <a:solidFill>
                <a:schemeClr val="bg1"/>
              </a:solidFill>
              <a:latin typeface="Britannic Bold" panose="020B0903060703020204" pitchFamily="34" charset="0"/>
            </a:rPr>
            <a:t>TOTAL REVENUE</a:t>
          </a:r>
        </a:p>
      </xdr:txBody>
    </xdr:sp>
    <xdr:clientData/>
  </xdr:oneCellAnchor>
  <xdr:oneCellAnchor>
    <xdr:from>
      <xdr:col>22</xdr:col>
      <xdr:colOff>287547</xdr:colOff>
      <xdr:row>16</xdr:row>
      <xdr:rowOff>107830</xdr:rowOff>
    </xdr:from>
    <xdr:ext cx="2089803" cy="376513"/>
    <xdr:sp macro="" textlink="">
      <xdr:nvSpPr>
        <xdr:cNvPr id="23" name="TextBox 22">
          <a:extLst>
            <a:ext uri="{FF2B5EF4-FFF2-40B4-BE49-F238E27FC236}">
              <a16:creationId xmlns:a16="http://schemas.microsoft.com/office/drawing/2014/main" id="{0E57ED99-1758-AC97-321C-B934AD4426C6}"/>
            </a:ext>
          </a:extLst>
        </xdr:cNvPr>
        <xdr:cNvSpPr txBox="1"/>
      </xdr:nvSpPr>
      <xdr:spPr>
        <a:xfrm>
          <a:off x="13730377" y="3270849"/>
          <a:ext cx="2089803" cy="3765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2000">
              <a:solidFill>
                <a:schemeClr val="bg1"/>
              </a:solidFill>
              <a:latin typeface="Britannic Bold" panose="020B0903060703020204" pitchFamily="34" charset="0"/>
            </a:rPr>
            <a:t>TOTAL UNITSOLD</a:t>
          </a:r>
        </a:p>
      </xdr:txBody>
    </xdr:sp>
    <xdr:clientData/>
  </xdr:oneCellAnchor>
  <xdr:oneCellAnchor>
    <xdr:from>
      <xdr:col>22</xdr:col>
      <xdr:colOff>449293</xdr:colOff>
      <xdr:row>22</xdr:row>
      <xdr:rowOff>161745</xdr:rowOff>
    </xdr:from>
    <xdr:ext cx="1784719" cy="376513"/>
    <xdr:sp macro="" textlink="">
      <xdr:nvSpPr>
        <xdr:cNvPr id="24" name="TextBox 23">
          <a:extLst>
            <a:ext uri="{FF2B5EF4-FFF2-40B4-BE49-F238E27FC236}">
              <a16:creationId xmlns:a16="http://schemas.microsoft.com/office/drawing/2014/main" id="{5E4976A3-7205-AD9C-E23F-A2DC255A2F11}"/>
            </a:ext>
          </a:extLst>
        </xdr:cNvPr>
        <xdr:cNvSpPr txBox="1"/>
      </xdr:nvSpPr>
      <xdr:spPr>
        <a:xfrm>
          <a:off x="13892123" y="4510896"/>
          <a:ext cx="1784719" cy="3765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2000">
              <a:solidFill>
                <a:schemeClr val="bg1"/>
              </a:solidFill>
              <a:latin typeface="Britannic Bold" panose="020B0903060703020204" pitchFamily="34" charset="0"/>
            </a:rPr>
            <a:t>TOTAL PROFIT</a:t>
          </a:r>
        </a:p>
      </xdr:txBody>
    </xdr:sp>
    <xdr:clientData/>
  </xdr:oneCellAnchor>
  <xdr:oneCellAnchor>
    <xdr:from>
      <xdr:col>21</xdr:col>
      <xdr:colOff>340532</xdr:colOff>
      <xdr:row>29</xdr:row>
      <xdr:rowOff>16422</xdr:rowOff>
    </xdr:from>
    <xdr:ext cx="3163019" cy="660694"/>
    <xdr:sp macro="" textlink="">
      <xdr:nvSpPr>
        <xdr:cNvPr id="25" name="TextBox 24">
          <a:extLst>
            <a:ext uri="{FF2B5EF4-FFF2-40B4-BE49-F238E27FC236}">
              <a16:creationId xmlns:a16="http://schemas.microsoft.com/office/drawing/2014/main" id="{39439EDA-FADB-C604-3C21-90EA050CBD09}"/>
            </a:ext>
          </a:extLst>
        </xdr:cNvPr>
        <xdr:cNvSpPr txBox="1"/>
      </xdr:nvSpPr>
      <xdr:spPr>
        <a:xfrm>
          <a:off x="13100748" y="5731422"/>
          <a:ext cx="3163019" cy="66069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2000">
              <a:solidFill>
                <a:schemeClr val="bg1"/>
              </a:solidFill>
              <a:latin typeface="Britannic Bold" panose="020B0903060703020204" pitchFamily="34" charset="0"/>
            </a:rPr>
            <a:t>Top Performing </a:t>
          </a:r>
        </a:p>
        <a:p>
          <a:pPr algn="ctr"/>
          <a:r>
            <a:rPr lang="en-US" sz="2000">
              <a:solidFill>
                <a:schemeClr val="bg1"/>
              </a:solidFill>
              <a:latin typeface="Britannic Bold" panose="020B0903060703020204" pitchFamily="34" charset="0"/>
            </a:rPr>
            <a:t>Region</a:t>
          </a:r>
        </a:p>
      </xdr:txBody>
    </xdr:sp>
    <xdr:clientData/>
  </xdr:oneCellAnchor>
  <xdr:twoCellAnchor editAs="oneCell">
    <xdr:from>
      <xdr:col>0</xdr:col>
      <xdr:colOff>534276</xdr:colOff>
      <xdr:row>1</xdr:row>
      <xdr:rowOff>80689</xdr:rowOff>
    </xdr:from>
    <xdr:to>
      <xdr:col>2</xdr:col>
      <xdr:colOff>419318</xdr:colOff>
      <xdr:row>6</xdr:row>
      <xdr:rowOff>189076</xdr:rowOff>
    </xdr:to>
    <xdr:pic>
      <xdr:nvPicPr>
        <xdr:cNvPr id="26" name="Graphic 25" descr="Bar chart with solid fill">
          <a:extLst>
            <a:ext uri="{FF2B5EF4-FFF2-40B4-BE49-F238E27FC236}">
              <a16:creationId xmlns:a16="http://schemas.microsoft.com/office/drawing/2014/main" id="{EF1C13D2-DCE1-5DA2-C240-DF2FA06037EE}"/>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34276" y="271189"/>
          <a:ext cx="1091542" cy="1060887"/>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1234" refreshedDate="45953.850358796299" createdVersion="8" refreshedVersion="8" minRefreshableVersion="3" recordCount="2200" xr:uid="{BF73540F-CFE1-48C0-A2AF-B0FAAF07CD0D}">
  <cacheSource type="worksheet">
    <worksheetSource name="car_data"/>
  </cacheSource>
  <cacheFields count="10">
    <cacheField name="Date" numFmtId="0">
      <sharedItems containsSemiMixedTypes="0" containsString="0" containsNumber="1" containsInteger="1" minValue="43831" maxValue="45657" count="1271">
        <n v="43879"/>
        <n v="43931"/>
        <n v="44204"/>
        <n v="45161"/>
        <n v="43966"/>
        <n v="44441"/>
        <n v="45422"/>
        <n v="44892"/>
        <n v="44974"/>
        <n v="44634"/>
        <n v="45415"/>
        <n v="44726"/>
        <n v="43961"/>
        <n v="44009"/>
        <n v="44406"/>
        <n v="45005"/>
        <n v="44364"/>
        <n v="45591"/>
        <n v="44629"/>
        <n v="44976"/>
        <n v="44016"/>
        <n v="45657"/>
        <n v="45649"/>
        <n v="44656"/>
        <n v="45216"/>
        <n v="44021"/>
        <n v="44884"/>
        <n v="44933"/>
        <n v="45389"/>
        <n v="45334"/>
        <n v="44407"/>
        <n v="44345"/>
        <n v="45196"/>
        <n v="44675"/>
        <n v="44347"/>
        <n v="44200"/>
        <n v="45474"/>
        <n v="45549"/>
        <n v="44816"/>
        <n v="45248"/>
        <n v="44302"/>
        <n v="43886"/>
        <n v="44296"/>
        <n v="44124"/>
        <n v="44372"/>
        <n v="45310"/>
        <n v="45016"/>
        <n v="44381"/>
        <n v="45639"/>
        <n v="45061"/>
        <n v="44804"/>
        <n v="45486"/>
        <n v="44821"/>
        <n v="44212"/>
        <n v="45316"/>
        <n v="45464"/>
        <n v="44993"/>
        <n v="44782"/>
        <n v="44410"/>
        <n v="44199"/>
        <n v="44104"/>
        <n v="44333"/>
        <n v="44869"/>
        <n v="44357"/>
        <n v="44811"/>
        <n v="45081"/>
        <n v="44468"/>
        <n v="44004"/>
        <n v="44047"/>
        <n v="43921"/>
        <n v="45325"/>
        <n v="44541"/>
        <n v="45343"/>
        <n v="45200"/>
        <n v="44906"/>
        <n v="45368"/>
        <n v="45345"/>
        <n v="44643"/>
        <n v="43958"/>
        <n v="45100"/>
        <n v="44314"/>
        <n v="44515"/>
        <n v="44922"/>
        <n v="45366"/>
        <n v="43943"/>
        <n v="44469"/>
        <n v="44110"/>
        <n v="44601"/>
        <n v="44567"/>
        <n v="45051"/>
        <n v="45308"/>
        <n v="44825"/>
        <n v="44126"/>
        <n v="45425"/>
        <n v="44300"/>
        <n v="43891"/>
        <n v="44987"/>
        <n v="44815"/>
        <n v="44548"/>
        <n v="44082"/>
        <n v="44048"/>
        <n v="44956"/>
        <n v="44294"/>
        <n v="44471"/>
        <n v="45067"/>
        <n v="43952"/>
        <n v="44849"/>
        <n v="44115"/>
        <n v="44630"/>
        <n v="44507"/>
        <n v="45203"/>
        <n v="44972"/>
        <n v="44863"/>
        <n v="45358"/>
        <n v="43860"/>
        <n v="44583"/>
        <n v="45351"/>
        <n v="45103"/>
        <n v="44149"/>
        <n v="45174"/>
        <n v="45595"/>
        <n v="43843"/>
        <n v="44961"/>
        <n v="44142"/>
        <n v="45226"/>
        <n v="44035"/>
        <n v="44761"/>
        <n v="45085"/>
        <n v="45646"/>
        <n v="44271"/>
        <n v="44838"/>
        <n v="45439"/>
        <n v="45356"/>
        <n v="44780"/>
        <n v="44572"/>
        <n v="44827"/>
        <n v="45322"/>
        <n v="45065"/>
        <n v="45476"/>
        <n v="44272"/>
        <n v="44790"/>
        <n v="44129"/>
        <n v="44402"/>
        <n v="44160"/>
        <n v="45219"/>
        <n v="44102"/>
        <n v="45585"/>
        <n v="44695"/>
        <n v="44862"/>
        <n v="44107"/>
        <n v="44705"/>
        <n v="45642"/>
        <n v="44042"/>
        <n v="44135"/>
        <n v="44501"/>
        <n v="43901"/>
        <n v="44377"/>
        <n v="44929"/>
        <n v="44456"/>
        <n v="45256"/>
        <n v="44978"/>
        <n v="45079"/>
        <n v="44702"/>
        <n v="45141"/>
        <n v="44957"/>
        <n v="44467"/>
        <n v="44590"/>
        <n v="44639"/>
        <n v="45027"/>
        <n v="44202"/>
        <n v="44169"/>
        <n v="44587"/>
        <n v="45509"/>
        <n v="45070"/>
        <n v="44550"/>
        <n v="44604"/>
        <n v="44225"/>
        <n v="44315"/>
        <n v="45180"/>
        <n v="45385"/>
        <n v="44600"/>
        <n v="44472"/>
        <n v="44796"/>
        <n v="45154"/>
        <n v="45506"/>
        <n v="45446"/>
        <n v="45038"/>
        <n v="44238"/>
        <n v="45235"/>
        <n v="43954"/>
        <n v="44109"/>
        <n v="45211"/>
        <n v="44679"/>
        <n v="45294"/>
        <n v="44551"/>
        <n v="45036"/>
        <n v="45281"/>
        <n v="45239"/>
        <n v="45307"/>
        <n v="44571"/>
        <n v="45431"/>
        <n v="45338"/>
        <n v="43900"/>
        <n v="44070"/>
        <n v="44763"/>
        <n v="45280"/>
        <n v="44839"/>
        <n v="45627"/>
        <n v="44570"/>
        <n v="44703"/>
        <n v="45626"/>
        <n v="43899"/>
        <n v="44768"/>
        <n v="44562"/>
        <n v="44817"/>
        <n v="44132"/>
        <n v="43839"/>
        <n v="44778"/>
        <n v="43889"/>
        <n v="45371"/>
        <n v="44198"/>
        <n v="43928"/>
        <n v="45031"/>
        <n v="44802"/>
        <n v="45450"/>
        <n v="44405"/>
        <n v="44715"/>
        <n v="45194"/>
        <n v="44394"/>
        <n v="44488"/>
        <n v="44465"/>
        <n v="44231"/>
        <n v="44795"/>
        <n v="45259"/>
        <n v="44213"/>
        <n v="43914"/>
        <n v="45542"/>
        <n v="43859"/>
        <n v="45455"/>
        <n v="45409"/>
        <n v="44502"/>
        <n v="44444"/>
        <n v="44813"/>
        <n v="45188"/>
        <n v="44622"/>
        <n v="44663"/>
        <n v="45099"/>
        <n v="44686"/>
        <n v="44708"/>
        <n v="44598"/>
        <n v="45149"/>
        <n v="44689"/>
        <n v="45109"/>
        <n v="44920"/>
        <n v="43967"/>
        <n v="44011"/>
        <n v="45545"/>
        <n v="44755"/>
        <n v="43969"/>
        <n v="44367"/>
        <n v="45028"/>
        <n v="45457"/>
        <n v="44885"/>
        <n v="44544"/>
        <n v="44879"/>
        <n v="44934"/>
        <n v="44485"/>
        <n v="45052"/>
        <n v="44044"/>
        <n v="44800"/>
        <n v="45438"/>
        <n v="44803"/>
        <n v="45332"/>
        <n v="44901"/>
        <n v="44953"/>
        <n v="45370"/>
        <n v="44226"/>
        <n v="44905"/>
        <n v="44148"/>
        <n v="45014"/>
        <n v="44055"/>
        <n v="45047"/>
        <n v="44712"/>
        <n v="44610"/>
        <n v="45078"/>
        <n v="45423"/>
        <n v="43976"/>
        <n v="44903"/>
        <n v="43840"/>
        <n v="44607"/>
        <n v="44195"/>
        <n v="45551"/>
        <n v="44399"/>
        <n v="44546"/>
        <n v="43927"/>
        <n v="43907"/>
        <n v="45411"/>
        <n v="43980"/>
        <n v="45571"/>
        <n v="44545"/>
        <n v="45126"/>
        <n v="44499"/>
        <n v="45560"/>
        <n v="44360"/>
        <n v="45089"/>
        <n v="44942"/>
        <n v="45278"/>
        <n v="44902"/>
        <n v="45375"/>
        <n v="44103"/>
        <n v="45162"/>
        <n v="45073"/>
        <n v="44401"/>
        <n v="44693"/>
        <n v="45487"/>
        <n v="45227"/>
        <n v="44045"/>
        <n v="44738"/>
        <n v="44330"/>
        <n v="44348"/>
        <n v="44952"/>
        <n v="44874"/>
        <n v="43850"/>
        <n v="43911"/>
        <n v="44748"/>
        <n v="44482"/>
        <n v="44211"/>
        <n v="45379"/>
        <n v="44190"/>
        <n v="44427"/>
        <n v="45168"/>
        <n v="45205"/>
        <n v="44122"/>
        <n v="44785"/>
        <n v="45326"/>
        <n v="45496"/>
        <n v="45491"/>
        <n v="45364"/>
        <n v="43991"/>
        <n v="44056"/>
        <n v="44236"/>
        <n v="45340"/>
        <n v="45610"/>
        <n v="45311"/>
        <n v="44155"/>
        <n v="44352"/>
        <n v="44022"/>
        <n v="44053"/>
        <n v="45534"/>
        <n v="44770"/>
        <n v="45143"/>
        <n v="44525"/>
        <n v="45569"/>
        <n v="45572"/>
        <n v="44178"/>
        <n v="44087"/>
        <n v="44775"/>
        <n v="44450"/>
        <n v="44749"/>
        <n v="43938"/>
        <n v="44069"/>
        <n v="44691"/>
        <n v="44669"/>
        <n v="45042"/>
        <n v="45365"/>
        <n v="44220"/>
        <n v="44186"/>
        <n v="45319"/>
        <n v="44524"/>
        <n v="43990"/>
        <n v="44912"/>
        <n v="45580"/>
        <n v="43844"/>
        <n v="44941"/>
        <n v="44433"/>
        <n v="45521"/>
        <n v="45110"/>
        <n v="44313"/>
        <n v="44664"/>
        <n v="44511"/>
        <n v="45112"/>
        <n v="44000"/>
        <n v="44633"/>
        <n v="44358"/>
        <n v="45420"/>
        <n v="44845"/>
        <n v="45654"/>
        <n v="43973"/>
        <n v="44866"/>
        <n v="45615"/>
        <n v="44144"/>
        <n v="44831"/>
        <n v="45012"/>
        <n v="44982"/>
        <n v="44730"/>
        <n v="45096"/>
        <n v="44147"/>
        <n v="44292"/>
        <n v="44218"/>
        <n v="45071"/>
        <n v="44727"/>
        <n v="45158"/>
        <n v="45273"/>
        <n v="44023"/>
        <n v="44277"/>
        <n v="45398"/>
        <n v="45267"/>
        <n v="44490"/>
        <n v="45148"/>
        <n v="44742"/>
        <n v="44423"/>
        <n v="45314"/>
        <n v="44008"/>
        <n v="44331"/>
        <n v="45416"/>
        <n v="44464"/>
        <n v="45336"/>
        <n v="44789"/>
        <n v="44791"/>
        <n v="44216"/>
        <n v="45159"/>
        <n v="45113"/>
        <n v="44900"/>
        <n v="43986"/>
        <n v="45330"/>
        <n v="44036"/>
        <n v="44537"/>
        <n v="44319"/>
        <n v="45421"/>
        <n v="45546"/>
        <n v="44074"/>
        <n v="45125"/>
        <n v="44387"/>
        <n v="44232"/>
        <n v="44865"/>
        <n v="45138"/>
        <n v="44257"/>
        <n v="44939"/>
        <n v="45419"/>
        <n v="44776"/>
        <n v="44753"/>
        <n v="45543"/>
        <n v="45244"/>
        <n v="45049"/>
        <n v="45206"/>
        <n v="43925"/>
        <n v="43875"/>
        <n v="44723"/>
        <n v="44615"/>
        <n v="44403"/>
        <n v="45263"/>
        <n v="44745"/>
        <n v="44293"/>
        <n v="44636"/>
        <n v="45323"/>
        <n v="44751"/>
        <n v="45317"/>
        <n v="43873"/>
        <n v="44065"/>
        <n v="45387"/>
        <n v="44895"/>
        <n v="43852"/>
        <n v="45189"/>
        <n v="44266"/>
        <n v="43842"/>
        <n v="43941"/>
        <n v="45470"/>
        <n v="45060"/>
        <n v="45559"/>
        <n v="43837"/>
        <n v="44940"/>
        <n v="44840"/>
        <n v="45588"/>
        <n v="44328"/>
        <n v="44697"/>
        <n v="44191"/>
        <n v="45380"/>
        <n v="44327"/>
        <n v="43950"/>
        <n v="45157"/>
        <n v="43923"/>
        <n v="44012"/>
        <n v="43894"/>
        <n v="45602"/>
        <n v="44010"/>
        <n v="45427"/>
        <n v="44521"/>
        <n v="44919"/>
        <n v="43995"/>
        <n v="44408"/>
        <n v="45140"/>
        <n v="44766"/>
        <n v="43944"/>
        <n v="44415"/>
        <n v="44332"/>
        <n v="44289"/>
        <n v="43863"/>
        <n v="43970"/>
        <n v="44301"/>
        <n v="45252"/>
        <n v="43942"/>
        <n v="44414"/>
        <n v="44788"/>
        <n v="45481"/>
        <n v="45171"/>
        <n v="45499"/>
        <n v="44068"/>
        <n v="44084"/>
        <n v="43960"/>
        <n v="44020"/>
        <n v="45592"/>
        <n v="45300"/>
        <n v="44734"/>
        <n v="45430"/>
        <n v="45243"/>
        <n v="44555"/>
        <n v="44967"/>
        <n v="44039"/>
        <n v="45342"/>
        <n v="43979"/>
        <n v="45296"/>
        <n v="44760"/>
        <n v="44274"/>
        <n v="44909"/>
        <n v="43870"/>
        <n v="44552"/>
        <n v="45202"/>
        <n v="44559"/>
        <n v="43934"/>
        <n v="44867"/>
        <n v="44846"/>
        <n v="44992"/>
        <n v="43947"/>
        <n v="44174"/>
        <n v="45137"/>
        <n v="45083"/>
        <n v="44557"/>
        <n v="44685"/>
        <n v="44413"/>
        <n v="45283"/>
        <n v="45197"/>
        <n v="44080"/>
        <n v="44645"/>
        <n v="45525"/>
        <n v="44783"/>
        <n v="44130"/>
        <n v="45266"/>
        <n v="43957"/>
        <n v="44111"/>
        <n v="44125"/>
        <n v="44793"/>
        <n v="45529"/>
        <n v="43932"/>
        <n v="44054"/>
        <n v="45166"/>
        <n v="44290"/>
        <n v="45295"/>
        <n v="44411"/>
        <n v="44370"/>
        <n v="44497"/>
        <n v="45512"/>
        <n v="44168"/>
        <n v="45277"/>
        <n v="45511"/>
        <n v="44911"/>
        <n v="44605"/>
        <n v="45490"/>
        <n v="44420"/>
        <n v="45510"/>
        <n v="45318"/>
        <n v="44608"/>
        <n v="44019"/>
        <n v="45185"/>
        <n v="44538"/>
        <n v="44085"/>
        <n v="44379"/>
        <n v="44988"/>
        <n v="44910"/>
        <n v="45029"/>
        <n v="43864"/>
        <n v="45451"/>
        <n v="45417"/>
        <n v="44267"/>
        <n v="43917"/>
        <n v="44419"/>
        <n v="44522"/>
        <n v="44383"/>
        <n v="45130"/>
        <n v="44767"/>
        <n v="44681"/>
        <n v="45465"/>
        <n v="45142"/>
        <n v="45004"/>
        <n v="44667"/>
        <n v="44844"/>
        <n v="44121"/>
        <n v="44424"/>
        <n v="44476"/>
        <n v="45518"/>
        <n v="44847"/>
        <n v="45621"/>
        <n v="45218"/>
        <n v="44829"/>
        <n v="45394"/>
        <n v="44309"/>
        <n v="45224"/>
        <n v="44446"/>
        <n v="43866"/>
        <n v="44872"/>
        <n v="44826"/>
        <n v="45279"/>
        <n v="45503"/>
        <n v="44563"/>
        <n v="44870"/>
        <n v="44948"/>
        <n v="45020"/>
        <n v="45111"/>
        <n v="44283"/>
        <n v="45349"/>
        <n v="45021"/>
        <n v="45328"/>
        <n v="45104"/>
        <n v="44066"/>
        <n v="43898"/>
        <n v="45077"/>
        <n v="45528"/>
        <n v="44651"/>
        <n v="44621"/>
        <n v="43971"/>
        <n v="44924"/>
        <n v="44858"/>
        <n v="45228"/>
        <n v="44166"/>
        <n v="44187"/>
        <n v="45264"/>
        <n v="45076"/>
        <n v="44273"/>
        <n v="44409"/>
        <n v="44960"/>
        <n v="44378"/>
        <n v="43903"/>
        <n v="44986"/>
        <n v="44606"/>
        <n v="45093"/>
        <n v="44998"/>
        <n v="45429"/>
        <n v="45437"/>
        <n v="44032"/>
        <n v="44871"/>
        <n v="44891"/>
        <n v="45367"/>
        <n v="45564"/>
        <n v="44554"/>
        <n v="44505"/>
        <n v="43946"/>
        <n v="44027"/>
        <n v="44071"/>
        <n v="44152"/>
        <n v="44041"/>
        <n v="44108"/>
        <n v="44030"/>
        <n v="44329"/>
        <n v="44575"/>
        <n v="44973"/>
        <n v="43890"/>
        <n v="44137"/>
        <n v="45066"/>
        <n v="44057"/>
        <n v="44765"/>
        <n v="45321"/>
        <n v="44718"/>
        <n v="45019"/>
        <n v="45495"/>
        <n v="43846"/>
        <n v="45344"/>
        <n v="44995"/>
        <n v="45579"/>
        <n v="45329"/>
        <n v="44481"/>
        <n v="45353"/>
        <n v="44966"/>
        <n v="43955"/>
        <n v="43868"/>
        <n v="45257"/>
        <n v="44642"/>
        <n v="44927"/>
        <n v="44491"/>
        <n v="44243"/>
        <n v="44025"/>
        <n v="44915"/>
        <n v="44061"/>
        <n v="44363"/>
        <n v="45327"/>
        <n v="44696"/>
        <n v="45405"/>
        <n v="44781"/>
        <n v="45482"/>
        <n v="45369"/>
        <n v="44131"/>
        <n v="45396"/>
        <n v="44943"/>
        <n v="45293"/>
        <n v="45541"/>
        <n v="44343"/>
        <n v="45053"/>
        <n v="44075"/>
        <n v="45616"/>
        <n v="44638"/>
        <n v="45274"/>
        <n v="44100"/>
        <n v="45101"/>
        <n v="45350"/>
        <n v="44249"/>
        <n v="45374"/>
        <n v="45653"/>
        <n v="44185"/>
        <n v="43926"/>
        <n v="44462"/>
        <n v="44828"/>
        <n v="45565"/>
        <n v="45453"/>
        <n v="44028"/>
        <n v="45395"/>
        <n v="45285"/>
        <n v="45462"/>
        <n v="44217"/>
        <n v="45587"/>
        <n v="44564"/>
        <n v="44711"/>
        <n v="45655"/>
        <n v="45003"/>
        <n v="44151"/>
        <n v="44981"/>
        <n v="44077"/>
        <n v="45261"/>
        <n v="44692"/>
        <n v="45424"/>
        <n v="44878"/>
        <n v="44699"/>
        <n v="45604"/>
        <n v="44127"/>
        <n v="43856"/>
        <n v="45460"/>
        <n v="45372"/>
        <n v="45442"/>
        <n v="44116"/>
        <n v="44473"/>
        <n v="44344"/>
        <n v="45650"/>
        <n v="44193"/>
        <n v="45086"/>
        <n v="45412"/>
        <n v="44282"/>
        <n v="45606"/>
        <n v="45406"/>
        <n v="45607"/>
        <n v="45531"/>
        <n v="44736"/>
        <n v="44954"/>
        <n v="45246"/>
        <n v="44728"/>
        <n v="44259"/>
        <n v="44386"/>
        <n v="44875"/>
        <n v="44150"/>
        <n v="45055"/>
        <n v="45504"/>
        <n v="44244"/>
        <n v="43912"/>
        <n v="44704"/>
        <n v="45075"/>
        <n v="45122"/>
        <n v="44118"/>
        <n v="44285"/>
        <n v="45515"/>
        <n v="45584"/>
        <n v="44005"/>
        <n v="45258"/>
        <n v="45399"/>
        <n v="44017"/>
        <n v="44861"/>
        <n v="44119"/>
        <n v="45129"/>
        <n v="43848"/>
        <n v="44097"/>
        <n v="45007"/>
        <n v="44325"/>
        <n v="44655"/>
        <n v="43939"/>
        <n v="44167"/>
        <n v="45520"/>
        <n v="45456"/>
        <n v="44741"/>
        <n v="45359"/>
        <n v="44964"/>
        <n v="44985"/>
        <n v="45132"/>
        <n v="44756"/>
        <n v="44677"/>
        <n v="44373"/>
        <n v="44733"/>
        <n v="44046"/>
        <n v="45098"/>
        <n v="45508"/>
        <n v="44873"/>
        <n v="44904"/>
        <n v="45570"/>
        <n v="43937"/>
        <n v="43878"/>
        <n v="43854"/>
        <n v="44454"/>
        <n v="44659"/>
        <n v="45468"/>
        <n v="44851"/>
        <n v="44970"/>
        <n v="44516"/>
        <n v="44181"/>
        <n v="44318"/>
        <n v="45048"/>
        <n v="45204"/>
        <n v="45088"/>
        <n v="45391"/>
        <n v="43985"/>
        <n v="45392"/>
        <n v="45117"/>
        <n v="44955"/>
        <n v="45026"/>
        <n v="43838"/>
        <n v="44822"/>
        <n v="45598"/>
        <n v="44463"/>
        <n v="43949"/>
        <n v="44713"/>
        <n v="44824"/>
        <n v="44652"/>
        <n v="45472"/>
        <n v="44445"/>
        <n v="44509"/>
        <n v="45253"/>
        <n v="44233"/>
        <n v="45645"/>
        <n v="45115"/>
        <n v="44887"/>
        <n v="44146"/>
        <n v="44666"/>
        <n v="44819"/>
        <n v="44773"/>
        <n v="45651"/>
        <n v="45124"/>
        <n v="44307"/>
        <n v="44426"/>
        <n v="44323"/>
        <n v="44534"/>
        <n v="45550"/>
        <n v="44577"/>
        <n v="44392"/>
        <n v="44018"/>
        <n v="44205"/>
        <n v="44073"/>
        <n v="44303"/>
        <n v="44219"/>
        <n v="45303"/>
        <n v="44430"/>
        <n v="45221"/>
        <n v="44561"/>
        <n v="44478"/>
        <n v="45594"/>
        <n v="44518"/>
        <n v="45146"/>
        <n v="45033"/>
        <n v="43936"/>
        <n v="43945"/>
        <n v="44113"/>
        <n v="44732"/>
        <n v="45152"/>
        <n v="44269"/>
        <n v="44455"/>
        <n v="44081"/>
        <n v="44560"/>
        <n v="44737"/>
        <n v="44893"/>
        <n v="44154"/>
        <n v="45562"/>
        <n v="43874"/>
        <n v="44260"/>
        <n v="44771"/>
        <n v="45600"/>
        <n v="43935"/>
        <n v="44565"/>
        <n v="44609"/>
        <n v="43989"/>
        <n v="45478"/>
        <n v="45108"/>
        <n v="45179"/>
        <n v="45347"/>
        <n v="45608"/>
        <n v="44365"/>
        <n v="44201"/>
        <n v="44429"/>
        <n v="44928"/>
        <n v="44620"/>
        <n v="44918"/>
        <n v="44668"/>
        <n v="44899"/>
        <n v="44623"/>
        <n v="45566"/>
        <n v="43977"/>
        <n v="45652"/>
        <n v="44400"/>
        <n v="44014"/>
        <n v="43984"/>
        <n v="45526"/>
        <n v="44823"/>
        <n v="44626"/>
        <n v="44592"/>
        <n v="45418"/>
        <n v="45288"/>
        <n v="44532"/>
        <n v="43847"/>
        <n v="44735"/>
        <n v="44279"/>
        <n v="45517"/>
        <n v="44362"/>
        <n v="44531"/>
        <n v="44003"/>
        <n v="45605"/>
        <n v="45131"/>
        <n v="44512"/>
        <n v="45324"/>
        <n v="45612"/>
        <n v="45145"/>
        <n v="43909"/>
        <n v="45155"/>
        <n v="44114"/>
        <n v="44962"/>
        <n v="45633"/>
        <n v="44335"/>
        <n v="44868"/>
        <n v="44428"/>
        <n v="44860"/>
        <n v="43906"/>
        <n v="44569"/>
        <n v="44722"/>
        <n v="44914"/>
        <n v="45557"/>
        <n v="45636"/>
        <n v="44239"/>
        <n v="44997"/>
        <n v="44222"/>
        <n v="45628"/>
        <n v="45567"/>
        <n v="45493"/>
        <n v="45265"/>
        <n v="45198"/>
        <n v="45383"/>
        <n v="43862"/>
        <n v="44568"/>
        <n v="45574"/>
        <n v="44164"/>
        <n v="45414"/>
        <n v="43861"/>
        <n v="45613"/>
        <n v="45238"/>
        <n v="45199"/>
        <n v="45177"/>
        <n v="44448"/>
        <n v="44276"/>
        <n v="44480"/>
        <n v="45589"/>
        <n v="45183"/>
        <n v="44324"/>
        <n v="44093"/>
        <n v="44635"/>
        <n v="43897"/>
        <n v="44864"/>
        <n v="44578"/>
        <n v="45440"/>
        <n v="44240"/>
        <n v="45270"/>
        <n v="45381"/>
        <n v="44470"/>
        <n v="45172"/>
        <n v="45553"/>
        <n v="44720"/>
        <n v="44092"/>
        <n v="44322"/>
        <n v="45292"/>
        <n v="44617"/>
        <n v="44707"/>
        <n v="44374"/>
        <n v="44143"/>
        <n v="44230"/>
        <n v="45165"/>
        <n v="45519"/>
        <n v="44493"/>
        <n v="44158"/>
        <n v="44173"/>
        <n v="44245"/>
        <n v="44063"/>
        <n v="43924"/>
        <n v="44215"/>
        <n v="43975"/>
        <n v="44913"/>
        <n v="44117"/>
        <n v="44673"/>
        <n v="44983"/>
        <n v="43888"/>
        <n v="44837"/>
        <n v="45333"/>
        <n v="45080"/>
        <n v="44975"/>
        <n v="43940"/>
        <n v="45578"/>
        <n v="44596"/>
        <n v="45625"/>
        <n v="45629"/>
        <n v="44297"/>
        <n v="44969"/>
        <n v="44421"/>
        <n v="44368"/>
        <n v="44618"/>
        <n v="44416"/>
        <n v="45410"/>
        <n v="44105"/>
        <n v="44291"/>
        <n v="44064"/>
        <n v="44650"/>
        <n v="44128"/>
        <n v="44094"/>
        <n v="45388"/>
        <n v="44172"/>
        <n v="45313"/>
        <n v="45435"/>
        <n v="45091"/>
        <n v="45094"/>
        <n v="45237"/>
        <n v="45105"/>
        <n v="44599"/>
        <n v="45163"/>
        <n v="45448"/>
        <n v="44750"/>
        <n v="45059"/>
        <n v="45433"/>
        <n v="44979"/>
        <n v="43902"/>
        <n v="45357"/>
        <n v="44340"/>
        <n v="44280"/>
        <n v="43855"/>
        <n v="45097"/>
        <n v="45290"/>
        <n v="44731"/>
        <n v="44076"/>
        <n v="45401"/>
        <n v="44526"/>
        <n v="45192"/>
        <n v="44221"/>
        <n v="45250"/>
        <n v="45619"/>
        <n v="44523"/>
        <n v="44529"/>
        <n v="43968"/>
        <n v="45035"/>
        <n v="45513"/>
        <n v="44818"/>
        <n v="44461"/>
        <n v="45488"/>
        <n v="43915"/>
        <n v="44794"/>
        <n v="44649"/>
        <n v="44295"/>
        <n v="43877"/>
        <n v="45382"/>
        <n v="44351"/>
        <n v="44029"/>
        <n v="43881"/>
        <n v="44787"/>
        <n v="45023"/>
        <n v="44396"/>
        <n v="44418"/>
        <n v="44510"/>
        <n v="45352"/>
        <n v="44096"/>
        <n v="44398"/>
        <n v="44674"/>
        <n v="44716"/>
        <n v="44641"/>
        <n v="44582"/>
        <n v="45245"/>
        <n v="45590"/>
        <n v="44528"/>
        <n v="45611"/>
        <n v="45208"/>
        <n v="45576"/>
        <n v="45413"/>
        <n v="45647"/>
        <n v="45135"/>
        <n v="44573"/>
        <n v="44306"/>
        <n v="44536"/>
        <n v="44417"/>
        <n v="44859"/>
        <n v="44235"/>
        <n v="44772"/>
        <n v="44180"/>
        <n v="44161"/>
        <n v="44359"/>
        <n v="45554"/>
        <n v="44250"/>
        <n v="45044"/>
        <n v="44342"/>
        <n v="44489"/>
        <n v="44937"/>
        <n v="44994"/>
        <n v="45638"/>
        <n v="44700"/>
        <n v="44298"/>
        <n v="45297"/>
        <n v="43871"/>
        <n v="44921"/>
        <n v="44397"/>
        <n v="43972"/>
        <n v="43831"/>
        <n v="44519"/>
        <n v="45477"/>
        <n v="44786"/>
        <n v="44616"/>
        <n v="44658"/>
        <n v="43896"/>
        <n v="44725"/>
        <n v="44558"/>
        <n v="44527"/>
        <n v="45623"/>
        <n v="45597"/>
        <n v="44089"/>
        <n v="44336"/>
        <n v="44214"/>
        <n v="44729"/>
        <n v="44589"/>
        <n v="45516"/>
        <n v="45484"/>
        <n v="45407"/>
        <n v="44165"/>
        <n v="44176"/>
        <n v="44270"/>
        <n v="44278"/>
        <n v="43965"/>
        <n v="44412"/>
        <n v="44963"/>
        <n v="43951"/>
        <n v="45586"/>
        <n v="44453"/>
        <n v="44744"/>
        <n v="45426"/>
        <n v="45479"/>
        <n v="44661"/>
        <n v="44452"/>
        <n v="44033"/>
        <n v="44612"/>
        <n v="44917"/>
        <n v="44171"/>
        <n v="44437"/>
        <n v="44371"/>
        <n v="44247"/>
        <n v="44031"/>
        <n v="45363"/>
        <n v="44951"/>
        <n v="45454"/>
        <n v="45532"/>
        <n v="45169"/>
        <n v="44646"/>
        <n v="44286"/>
        <n v="44841"/>
        <n v="45011"/>
        <n v="45643"/>
        <n v="45583"/>
        <n v="44175"/>
        <n v="45548"/>
        <n v="44194"/>
        <n v="44535"/>
        <n v="44106"/>
        <n v="45523"/>
        <n v="45187"/>
        <n v="44688"/>
        <n v="45302"/>
        <n v="43953"/>
        <n v="44631"/>
        <n v="45530"/>
        <n v="44989"/>
        <n v="44326"/>
        <n v="43964"/>
        <n v="45268"/>
        <n v="44709"/>
        <n v="45354"/>
        <n v="45119"/>
        <n v="45428"/>
        <n v="45010"/>
        <n v="45378"/>
        <n v="44665"/>
        <n v="44252"/>
        <n v="44810"/>
        <n v="45634"/>
        <n v="44334"/>
        <n v="45443"/>
        <n v="43853"/>
        <n v="44248"/>
        <n v="44457"/>
        <n v="44714"/>
        <n v="43988"/>
        <n v="45563"/>
        <n v="45361"/>
        <n v="45210"/>
        <n v="44338"/>
        <n v="43930"/>
        <n v="43948"/>
        <n v="44719"/>
        <n v="43929"/>
        <n v="45441"/>
        <n v="45040"/>
        <n v="44051"/>
        <n v="45624"/>
        <n v="44965"/>
        <n v="43858"/>
        <n v="44246"/>
        <n v="44798"/>
        <n v="45593"/>
        <n v="44304"/>
        <n v="44894"/>
        <n v="44207"/>
        <n v="43832"/>
        <n v="45306"/>
        <n v="45331"/>
        <n v="44850"/>
        <n v="45223"/>
        <n v="45575"/>
        <n v="44382"/>
        <n v="44038"/>
        <n v="45212"/>
        <n v="44466"/>
        <n v="44881"/>
        <n v="44354"/>
        <n v="45449"/>
        <n v="44442"/>
        <n v="45501"/>
        <n v="45092"/>
        <n v="45207"/>
        <n v="44506"/>
        <n v="43849"/>
        <n v="45164"/>
        <n v="44024"/>
        <n v="43993"/>
        <n v="44052"/>
        <n v="44264"/>
        <n v="44762"/>
        <n v="45039"/>
        <n v="45447"/>
        <n v="44877"/>
        <n v="44647"/>
        <n v="45201"/>
        <n v="45544"/>
        <n v="44814"/>
        <n v="44101"/>
        <n v="44013"/>
        <n v="44644"/>
        <n v="43982"/>
        <n v="44855"/>
        <n v="44262"/>
        <n v="44078"/>
        <n v="44625"/>
        <n v="45182"/>
        <n v="44690"/>
      </sharedItems>
      <fieldGroup base="0">
        <rangePr startNum="43831" endNum="45657" groupInterval="100"/>
        <groupItems count="21">
          <s v="&lt;43831"/>
          <s v="43831-43930"/>
          <s v="43931-44030"/>
          <s v="44031-44130"/>
          <s v="44131-44230"/>
          <s v="44231-44330"/>
          <s v="44331-44430"/>
          <s v="44431-44530"/>
          <s v="44531-44630"/>
          <s v="44631-44730"/>
          <s v="44731-44830"/>
          <s v="44831-44930"/>
          <s v="44931-45030"/>
          <s v="45031-45130"/>
          <s v="45131-45230"/>
          <s v="45231-45330"/>
          <s v="45331-45430"/>
          <s v="45431-45530"/>
          <s v="45531-45630"/>
          <s v="45631-45730"/>
          <s v="&gt;45731"/>
        </groupItems>
      </fieldGroup>
    </cacheField>
    <cacheField name="Company" numFmtId="0">
      <sharedItems count="2">
        <s v="Tesla"/>
        <s v="Toyota"/>
      </sharedItems>
    </cacheField>
    <cacheField name="Model" numFmtId="0">
      <sharedItems count="10">
        <s v="Cybertruck"/>
        <s v="Model 3"/>
        <s v="Model S"/>
        <s v="Model Y"/>
        <s v="Model X"/>
        <s v="Prius"/>
        <s v="Hilux"/>
        <s v="RAV4"/>
        <s v="Corolla"/>
        <s v="Camry"/>
      </sharedItems>
    </cacheField>
    <cacheField name="Region" numFmtId="0">
      <sharedItems count="3">
        <s v="Europe"/>
        <s v="Asia"/>
        <s v="North America"/>
      </sharedItems>
    </cacheField>
    <cacheField name="Units_Sold" numFmtId="0">
      <sharedItems containsSemiMixedTypes="0" containsString="0" containsNumber="1" containsInteger="1" minValue="50" maxValue="499"/>
    </cacheField>
    <cacheField name="Revenue" numFmtId="0">
      <sharedItems containsSemiMixedTypes="0" containsString="0" containsNumber="1" minValue="1925881.04" maxValue="44005760.840000004"/>
    </cacheField>
    <cacheField name="Profit" numFmtId="0">
      <sharedItems containsSemiMixedTypes="0" containsString="0" containsNumber="1" minValue="492672.28" maxValue="15992094.189999999"/>
    </cacheField>
    <cacheField name="Production_Cost" numFmtId="0">
      <sharedItems containsSemiMixedTypes="0" containsString="0" containsNumber="1" minValue="1396334.41" maxValue="30453442.300000001"/>
    </cacheField>
    <cacheField name="Dealer_Discount" numFmtId="0">
      <sharedItems containsSemiMixedTypes="0" containsString="0" containsNumber="1" minValue="0.5" maxValue="5"/>
    </cacheField>
    <cacheField name="Customer_Rating" numFmtId="0">
      <sharedItems containsSemiMixedTypes="0" containsString="0" containsNumber="1" minValue="3.5" maxValue="5"/>
    </cacheField>
  </cacheFields>
  <extLst>
    <ext xmlns:x14="http://schemas.microsoft.com/office/spreadsheetml/2009/9/main" uri="{725AE2AE-9491-48be-B2B4-4EB974FC3084}">
      <x14:pivotCacheDefinition pivotCacheId="177617669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1234" refreshedDate="46035.446675925923" backgroundQuery="1" createdVersion="8" refreshedVersion="8" minRefreshableVersion="3" recordCount="0" supportSubquery="1" supportAdvancedDrill="1" xr:uid="{904C2070-D007-49AB-A818-B14C4EB0BA8C}">
  <cacheSource type="external" connectionId="4"/>
  <cacheFields count="4">
    <cacheField name="[Range].[Date].[Date]" caption="Date" numFmtId="0" hierarchy="10" level="1">
      <sharedItems containsNonDate="0" containsString="0" containsBlank="1" count="1">
        <m/>
      </sharedItems>
    </cacheField>
    <cacheField name="[Range].[Date (Month)].[Date (Month)]" caption="Date (Month)" numFmtId="0" hierarchy="11" level="1">
      <sharedItems count="13">
        <s v=""/>
        <s v="Jan"/>
        <s v="Feb"/>
        <s v="Mar"/>
        <s v="Apr"/>
        <s v="May"/>
        <s v="Jun"/>
        <s v="Jul"/>
        <s v="Aug"/>
        <s v="Sep"/>
        <s v="Oct"/>
        <s v="Nov"/>
        <s v="Dec"/>
      </sharedItems>
    </cacheField>
    <cacheField name="[car_data].[Company].[Company]" caption="Company" numFmtId="0" hierarchy="1" level="1">
      <sharedItems count="2">
        <s v="Tesla"/>
        <s v="Toyota"/>
      </sharedItems>
    </cacheField>
    <cacheField name="[Measures].[Sum of Units_Sold]" caption="Sum of Units_Sold" numFmtId="0" hierarchy="16" level="32767"/>
  </cacheFields>
  <cacheHierarchies count="18">
    <cacheHierarchy uniqueName="[car_data].[Date]" caption="Date" attribute="1" defaultMemberUniqueName="[car_data].[Date].[All]" allUniqueName="[car_data].[Date].[All]" dimensionUniqueName="[car_data]" displayFolder="" count="2" memberValueDatatype="20" unbalanced="0"/>
    <cacheHierarchy uniqueName="[car_data].[Company]" caption="Company" attribute="1" defaultMemberUniqueName="[car_data].[Company].[All]" allUniqueName="[car_data].[Company].[All]" dimensionUniqueName="[car_data]" displayFolder="" count="2" memberValueDatatype="130" unbalanced="0">
      <fieldsUsage count="2">
        <fieldUsage x="-1"/>
        <fieldUsage x="2"/>
      </fieldsUsage>
    </cacheHierarchy>
    <cacheHierarchy uniqueName="[car_data].[Model]" caption="Model" attribute="1" defaultMemberUniqueName="[car_data].[Model].[All]" allUniqueName="[car_data].[Model].[All]" dimensionUniqueName="[car_data]" displayFolder="" count="2" memberValueDatatype="130" unbalanced="0"/>
    <cacheHierarchy uniqueName="[car_data].[Region]" caption="Region" attribute="1" defaultMemberUniqueName="[car_data].[Region].[All]" allUniqueName="[car_data].[Region].[All]" dimensionUniqueName="[car_data]" displayFolder="" count="2" memberValueDatatype="130" unbalanced="0"/>
    <cacheHierarchy uniqueName="[car_data].[Units_Sold]" caption="Units_Sold" attribute="1" defaultMemberUniqueName="[car_data].[Units_Sold].[All]" allUniqueName="[car_data].[Units_Sold].[All]" dimensionUniqueName="[car_data]" displayFolder="" count="2" memberValueDatatype="20" unbalanced="0"/>
    <cacheHierarchy uniqueName="[car_data].[Revenue]" caption="Revenue" attribute="1" defaultMemberUniqueName="[car_data].[Revenue].[All]" allUniqueName="[car_data].[Revenue].[All]" dimensionUniqueName="[car_data]" displayFolder="" count="2" memberValueDatatype="5" unbalanced="0"/>
    <cacheHierarchy uniqueName="[car_data].[Profit]" caption="Profit" attribute="1" defaultMemberUniqueName="[car_data].[Profit].[All]" allUniqueName="[car_data].[Profit].[All]" dimensionUniqueName="[car_data]" displayFolder="" count="2" memberValueDatatype="5" unbalanced="0"/>
    <cacheHierarchy uniqueName="[car_data].[Production_Cost]" caption="Production_Cost" attribute="1" defaultMemberUniqueName="[car_data].[Production_Cost].[All]" allUniqueName="[car_data].[Production_Cost].[All]" dimensionUniqueName="[car_data]" displayFolder="" count="2" memberValueDatatype="5" unbalanced="0"/>
    <cacheHierarchy uniqueName="[car_data].[Dealer_Discount]" caption="Dealer_Discount" attribute="1" defaultMemberUniqueName="[car_data].[Dealer_Discount].[All]" allUniqueName="[car_data].[Dealer_Discount].[All]" dimensionUniqueName="[car_data]" displayFolder="" count="2" memberValueDatatype="5" unbalanced="0"/>
    <cacheHierarchy uniqueName="[car_data].[Customer_Rating]" caption="Customer_Rating" attribute="1" defaultMemberUniqueName="[car_data].[Customer_Rating].[All]" allUniqueName="[car_data].[Customer_Rating].[All]" dimensionUniqueName="[car_data]" displayFolder="" count="2" memberValueDatatype="5" unbalanced="0"/>
    <cacheHierarchy uniqueName="[Range].[Date]" caption="Date" attribute="1" time="1" defaultMemberUniqueName="[Range].[Date].[All]" allUniqueName="[Range].[Date].[All]" dimensionUniqueName="[Range]" displayFolder="" count="2" memberValueDatatype="7" unbalanced="0">
      <fieldsUsage count="2">
        <fieldUsage x="-1"/>
        <fieldUsage x="0"/>
      </fieldsUsage>
    </cacheHierarchy>
    <cacheHierarchy uniqueName="[Range].[Date (Month)]" caption="Date (Month)" attribute="1" defaultMemberUniqueName="[Range].[Date (Month)].[All]" allUniqueName="[Range].[Date (Month)].[All]" dimensionUniqueName="[Range]" displayFolder="" count="2" memberValueDatatype="130" unbalanced="0">
      <fieldsUsage count="2">
        <fieldUsage x="-1"/>
        <fieldUsage x="1"/>
      </fieldsUsage>
    </cacheHierarchy>
    <cacheHierarchy uniqueName="[Range].[Date (Month Index)]" caption="Date (Month Index)" attribute="1" defaultMemberUniqueName="[Range].[Date (Month Index)].[All]" allUniqueName="[Range].[Date (Month Index)].[All]" dimensionUniqueName="[Range]" displayFolder="" count="2" memberValueDatatype="20" unbalanced="0" hidden="1"/>
    <cacheHierarchy uniqueName="[Measures].[__XL_Count car_data]" caption="__XL_Count car_data" measure="1" displayFolder="" measureGroup="car_data"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Units_Sold]" caption="Sum of Units_Sold" measure="1" displayFolder="" measureGroup="car_data" count="0" oneField="1" hidden="1">
      <fieldsUsage count="1">
        <fieldUsage x="3"/>
      </fieldsUsage>
      <extLst>
        <ext xmlns:x15="http://schemas.microsoft.com/office/spreadsheetml/2010/11/main" uri="{B97F6D7D-B522-45F9-BDA1-12C45D357490}">
          <x15:cacheHierarchy aggregatedColumn="4"/>
        </ext>
      </extLst>
    </cacheHierarchy>
    <cacheHierarchy uniqueName="[Measures].[Sum of Revenue]" caption="Sum of Revenue" measure="1" displayFolder="" measureGroup="car_data" count="0" hidden="1">
      <extLst>
        <ext xmlns:x15="http://schemas.microsoft.com/office/spreadsheetml/2010/11/main" uri="{B97F6D7D-B522-45F9-BDA1-12C45D357490}">
          <x15:cacheHierarchy aggregatedColumn="5"/>
        </ext>
      </extLst>
    </cacheHierarchy>
  </cacheHierarchies>
  <kpis count="0"/>
  <dimensions count="3">
    <dimension name="car_data" uniqueName="[car_data]" caption="car_data"/>
    <dimension measure="1" name="Measures" uniqueName="[Measures]" caption="Measures"/>
    <dimension name="Range" uniqueName="[Range]" caption="Range"/>
  </dimensions>
  <measureGroups count="2">
    <measureGroup name="car_data" caption="car_data"/>
    <measureGroup name="Range" caption="Range"/>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1234" refreshedDate="46035.446676388892" backgroundQuery="1" createdVersion="8" refreshedVersion="8" minRefreshableVersion="3" recordCount="0" supportSubquery="1" supportAdvancedDrill="1" xr:uid="{004DB750-9B1F-4AEF-9BF6-CBADEEB4DBAA}">
  <cacheSource type="external" connectionId="4"/>
  <cacheFields count="3">
    <cacheField name="[car_data].[Company].[Company]" caption="Company" numFmtId="0" hierarchy="1" level="1">
      <sharedItems count="2">
        <s v="Tesla"/>
        <s v="Toyota"/>
      </sharedItems>
    </cacheField>
    <cacheField name="[Measures].[Sum of Revenue]" caption="Sum of Revenue" numFmtId="0" hierarchy="17" level="32767"/>
    <cacheField name="[Range].[Date (Month)].[Date (Month)]" caption="Date (Month)" numFmtId="0" hierarchy="11" level="1">
      <sharedItems containsSemiMixedTypes="0" containsNonDate="0" containsString="0"/>
    </cacheField>
  </cacheFields>
  <cacheHierarchies count="18">
    <cacheHierarchy uniqueName="[car_data].[Date]" caption="Date" attribute="1" defaultMemberUniqueName="[car_data].[Date].[All]" allUniqueName="[car_data].[Date].[All]" dimensionUniqueName="[car_data]" displayFolder="" count="2" memberValueDatatype="20" unbalanced="0"/>
    <cacheHierarchy uniqueName="[car_data].[Company]" caption="Company" attribute="1" defaultMemberUniqueName="[car_data].[Company].[All]" allUniqueName="[car_data].[Company].[All]" dimensionUniqueName="[car_data]" displayFolder="" count="2" memberValueDatatype="130" unbalanced="0">
      <fieldsUsage count="2">
        <fieldUsage x="-1"/>
        <fieldUsage x="0"/>
      </fieldsUsage>
    </cacheHierarchy>
    <cacheHierarchy uniqueName="[car_data].[Model]" caption="Model" attribute="1" defaultMemberUniqueName="[car_data].[Model].[All]" allUniqueName="[car_data].[Model].[All]" dimensionUniqueName="[car_data]" displayFolder="" count="2" memberValueDatatype="130" unbalanced="0"/>
    <cacheHierarchy uniqueName="[car_data].[Region]" caption="Region" attribute="1" defaultMemberUniqueName="[car_data].[Region].[All]" allUniqueName="[car_data].[Region].[All]" dimensionUniqueName="[car_data]" displayFolder="" count="2" memberValueDatatype="130" unbalanced="0"/>
    <cacheHierarchy uniqueName="[car_data].[Units_Sold]" caption="Units_Sold" attribute="1" defaultMemberUniqueName="[car_data].[Units_Sold].[All]" allUniqueName="[car_data].[Units_Sold].[All]" dimensionUniqueName="[car_data]" displayFolder="" count="2" memberValueDatatype="20" unbalanced="0"/>
    <cacheHierarchy uniqueName="[car_data].[Revenue]" caption="Revenue" attribute="1" defaultMemberUniqueName="[car_data].[Revenue].[All]" allUniqueName="[car_data].[Revenue].[All]" dimensionUniqueName="[car_data]" displayFolder="" count="2" memberValueDatatype="5" unbalanced="0"/>
    <cacheHierarchy uniqueName="[car_data].[Profit]" caption="Profit" attribute="1" defaultMemberUniqueName="[car_data].[Profit].[All]" allUniqueName="[car_data].[Profit].[All]" dimensionUniqueName="[car_data]" displayFolder="" count="2" memberValueDatatype="5" unbalanced="0"/>
    <cacheHierarchy uniqueName="[car_data].[Production_Cost]" caption="Production_Cost" attribute="1" defaultMemberUniqueName="[car_data].[Production_Cost].[All]" allUniqueName="[car_data].[Production_Cost].[All]" dimensionUniqueName="[car_data]" displayFolder="" count="2" memberValueDatatype="5" unbalanced="0"/>
    <cacheHierarchy uniqueName="[car_data].[Dealer_Discount]" caption="Dealer_Discount" attribute="1" defaultMemberUniqueName="[car_data].[Dealer_Discount].[All]" allUniqueName="[car_data].[Dealer_Discount].[All]" dimensionUniqueName="[car_data]" displayFolder="" count="2" memberValueDatatype="5" unbalanced="0"/>
    <cacheHierarchy uniqueName="[car_data].[Customer_Rating]" caption="Customer_Rating" attribute="1" defaultMemberUniqueName="[car_data].[Customer_Rating].[All]" allUniqueName="[car_data].[Customer_Rating].[All]" dimensionUniqueName="[car_data]" displayFolder="" count="2" memberValueDatatype="5" unbalanced="0"/>
    <cacheHierarchy uniqueName="[Range].[Date]" caption="Date" attribute="1" time="1" defaultMemberUniqueName="[Range].[Date].[All]" allUniqueName="[Range].[Date].[All]" dimensionUniqueName="[Range]" displayFolder="" count="2" memberValueDatatype="7" unbalanced="0"/>
    <cacheHierarchy uniqueName="[Range].[Date (Month)]" caption="Date (Month)" attribute="1" defaultMemberUniqueName="[Range].[Date (Month)].[All]" allUniqueName="[Range].[Date (Month)].[All]" dimensionUniqueName="[Range]" displayFolder="" count="2" memberValueDatatype="130" unbalanced="0">
      <fieldsUsage count="2">
        <fieldUsage x="-1"/>
        <fieldUsage x="2"/>
      </fieldsUsage>
    </cacheHierarchy>
    <cacheHierarchy uniqueName="[Range].[Date (Month Index)]" caption="Date (Month Index)" attribute="1" defaultMemberUniqueName="[Range].[Date (Month Index)].[All]" allUniqueName="[Range].[Date (Month Index)].[All]" dimensionUniqueName="[Range]" displayFolder="" count="2" memberValueDatatype="20" unbalanced="0" hidden="1"/>
    <cacheHierarchy uniqueName="[Measures].[__XL_Count car_data]" caption="__XL_Count car_data" measure="1" displayFolder="" measureGroup="car_data"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Units_Sold]" caption="Sum of Units_Sold" measure="1" displayFolder="" measureGroup="car_data" count="0" hidden="1">
      <extLst>
        <ext xmlns:x15="http://schemas.microsoft.com/office/spreadsheetml/2010/11/main" uri="{B97F6D7D-B522-45F9-BDA1-12C45D357490}">
          <x15:cacheHierarchy aggregatedColumn="4"/>
        </ext>
      </extLst>
    </cacheHierarchy>
    <cacheHierarchy uniqueName="[Measures].[Sum of Revenue]" caption="Sum of Revenue" measure="1" displayFolder="" measureGroup="car_data" count="0" oneField="1" hidden="1">
      <fieldsUsage count="1">
        <fieldUsage x="1"/>
      </fieldsUsage>
      <extLst>
        <ext xmlns:x15="http://schemas.microsoft.com/office/spreadsheetml/2010/11/main" uri="{B97F6D7D-B522-45F9-BDA1-12C45D357490}">
          <x15:cacheHierarchy aggregatedColumn="5"/>
        </ext>
      </extLst>
    </cacheHierarchy>
  </cacheHierarchies>
  <kpis count="0"/>
  <dimensions count="3">
    <dimension name="car_data" uniqueName="[car_data]" caption="car_data"/>
    <dimension measure="1" name="Measures" uniqueName="[Measures]" caption="Measures"/>
    <dimension name="Range" uniqueName="[Range]" caption="Range"/>
  </dimensions>
  <measureGroups count="2">
    <measureGroup name="car_data" caption="car_data"/>
    <measureGroup name="Range" caption="Range"/>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1234" refreshedDate="45954.925332870371" backgroundQuery="1" createdVersion="3" refreshedVersion="8" minRefreshableVersion="3" recordCount="0" supportSubquery="1" supportAdvancedDrill="1" xr:uid="{B156AE01-C154-4018-A5F5-41C0C47DF52C}">
  <cacheSource type="external" connectionId="4">
    <extLst>
      <ext xmlns:x14="http://schemas.microsoft.com/office/spreadsheetml/2009/9/main" uri="{F057638F-6D5F-4e77-A914-E7F072B9BCA8}">
        <x14:sourceConnection name="ThisWorkbookDataModel"/>
      </ext>
    </extLst>
  </cacheSource>
  <cacheFields count="0"/>
  <cacheHierarchies count="18">
    <cacheHierarchy uniqueName="[car_data].[Date]" caption="Date" attribute="1" defaultMemberUniqueName="[car_data].[Date].[All]" allUniqueName="[car_data].[Date].[All]" dimensionUniqueName="[car_data]" displayFolder="" count="0" memberValueDatatype="20" unbalanced="0"/>
    <cacheHierarchy uniqueName="[car_data].[Company]" caption="Company" attribute="1" defaultMemberUniqueName="[car_data].[Company].[All]" allUniqueName="[car_data].[Company].[All]" dimensionUniqueName="[car_data]" displayFolder="" count="2" memberValueDatatype="130" unbalanced="0"/>
    <cacheHierarchy uniqueName="[car_data].[Model]" caption="Model" attribute="1" defaultMemberUniqueName="[car_data].[Model].[All]" allUniqueName="[car_data].[Model].[All]" dimensionUniqueName="[car_data]" displayFolder="" count="0" memberValueDatatype="130" unbalanced="0"/>
    <cacheHierarchy uniqueName="[car_data].[Region]" caption="Region" attribute="1" defaultMemberUniqueName="[car_data].[Region].[All]" allUniqueName="[car_data].[Region].[All]" dimensionUniqueName="[car_data]" displayFolder="" count="0" memberValueDatatype="130" unbalanced="0"/>
    <cacheHierarchy uniqueName="[car_data].[Units_Sold]" caption="Units_Sold" attribute="1" defaultMemberUniqueName="[car_data].[Units_Sold].[All]" allUniqueName="[car_data].[Units_Sold].[All]" dimensionUniqueName="[car_data]" displayFolder="" count="0" memberValueDatatype="20" unbalanced="0"/>
    <cacheHierarchy uniqueName="[car_data].[Revenue]" caption="Revenue" attribute="1" defaultMemberUniqueName="[car_data].[Revenue].[All]" allUniqueName="[car_data].[Revenue].[All]" dimensionUniqueName="[car_data]" displayFolder="" count="0" memberValueDatatype="5" unbalanced="0"/>
    <cacheHierarchy uniqueName="[car_data].[Profit]" caption="Profit" attribute="1" defaultMemberUniqueName="[car_data].[Profit].[All]" allUniqueName="[car_data].[Profit].[All]" dimensionUniqueName="[car_data]" displayFolder="" count="0" memberValueDatatype="5" unbalanced="0"/>
    <cacheHierarchy uniqueName="[car_data].[Production_Cost]" caption="Production_Cost" attribute="1" defaultMemberUniqueName="[car_data].[Production_Cost].[All]" allUniqueName="[car_data].[Production_Cost].[All]" dimensionUniqueName="[car_data]" displayFolder="" count="0" memberValueDatatype="5" unbalanced="0"/>
    <cacheHierarchy uniqueName="[car_data].[Dealer_Discount]" caption="Dealer_Discount" attribute="1" defaultMemberUniqueName="[car_data].[Dealer_Discount].[All]" allUniqueName="[car_data].[Dealer_Discount].[All]" dimensionUniqueName="[car_data]" displayFolder="" count="0" memberValueDatatype="5" unbalanced="0"/>
    <cacheHierarchy uniqueName="[car_data].[Customer_Rating]" caption="Customer_Rating" attribute="1" defaultMemberUniqueName="[car_data].[Customer_Rating].[All]" allUniqueName="[car_data].[Customer_Rating].[All]" dimensionUniqueName="[car_data]" displayFolder="" count="0" memberValueDatatype="5" unbalanced="0"/>
    <cacheHierarchy uniqueName="[Range].[Date]" caption="Date" attribute="1" time="1" defaultMemberUniqueName="[Range].[Date].[All]" allUniqueName="[Range].[Date].[All]" dimensionUniqueName="[Range]" displayFolder="" count="0" memberValueDatatype="7" unbalanced="0"/>
    <cacheHierarchy uniqueName="[Range].[Date (Month)]" caption="Date (Month)" attribute="1" defaultMemberUniqueName="[Range].[Date (Month)].[All]" allUniqueName="[Range].[Date (Month)].[All]" dimensionUniqueName="[Range]" displayFolder="" count="2" memberValueDatatype="130"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Measures].[__XL_Count car_data]" caption="__XL_Count car_data" measure="1" displayFolder="" measureGroup="car_data"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Units_Sold]" caption="Sum of Units_Sold" measure="1" displayFolder="" measureGroup="car_data" count="0" hidden="1">
      <extLst>
        <ext xmlns:x15="http://schemas.microsoft.com/office/spreadsheetml/2010/11/main" uri="{B97F6D7D-B522-45F9-BDA1-12C45D357490}">
          <x15:cacheHierarchy aggregatedColumn="4"/>
        </ext>
      </extLst>
    </cacheHierarchy>
    <cacheHierarchy uniqueName="[Measures].[Sum of Revenue]" caption="Sum of Revenue" measure="1" displayFolder="" measureGroup="car_data" count="0" hidden="1">
      <extLst>
        <ext xmlns:x15="http://schemas.microsoft.com/office/spreadsheetml/2010/11/main" uri="{B97F6D7D-B522-45F9-BDA1-12C45D357490}">
          <x15:cacheHierarchy aggregatedColumn="5"/>
        </ext>
      </extLst>
    </cacheHierarchy>
  </cacheHierarchies>
  <kpis count="0"/>
  <extLst>
    <ext xmlns:x14="http://schemas.microsoft.com/office/spreadsheetml/2009/9/main" uri="{725AE2AE-9491-48be-B2B4-4EB974FC3084}">
      <x14:pivotCacheDefinition slicerData="1" pivotCacheId="628300337"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00">
  <r>
    <x v="0"/>
    <x v="0"/>
    <x v="0"/>
    <x v="0"/>
    <n v="152"/>
    <n v="11979099.369999999"/>
    <n v="4352163.03"/>
    <n v="7626936.3399999999"/>
    <n v="4.01"/>
    <n v="4.4000000000000004"/>
  </r>
  <r>
    <x v="1"/>
    <x v="0"/>
    <x v="1"/>
    <x v="1"/>
    <n v="171"/>
    <n v="7452128.46"/>
    <n v="2894282.08"/>
    <n v="4557846.3899999997"/>
    <n v="4.4000000000000004"/>
    <n v="4.4000000000000004"/>
  </r>
  <r>
    <x v="2"/>
    <x v="0"/>
    <x v="0"/>
    <x v="0"/>
    <n v="201"/>
    <n v="14230572.07"/>
    <n v="5531675.0199999996"/>
    <n v="8698897.0500000007"/>
    <n v="3.75"/>
    <n v="4.91"/>
  </r>
  <r>
    <x v="3"/>
    <x v="0"/>
    <x v="2"/>
    <x v="0"/>
    <n v="435"/>
    <n v="19575162.34"/>
    <n v="7112030.3300000001"/>
    <n v="12463132.02"/>
    <n v="1.87"/>
    <n v="4.29"/>
  </r>
  <r>
    <x v="4"/>
    <x v="0"/>
    <x v="1"/>
    <x v="0"/>
    <n v="285"/>
    <n v="10336503.51"/>
    <n v="3049734.38"/>
    <n v="7286769.1299999999"/>
    <n v="2.2999999999999998"/>
    <n v="3.57"/>
  </r>
  <r>
    <x v="5"/>
    <x v="0"/>
    <x v="1"/>
    <x v="0"/>
    <n v="237"/>
    <n v="13070526.630000001"/>
    <n v="4035995.68"/>
    <n v="9034530.9499999993"/>
    <n v="4.03"/>
    <n v="3.8"/>
  </r>
  <r>
    <x v="6"/>
    <x v="0"/>
    <x v="3"/>
    <x v="2"/>
    <n v="104"/>
    <n v="9264080.6699999999"/>
    <n v="2840806.45"/>
    <n v="6423274.2199999997"/>
    <n v="4.37"/>
    <n v="4.5199999999999996"/>
  </r>
  <r>
    <x v="7"/>
    <x v="0"/>
    <x v="2"/>
    <x v="1"/>
    <n v="378"/>
    <n v="14582422.619999999"/>
    <n v="3065559.06"/>
    <n v="11516863.550000001"/>
    <n v="4.8499999999999996"/>
    <n v="4.71"/>
  </r>
  <r>
    <x v="8"/>
    <x v="0"/>
    <x v="3"/>
    <x v="1"/>
    <n v="314"/>
    <n v="11265737.18"/>
    <n v="3986057.04"/>
    <n v="7279680.1399999997"/>
    <n v="1.58"/>
    <n v="4.5199999999999996"/>
  </r>
  <r>
    <x v="9"/>
    <x v="0"/>
    <x v="0"/>
    <x v="2"/>
    <n v="477"/>
    <n v="29685966.239999998"/>
    <n v="11670215.199999999"/>
    <n v="18015751.039999999"/>
    <n v="4.59"/>
    <n v="3.89"/>
  </r>
  <r>
    <x v="10"/>
    <x v="0"/>
    <x v="1"/>
    <x v="0"/>
    <n v="409"/>
    <n v="31306854.93"/>
    <n v="9860683.3100000005"/>
    <n v="21446171.609999999"/>
    <n v="1.44"/>
    <n v="4.3499999999999996"/>
  </r>
  <r>
    <x v="11"/>
    <x v="0"/>
    <x v="0"/>
    <x v="1"/>
    <n v="240"/>
    <n v="19518159.02"/>
    <n v="6051589.0700000003"/>
    <n v="13466569.949999999"/>
    <n v="2.2799999999999998"/>
    <n v="4.8899999999999997"/>
  </r>
  <r>
    <x v="12"/>
    <x v="0"/>
    <x v="2"/>
    <x v="0"/>
    <n v="400"/>
    <n v="34281233.170000002"/>
    <n v="13105766.85"/>
    <n v="21175466.32"/>
    <n v="1.38"/>
    <n v="3.57"/>
  </r>
  <r>
    <x v="13"/>
    <x v="0"/>
    <x v="1"/>
    <x v="2"/>
    <n v="345"/>
    <n v="28100029.780000001"/>
    <n v="7040068.4400000004"/>
    <n v="21059961.34"/>
    <n v="2.93"/>
    <n v="4.38"/>
  </r>
  <r>
    <x v="14"/>
    <x v="0"/>
    <x v="2"/>
    <x v="2"/>
    <n v="266"/>
    <n v="13420071.880000001"/>
    <n v="3911424.66"/>
    <n v="9508647.2100000009"/>
    <n v="1.1299999999999999"/>
    <n v="4.7"/>
  </r>
  <r>
    <x v="15"/>
    <x v="0"/>
    <x v="2"/>
    <x v="2"/>
    <n v="114"/>
    <n v="4088040.27"/>
    <n v="1289039.6499999999"/>
    <n v="2799000.62"/>
    <n v="2.2799999999999998"/>
    <n v="3.94"/>
  </r>
  <r>
    <x v="16"/>
    <x v="0"/>
    <x v="1"/>
    <x v="0"/>
    <n v="112"/>
    <n v="8943242.4000000004"/>
    <n v="2312977.65"/>
    <n v="6630264.75"/>
    <n v="3.78"/>
    <n v="4.66"/>
  </r>
  <r>
    <x v="17"/>
    <x v="0"/>
    <x v="0"/>
    <x v="2"/>
    <n v="310"/>
    <n v="26643429.98"/>
    <n v="7187986.96"/>
    <n v="19455443.02"/>
    <n v="4.62"/>
    <n v="4.78"/>
  </r>
  <r>
    <x v="18"/>
    <x v="0"/>
    <x v="0"/>
    <x v="0"/>
    <n v="317"/>
    <n v="16864207.059999999"/>
    <n v="6531310.5899999999"/>
    <n v="10332896.470000001"/>
    <n v="1.9"/>
    <n v="3.99"/>
  </r>
  <r>
    <x v="19"/>
    <x v="0"/>
    <x v="1"/>
    <x v="1"/>
    <n v="148"/>
    <n v="9993163.9900000002"/>
    <n v="3448197.61"/>
    <n v="6544966.3799999999"/>
    <n v="3.03"/>
    <n v="4.07"/>
  </r>
  <r>
    <x v="20"/>
    <x v="0"/>
    <x v="2"/>
    <x v="1"/>
    <n v="480"/>
    <n v="35629662.380000003"/>
    <n v="8830562.0700000003"/>
    <n v="26799100.32"/>
    <n v="3.03"/>
    <n v="4.66"/>
  </r>
  <r>
    <x v="21"/>
    <x v="0"/>
    <x v="2"/>
    <x v="1"/>
    <n v="408"/>
    <n v="15187329.75"/>
    <n v="3916317.57"/>
    <n v="11271012.18"/>
    <n v="1"/>
    <n v="4.16"/>
  </r>
  <r>
    <x v="22"/>
    <x v="0"/>
    <x v="3"/>
    <x v="1"/>
    <n v="228"/>
    <n v="8374121.9900000002"/>
    <n v="2283773.11"/>
    <n v="6090348.8799999999"/>
    <n v="1.91"/>
    <n v="4.26"/>
  </r>
  <r>
    <x v="23"/>
    <x v="0"/>
    <x v="1"/>
    <x v="0"/>
    <n v="271"/>
    <n v="11561735.33"/>
    <n v="3227071.38"/>
    <n v="8334663.9500000002"/>
    <n v="2.93"/>
    <n v="3.8"/>
  </r>
  <r>
    <x v="24"/>
    <x v="0"/>
    <x v="2"/>
    <x v="1"/>
    <n v="62"/>
    <n v="2432501.4900000002"/>
    <n v="832036.43"/>
    <n v="1600465.06"/>
    <n v="1.23"/>
    <n v="4.8899999999999997"/>
  </r>
  <r>
    <x v="25"/>
    <x v="0"/>
    <x v="3"/>
    <x v="0"/>
    <n v="94"/>
    <n v="4818426.16"/>
    <n v="1825707.2"/>
    <n v="2992718.95"/>
    <n v="2.5499999999999998"/>
    <n v="3.83"/>
  </r>
  <r>
    <x v="26"/>
    <x v="0"/>
    <x v="3"/>
    <x v="0"/>
    <n v="389"/>
    <n v="32711299.77"/>
    <n v="9556002.7599999998"/>
    <n v="23155297.010000002"/>
    <n v="4.13"/>
    <n v="4.84"/>
  </r>
  <r>
    <x v="27"/>
    <x v="0"/>
    <x v="1"/>
    <x v="1"/>
    <n v="280"/>
    <n v="23765158"/>
    <n v="8212610.0199999996"/>
    <n v="15552547.98"/>
    <n v="3.41"/>
    <n v="3.5"/>
  </r>
  <r>
    <x v="28"/>
    <x v="0"/>
    <x v="0"/>
    <x v="1"/>
    <n v="282"/>
    <n v="14597157.310000001"/>
    <n v="5358161.45"/>
    <n v="9238995.8699999992"/>
    <n v="2.9"/>
    <n v="4.2300000000000004"/>
  </r>
  <r>
    <x v="29"/>
    <x v="0"/>
    <x v="0"/>
    <x v="1"/>
    <n v="274"/>
    <n v="11396371.09"/>
    <n v="3789030.88"/>
    <n v="7607340.21"/>
    <n v="4.74"/>
    <n v="3.98"/>
  </r>
  <r>
    <x v="30"/>
    <x v="0"/>
    <x v="1"/>
    <x v="2"/>
    <n v="145"/>
    <n v="9525863.4700000007"/>
    <n v="3040967.74"/>
    <n v="6484895.7300000004"/>
    <n v="0.79"/>
    <n v="3.88"/>
  </r>
  <r>
    <x v="31"/>
    <x v="0"/>
    <x v="2"/>
    <x v="0"/>
    <n v="317"/>
    <n v="15484824.33"/>
    <n v="4653968.58"/>
    <n v="10830855.75"/>
    <n v="1.85"/>
    <n v="3.93"/>
  </r>
  <r>
    <x v="32"/>
    <x v="0"/>
    <x v="3"/>
    <x v="1"/>
    <n v="130"/>
    <n v="6457484.25"/>
    <n v="1321698.56"/>
    <n v="5135785.6900000004"/>
    <n v="2.35"/>
    <n v="3.55"/>
  </r>
  <r>
    <x v="33"/>
    <x v="0"/>
    <x v="4"/>
    <x v="0"/>
    <n v="273"/>
    <n v="23192612.280000001"/>
    <n v="8165831.7000000002"/>
    <n v="15026780.58"/>
    <n v="1.1499999999999999"/>
    <n v="4.2300000000000004"/>
  </r>
  <r>
    <x v="34"/>
    <x v="0"/>
    <x v="2"/>
    <x v="1"/>
    <n v="209"/>
    <n v="13670506.060000001"/>
    <n v="3847709.59"/>
    <n v="9822796.4700000007"/>
    <n v="0.86"/>
    <n v="4.05"/>
  </r>
  <r>
    <x v="35"/>
    <x v="0"/>
    <x v="4"/>
    <x v="0"/>
    <n v="450"/>
    <n v="33773354.630000003"/>
    <n v="11025087.82"/>
    <n v="22748266.809999999"/>
    <n v="3.35"/>
    <n v="4.45"/>
  </r>
  <r>
    <x v="36"/>
    <x v="0"/>
    <x v="3"/>
    <x v="2"/>
    <n v="444"/>
    <n v="35477266.340000004"/>
    <n v="8526286.0099999998"/>
    <n v="26950980.329999998"/>
    <n v="1.18"/>
    <n v="4.26"/>
  </r>
  <r>
    <x v="37"/>
    <x v="0"/>
    <x v="0"/>
    <x v="2"/>
    <n v="398"/>
    <n v="32719474.239999998"/>
    <n v="10954748.890000001"/>
    <n v="21764725.34"/>
    <n v="1.49"/>
    <n v="4.57"/>
  </r>
  <r>
    <x v="38"/>
    <x v="0"/>
    <x v="1"/>
    <x v="0"/>
    <n v="196"/>
    <n v="10618619.34"/>
    <n v="4043195.3"/>
    <n v="6575424.04"/>
    <n v="4.7300000000000004"/>
    <n v="4.0999999999999996"/>
  </r>
  <r>
    <x v="39"/>
    <x v="0"/>
    <x v="4"/>
    <x v="0"/>
    <n v="88"/>
    <n v="7613773.1500000004"/>
    <n v="2836098.6"/>
    <n v="4777674.54"/>
    <n v="2.0299999999999998"/>
    <n v="3.67"/>
  </r>
  <r>
    <x v="40"/>
    <x v="0"/>
    <x v="2"/>
    <x v="1"/>
    <n v="200"/>
    <n v="12955927.710000001"/>
    <n v="3379464.61"/>
    <n v="9576463.0999999996"/>
    <n v="1.53"/>
    <n v="3.76"/>
  </r>
  <r>
    <x v="41"/>
    <x v="0"/>
    <x v="2"/>
    <x v="1"/>
    <n v="161"/>
    <n v="10551303.189999999"/>
    <n v="3102820.51"/>
    <n v="7448482.6799999997"/>
    <n v="1.59"/>
    <n v="3.64"/>
  </r>
  <r>
    <x v="42"/>
    <x v="0"/>
    <x v="4"/>
    <x v="1"/>
    <n v="189"/>
    <n v="12418460.449999999"/>
    <n v="2775187.28"/>
    <n v="9643273.1699999999"/>
    <n v="1.35"/>
    <n v="3.92"/>
  </r>
  <r>
    <x v="43"/>
    <x v="0"/>
    <x v="4"/>
    <x v="2"/>
    <n v="196"/>
    <n v="14685802.220000001"/>
    <n v="3239364.12"/>
    <n v="11446438.1"/>
    <n v="4.49"/>
    <n v="4.67"/>
  </r>
  <r>
    <x v="44"/>
    <x v="0"/>
    <x v="4"/>
    <x v="0"/>
    <n v="457"/>
    <n v="37383086.560000002"/>
    <n v="7957849.8300000001"/>
    <n v="29425236.73"/>
    <n v="4.03"/>
    <n v="4.5"/>
  </r>
  <r>
    <x v="45"/>
    <x v="0"/>
    <x v="1"/>
    <x v="0"/>
    <n v="303"/>
    <n v="10758268.869999999"/>
    <n v="4084975.92"/>
    <n v="6673292.9500000002"/>
    <n v="3.49"/>
    <n v="3.51"/>
  </r>
  <r>
    <x v="46"/>
    <x v="0"/>
    <x v="1"/>
    <x v="2"/>
    <n v="433"/>
    <n v="22427240.329999998"/>
    <n v="6792700.8600000003"/>
    <n v="15634539.470000001"/>
    <n v="2.52"/>
    <n v="4.99"/>
  </r>
  <r>
    <x v="47"/>
    <x v="0"/>
    <x v="0"/>
    <x v="0"/>
    <n v="210"/>
    <n v="7558770.4500000002"/>
    <n v="2276862.34"/>
    <n v="5281908.1100000003"/>
    <n v="1.3"/>
    <n v="4.05"/>
  </r>
  <r>
    <x v="48"/>
    <x v="0"/>
    <x v="2"/>
    <x v="2"/>
    <n v="441"/>
    <n v="36032913.82"/>
    <n v="9674023.7899999991"/>
    <n v="26358890.030000001"/>
    <n v="3.06"/>
    <n v="3.64"/>
  </r>
  <r>
    <x v="49"/>
    <x v="0"/>
    <x v="1"/>
    <x v="1"/>
    <n v="420"/>
    <n v="29399283.48"/>
    <n v="10287033.789999999"/>
    <n v="19112249.690000001"/>
    <n v="3.15"/>
    <n v="4.97"/>
  </r>
  <r>
    <x v="50"/>
    <x v="0"/>
    <x v="0"/>
    <x v="2"/>
    <n v="100"/>
    <n v="8406256.0500000007"/>
    <n v="2301399.84"/>
    <n v="6104856.21"/>
    <n v="4.08"/>
    <n v="4.25"/>
  </r>
  <r>
    <x v="51"/>
    <x v="0"/>
    <x v="4"/>
    <x v="0"/>
    <n v="333"/>
    <n v="23906344.149999999"/>
    <n v="5430720.2199999997"/>
    <n v="18475623.93"/>
    <n v="1.54"/>
    <n v="4.25"/>
  </r>
  <r>
    <x v="52"/>
    <x v="0"/>
    <x v="4"/>
    <x v="2"/>
    <n v="53"/>
    <n v="1925881.04"/>
    <n v="521731.85"/>
    <n v="1404149.2"/>
    <n v="1.3"/>
    <n v="4.91"/>
  </r>
  <r>
    <x v="53"/>
    <x v="0"/>
    <x v="4"/>
    <x v="0"/>
    <n v="95"/>
    <n v="8105166.4400000004"/>
    <n v="2642027"/>
    <n v="5463139.4400000004"/>
    <n v="0.56999999999999995"/>
    <n v="4.8899999999999997"/>
  </r>
  <r>
    <x v="54"/>
    <x v="0"/>
    <x v="0"/>
    <x v="2"/>
    <n v="351"/>
    <n v="30946271.280000001"/>
    <n v="6414419.4699999997"/>
    <n v="24531851.809999999"/>
    <n v="4.34"/>
    <n v="3.94"/>
  </r>
  <r>
    <x v="55"/>
    <x v="0"/>
    <x v="1"/>
    <x v="2"/>
    <n v="465"/>
    <n v="38042820.369999997"/>
    <n v="12805806.77"/>
    <n v="25237013.609999999"/>
    <n v="1.26"/>
    <n v="4.34"/>
  </r>
  <r>
    <x v="56"/>
    <x v="0"/>
    <x v="4"/>
    <x v="2"/>
    <n v="272"/>
    <n v="22149428.59"/>
    <n v="4739903.1399999997"/>
    <n v="17409525.440000001"/>
    <n v="0.82"/>
    <n v="3.81"/>
  </r>
  <r>
    <x v="57"/>
    <x v="0"/>
    <x v="3"/>
    <x v="2"/>
    <n v="480"/>
    <n v="42937421.640000001"/>
    <n v="15971999.369999999"/>
    <n v="26965422.27"/>
    <n v="2.83"/>
    <n v="4.82"/>
  </r>
  <r>
    <x v="58"/>
    <x v="0"/>
    <x v="2"/>
    <x v="0"/>
    <n v="322"/>
    <n v="26299942.07"/>
    <n v="9801350.2100000009"/>
    <n v="16498591.859999999"/>
    <n v="3.69"/>
    <n v="4.33"/>
  </r>
  <r>
    <x v="59"/>
    <x v="0"/>
    <x v="4"/>
    <x v="2"/>
    <n v="219"/>
    <n v="17413755.120000001"/>
    <n v="4144078.79"/>
    <n v="13269676.33"/>
    <n v="4.4000000000000004"/>
    <n v="4.87"/>
  </r>
  <r>
    <x v="60"/>
    <x v="0"/>
    <x v="0"/>
    <x v="2"/>
    <n v="440"/>
    <n v="27536694.329999998"/>
    <n v="6618195.6699999999"/>
    <n v="20918498.66"/>
    <n v="3.42"/>
    <n v="4.55"/>
  </r>
  <r>
    <x v="61"/>
    <x v="0"/>
    <x v="1"/>
    <x v="2"/>
    <n v="449"/>
    <n v="16968728.870000001"/>
    <n v="3778538.35"/>
    <n v="13190190.529999999"/>
    <n v="0.62"/>
    <n v="4.37"/>
  </r>
  <r>
    <x v="62"/>
    <x v="0"/>
    <x v="1"/>
    <x v="0"/>
    <n v="337"/>
    <n v="22513422.41"/>
    <n v="8843532.25"/>
    <n v="13669890.17"/>
    <n v="2.6"/>
    <n v="4.3099999999999996"/>
  </r>
  <r>
    <x v="35"/>
    <x v="0"/>
    <x v="4"/>
    <x v="2"/>
    <n v="174"/>
    <n v="14118593.609999999"/>
    <n v="3217896.82"/>
    <n v="10900696.800000001"/>
    <n v="1.63"/>
    <n v="3.56"/>
  </r>
  <r>
    <x v="63"/>
    <x v="0"/>
    <x v="1"/>
    <x v="2"/>
    <n v="320"/>
    <n v="17539355.289999999"/>
    <n v="6570030.2199999997"/>
    <n v="10969325.07"/>
    <n v="2.85"/>
    <n v="4.6500000000000004"/>
  </r>
  <r>
    <x v="64"/>
    <x v="0"/>
    <x v="4"/>
    <x v="0"/>
    <n v="157"/>
    <n v="10873659.26"/>
    <n v="4163855.85"/>
    <n v="6709803.4100000001"/>
    <n v="0.73"/>
    <n v="4.3"/>
  </r>
  <r>
    <x v="65"/>
    <x v="0"/>
    <x v="2"/>
    <x v="2"/>
    <n v="96"/>
    <n v="7053424.4699999997"/>
    <n v="2626197.17"/>
    <n v="4427227.3"/>
    <n v="1.1000000000000001"/>
    <n v="4.95"/>
  </r>
  <r>
    <x v="66"/>
    <x v="0"/>
    <x v="0"/>
    <x v="2"/>
    <n v="155"/>
    <n v="8178203.9299999997"/>
    <n v="1970642.6"/>
    <n v="6207561.3300000001"/>
    <n v="1.72"/>
    <n v="4.16"/>
  </r>
  <r>
    <x v="67"/>
    <x v="0"/>
    <x v="2"/>
    <x v="2"/>
    <n v="488"/>
    <n v="23813096.550000001"/>
    <n v="8647327.5"/>
    <n v="15165769.050000001"/>
    <n v="0.86"/>
    <n v="4.1399999999999997"/>
  </r>
  <r>
    <x v="68"/>
    <x v="0"/>
    <x v="2"/>
    <x v="0"/>
    <n v="445"/>
    <n v="25584123.309999999"/>
    <n v="9346932.6699999999"/>
    <n v="16237190.640000001"/>
    <n v="1.2"/>
    <n v="3.88"/>
  </r>
  <r>
    <x v="69"/>
    <x v="0"/>
    <x v="2"/>
    <x v="0"/>
    <n v="175"/>
    <n v="7028530.4199999999"/>
    <n v="2554356.3199999998"/>
    <n v="4474174.09"/>
    <n v="4.71"/>
    <n v="4.46"/>
  </r>
  <r>
    <x v="70"/>
    <x v="0"/>
    <x v="2"/>
    <x v="0"/>
    <n v="238"/>
    <n v="17989070.640000001"/>
    <n v="5201165.41"/>
    <n v="12787905.23"/>
    <n v="3.25"/>
    <n v="4.13"/>
  </r>
  <r>
    <x v="71"/>
    <x v="0"/>
    <x v="3"/>
    <x v="0"/>
    <n v="125"/>
    <n v="8266505.8200000003"/>
    <n v="3044311.97"/>
    <n v="5222193.8499999996"/>
    <n v="1.04"/>
    <n v="4.01"/>
  </r>
  <r>
    <x v="72"/>
    <x v="0"/>
    <x v="3"/>
    <x v="1"/>
    <n v="269"/>
    <n v="10095609.09"/>
    <n v="3956007.22"/>
    <n v="6139601.8700000001"/>
    <n v="4.3499999999999996"/>
    <n v="4.5599999999999996"/>
  </r>
  <r>
    <x v="73"/>
    <x v="0"/>
    <x v="1"/>
    <x v="2"/>
    <n v="253"/>
    <n v="9093796.7300000004"/>
    <n v="2249142.5099999998"/>
    <n v="6844654.2199999997"/>
    <n v="4.13"/>
    <n v="4.0199999999999996"/>
  </r>
  <r>
    <x v="74"/>
    <x v="0"/>
    <x v="1"/>
    <x v="1"/>
    <n v="303"/>
    <n v="17835137.73"/>
    <n v="5712577.7300000004"/>
    <n v="12122560.01"/>
    <n v="3.27"/>
    <n v="4.45"/>
  </r>
  <r>
    <x v="75"/>
    <x v="0"/>
    <x v="0"/>
    <x v="0"/>
    <n v="339"/>
    <n v="16729361.609999999"/>
    <n v="6640537.6100000003"/>
    <n v="10088824"/>
    <n v="4.7"/>
    <n v="4.25"/>
  </r>
  <r>
    <x v="76"/>
    <x v="0"/>
    <x v="0"/>
    <x v="2"/>
    <n v="374"/>
    <n v="27159134.739999998"/>
    <n v="7518456.9400000004"/>
    <n v="19640677.789999999"/>
    <n v="4.75"/>
    <n v="4.92"/>
  </r>
  <r>
    <x v="77"/>
    <x v="0"/>
    <x v="0"/>
    <x v="1"/>
    <n v="433"/>
    <n v="30310951.670000002"/>
    <n v="7268873.5999999996"/>
    <n v="23042078.079999998"/>
    <n v="3.55"/>
    <n v="4.3600000000000003"/>
  </r>
  <r>
    <x v="78"/>
    <x v="0"/>
    <x v="2"/>
    <x v="0"/>
    <n v="82"/>
    <n v="4936720.54"/>
    <n v="1435976.69"/>
    <n v="3500743.84"/>
    <n v="4.74"/>
    <n v="4.08"/>
  </r>
  <r>
    <x v="79"/>
    <x v="0"/>
    <x v="1"/>
    <x v="0"/>
    <n v="466"/>
    <n v="33007554.699999999"/>
    <n v="11838592.82"/>
    <n v="21168961.879999999"/>
    <n v="1.73"/>
    <n v="3.82"/>
  </r>
  <r>
    <x v="80"/>
    <x v="0"/>
    <x v="2"/>
    <x v="0"/>
    <n v="351"/>
    <n v="12636772.34"/>
    <n v="4816018.0999999996"/>
    <n v="7820754.25"/>
    <n v="3.57"/>
    <n v="3.61"/>
  </r>
  <r>
    <x v="81"/>
    <x v="0"/>
    <x v="4"/>
    <x v="1"/>
    <n v="313"/>
    <n v="17589602.829999998"/>
    <n v="4637978.3899999997"/>
    <n v="12951624.439999999"/>
    <n v="2.0299999999999998"/>
    <n v="3.89"/>
  </r>
  <r>
    <x v="82"/>
    <x v="0"/>
    <x v="2"/>
    <x v="0"/>
    <n v="440"/>
    <n v="18259588.829999998"/>
    <n v="4759408.7"/>
    <n v="13500180.130000001"/>
    <n v="3.33"/>
    <n v="4.82"/>
  </r>
  <r>
    <x v="83"/>
    <x v="0"/>
    <x v="1"/>
    <x v="1"/>
    <n v="469"/>
    <n v="27195917.890000001"/>
    <n v="5615518.9100000001"/>
    <n v="21580398.98"/>
    <n v="2.97"/>
    <n v="4.1399999999999997"/>
  </r>
  <r>
    <x v="84"/>
    <x v="0"/>
    <x v="4"/>
    <x v="1"/>
    <n v="457"/>
    <n v="36274791.170000002"/>
    <n v="7323843.0300000003"/>
    <n v="28950948.140000001"/>
    <n v="2.36"/>
    <n v="4.0599999999999996"/>
  </r>
  <r>
    <x v="85"/>
    <x v="0"/>
    <x v="3"/>
    <x v="0"/>
    <n v="145"/>
    <n v="7792908.2300000004"/>
    <n v="1666502.01"/>
    <n v="6126406.2300000004"/>
    <n v="4.3600000000000003"/>
    <n v="4.1399999999999997"/>
  </r>
  <r>
    <x v="86"/>
    <x v="0"/>
    <x v="3"/>
    <x v="0"/>
    <n v="62"/>
    <n v="4693088.87"/>
    <n v="1653622.86"/>
    <n v="3039466.01"/>
    <n v="2.2000000000000002"/>
    <n v="4.3"/>
  </r>
  <r>
    <x v="87"/>
    <x v="0"/>
    <x v="0"/>
    <x v="1"/>
    <n v="133"/>
    <n v="10700536.359999999"/>
    <n v="3595274.07"/>
    <n v="7105262.2999999998"/>
    <n v="4.53"/>
    <n v="4.08"/>
  </r>
  <r>
    <x v="88"/>
    <x v="0"/>
    <x v="3"/>
    <x v="2"/>
    <n v="445"/>
    <n v="39035303.140000001"/>
    <n v="9000423.3699999992"/>
    <n v="30034879.77"/>
    <n v="2.1"/>
    <n v="4.9400000000000004"/>
  </r>
  <r>
    <x v="89"/>
    <x v="0"/>
    <x v="4"/>
    <x v="1"/>
    <n v="272"/>
    <n v="23741082.920000002"/>
    <n v="6773625.8799999999"/>
    <n v="16967457.039999999"/>
    <n v="3.34"/>
    <n v="4.17"/>
  </r>
  <r>
    <x v="90"/>
    <x v="0"/>
    <x v="3"/>
    <x v="2"/>
    <n v="148"/>
    <n v="10083869.140000001"/>
    <n v="2916853.83"/>
    <n v="7167015.3099999996"/>
    <n v="1.46"/>
    <n v="4.92"/>
  </r>
  <r>
    <x v="91"/>
    <x v="0"/>
    <x v="3"/>
    <x v="0"/>
    <n v="193"/>
    <n v="15136796.59"/>
    <n v="5778604.9900000002"/>
    <n v="9358191.5999999996"/>
    <n v="2.72"/>
    <n v="3.59"/>
  </r>
  <r>
    <x v="92"/>
    <x v="0"/>
    <x v="1"/>
    <x v="1"/>
    <n v="272"/>
    <n v="10355832.470000001"/>
    <n v="2615809.64"/>
    <n v="7740022.8399999999"/>
    <n v="2.96"/>
    <n v="4.5599999999999996"/>
  </r>
  <r>
    <x v="93"/>
    <x v="0"/>
    <x v="3"/>
    <x v="0"/>
    <n v="288"/>
    <n v="12344988.24"/>
    <n v="3057827.34"/>
    <n v="9287160.9100000001"/>
    <n v="3.28"/>
    <n v="3.65"/>
  </r>
  <r>
    <x v="94"/>
    <x v="0"/>
    <x v="0"/>
    <x v="0"/>
    <n v="56"/>
    <n v="3272361.74"/>
    <n v="1163274.5900000001"/>
    <n v="2109087.16"/>
    <n v="2.2799999999999998"/>
    <n v="4.84"/>
  </r>
  <r>
    <x v="95"/>
    <x v="0"/>
    <x v="3"/>
    <x v="1"/>
    <n v="243"/>
    <n v="9592226.4499999993"/>
    <n v="3674134.07"/>
    <n v="5918092.3899999997"/>
    <n v="4.9400000000000004"/>
    <n v="4.0599999999999996"/>
  </r>
  <r>
    <x v="96"/>
    <x v="0"/>
    <x v="0"/>
    <x v="1"/>
    <n v="370"/>
    <n v="30865325.359999999"/>
    <n v="10885057.039999999"/>
    <n v="19980268.32"/>
    <n v="4.58"/>
    <n v="4.3899999999999997"/>
  </r>
  <r>
    <x v="97"/>
    <x v="0"/>
    <x v="2"/>
    <x v="0"/>
    <n v="341"/>
    <n v="18991748.530000001"/>
    <n v="7279534.4900000002"/>
    <n v="11712214.039999999"/>
    <n v="4"/>
    <n v="4.34"/>
  </r>
  <r>
    <x v="98"/>
    <x v="0"/>
    <x v="1"/>
    <x v="1"/>
    <n v="140"/>
    <n v="6815175.9900000002"/>
    <n v="2275924.5699999998"/>
    <n v="4539251.41"/>
    <n v="2.46"/>
    <n v="3.88"/>
  </r>
  <r>
    <x v="54"/>
    <x v="0"/>
    <x v="1"/>
    <x v="1"/>
    <n v="291"/>
    <n v="17685913.579999998"/>
    <n v="6875210.46"/>
    <n v="10810703.119999999"/>
    <n v="1.03"/>
    <n v="3.68"/>
  </r>
  <r>
    <x v="99"/>
    <x v="0"/>
    <x v="0"/>
    <x v="0"/>
    <n v="410"/>
    <n v="31131972.859999999"/>
    <n v="8212368.9500000002"/>
    <n v="22919603.91"/>
    <n v="1.57"/>
    <n v="4.0999999999999996"/>
  </r>
  <r>
    <x v="100"/>
    <x v="0"/>
    <x v="2"/>
    <x v="0"/>
    <n v="418"/>
    <n v="16535671.49"/>
    <n v="4866877.6399999997"/>
    <n v="11668793.84"/>
    <n v="2.46"/>
    <n v="4.7"/>
  </r>
  <r>
    <x v="101"/>
    <x v="0"/>
    <x v="1"/>
    <x v="0"/>
    <n v="222"/>
    <n v="19612220.469999999"/>
    <n v="7675595.8499999996"/>
    <n v="11936624.630000001"/>
    <n v="4.51"/>
    <n v="4.29"/>
  </r>
  <r>
    <x v="102"/>
    <x v="0"/>
    <x v="3"/>
    <x v="0"/>
    <n v="252"/>
    <n v="21558943.809999999"/>
    <n v="7532737.3600000003"/>
    <n v="14026206.449999999"/>
    <n v="3.63"/>
    <n v="3.61"/>
  </r>
  <r>
    <x v="103"/>
    <x v="0"/>
    <x v="0"/>
    <x v="1"/>
    <n v="96"/>
    <n v="6683224.8099999996"/>
    <n v="1743320.94"/>
    <n v="4939903.87"/>
    <n v="2.5499999999999998"/>
    <n v="4.4400000000000004"/>
  </r>
  <r>
    <x v="104"/>
    <x v="0"/>
    <x v="3"/>
    <x v="1"/>
    <n v="423"/>
    <n v="23743455.609999999"/>
    <n v="5997118.6699999999"/>
    <n v="17746336.940000001"/>
    <n v="4.62"/>
    <n v="4.9400000000000004"/>
  </r>
  <r>
    <x v="105"/>
    <x v="0"/>
    <x v="2"/>
    <x v="0"/>
    <n v="321"/>
    <n v="26952607.100000001"/>
    <n v="8324815.3600000003"/>
    <n v="18627791.75"/>
    <n v="3.29"/>
    <n v="3.92"/>
  </r>
  <r>
    <x v="106"/>
    <x v="0"/>
    <x v="2"/>
    <x v="1"/>
    <n v="397"/>
    <n v="28018933.98"/>
    <n v="9031800.3499999996"/>
    <n v="18987133.629999999"/>
    <n v="1.53"/>
    <n v="3.9"/>
  </r>
  <r>
    <x v="107"/>
    <x v="0"/>
    <x v="2"/>
    <x v="2"/>
    <n v="406"/>
    <n v="35968236.060000002"/>
    <n v="7292842.25"/>
    <n v="28675393.800000001"/>
    <n v="3.64"/>
    <n v="4.3"/>
  </r>
  <r>
    <x v="108"/>
    <x v="0"/>
    <x v="0"/>
    <x v="0"/>
    <n v="466"/>
    <n v="26849228.260000002"/>
    <n v="7502845.6299999999"/>
    <n v="19346382.620000001"/>
    <n v="1.72"/>
    <n v="3.7"/>
  </r>
  <r>
    <x v="109"/>
    <x v="0"/>
    <x v="1"/>
    <x v="1"/>
    <n v="84"/>
    <n v="6740122.0599999996"/>
    <n v="1415695.35"/>
    <n v="5324426.71"/>
    <n v="3.77"/>
    <n v="4.42"/>
  </r>
  <r>
    <x v="110"/>
    <x v="0"/>
    <x v="4"/>
    <x v="0"/>
    <n v="499"/>
    <n v="19736030.390000001"/>
    <n v="4434048.6100000003"/>
    <n v="15301981.779999999"/>
    <n v="2.98"/>
    <n v="3.75"/>
  </r>
  <r>
    <x v="111"/>
    <x v="0"/>
    <x v="4"/>
    <x v="0"/>
    <n v="338"/>
    <n v="26285626.449999999"/>
    <n v="7988884.8799999999"/>
    <n v="18296741.579999998"/>
    <n v="4.93"/>
    <n v="4.07"/>
  </r>
  <r>
    <x v="112"/>
    <x v="0"/>
    <x v="1"/>
    <x v="2"/>
    <n v="331"/>
    <n v="18519118.039999999"/>
    <n v="3815255.37"/>
    <n v="14703862.67"/>
    <n v="4.29"/>
    <n v="4.76"/>
  </r>
  <r>
    <x v="113"/>
    <x v="0"/>
    <x v="2"/>
    <x v="0"/>
    <n v="147"/>
    <n v="5442704.7999999998"/>
    <n v="2031378.41"/>
    <n v="3411326.39"/>
    <n v="0.56000000000000005"/>
    <n v="3.61"/>
  </r>
  <r>
    <x v="114"/>
    <x v="0"/>
    <x v="1"/>
    <x v="0"/>
    <n v="246"/>
    <n v="22136180.120000001"/>
    <n v="4442125.54"/>
    <n v="17694054.579999998"/>
    <n v="3"/>
    <n v="4.6500000000000004"/>
  </r>
  <r>
    <x v="115"/>
    <x v="0"/>
    <x v="3"/>
    <x v="1"/>
    <n v="214"/>
    <n v="16400845.75"/>
    <n v="5320924.58"/>
    <n v="11079921.16"/>
    <n v="1.58"/>
    <n v="3.81"/>
  </r>
  <r>
    <x v="83"/>
    <x v="0"/>
    <x v="2"/>
    <x v="2"/>
    <n v="50"/>
    <n v="4373640.32"/>
    <n v="1219218.1599999999"/>
    <n v="3154422.16"/>
    <n v="1.53"/>
    <n v="4.51"/>
  </r>
  <r>
    <x v="116"/>
    <x v="0"/>
    <x v="0"/>
    <x v="2"/>
    <n v="337"/>
    <n v="12664226.029999999"/>
    <n v="4385184.5999999996"/>
    <n v="8279041.4299999997"/>
    <n v="0.6"/>
    <n v="4.25"/>
  </r>
  <r>
    <x v="117"/>
    <x v="0"/>
    <x v="4"/>
    <x v="2"/>
    <n v="487"/>
    <n v="37731548.119999997"/>
    <n v="11167304.41"/>
    <n v="26564243.710000001"/>
    <n v="4.33"/>
    <n v="4.33"/>
  </r>
  <r>
    <x v="118"/>
    <x v="0"/>
    <x v="1"/>
    <x v="2"/>
    <n v="438"/>
    <n v="17459754.100000001"/>
    <n v="4218912.6900000004"/>
    <n v="13240841.41"/>
    <n v="3.15"/>
    <n v="4.22"/>
  </r>
  <r>
    <x v="119"/>
    <x v="0"/>
    <x v="3"/>
    <x v="0"/>
    <n v="456"/>
    <n v="34898842.369999997"/>
    <n v="9629919.9000000004"/>
    <n v="25268922.469999999"/>
    <n v="3.67"/>
    <n v="3.82"/>
  </r>
  <r>
    <x v="7"/>
    <x v="0"/>
    <x v="1"/>
    <x v="0"/>
    <n v="471"/>
    <n v="32475216.460000001"/>
    <n v="6621938.7400000002"/>
    <n v="25853277.719999999"/>
    <n v="3.24"/>
    <n v="4.45"/>
  </r>
  <r>
    <x v="120"/>
    <x v="0"/>
    <x v="1"/>
    <x v="1"/>
    <n v="384"/>
    <n v="22679470.350000001"/>
    <n v="4970620.08"/>
    <n v="17708850.27"/>
    <n v="2.0699999999999998"/>
    <n v="4.2699999999999996"/>
  </r>
  <r>
    <x v="121"/>
    <x v="0"/>
    <x v="2"/>
    <x v="2"/>
    <n v="384"/>
    <n v="21814983.559999999"/>
    <n v="6011831.2000000002"/>
    <n v="15803152.369999999"/>
    <n v="4.38"/>
    <n v="4.92"/>
  </r>
  <r>
    <x v="122"/>
    <x v="0"/>
    <x v="0"/>
    <x v="1"/>
    <n v="437"/>
    <n v="26335400.530000001"/>
    <n v="6098797.2699999996"/>
    <n v="20236603.260000002"/>
    <n v="3.96"/>
    <n v="3.6"/>
  </r>
  <r>
    <x v="123"/>
    <x v="0"/>
    <x v="4"/>
    <x v="1"/>
    <n v="118"/>
    <n v="10490411.41"/>
    <n v="3162611.27"/>
    <n v="7327800.1399999997"/>
    <n v="1.98"/>
    <n v="4.45"/>
  </r>
  <r>
    <x v="124"/>
    <x v="0"/>
    <x v="3"/>
    <x v="0"/>
    <n v="289"/>
    <n v="15544147.23"/>
    <n v="4547398.5599999996"/>
    <n v="10996748.67"/>
    <n v="2.57"/>
    <n v="4.38"/>
  </r>
  <r>
    <x v="125"/>
    <x v="0"/>
    <x v="1"/>
    <x v="2"/>
    <n v="423"/>
    <n v="31036236.100000001"/>
    <n v="11296772.369999999"/>
    <n v="19739463.739999998"/>
    <n v="3.63"/>
    <n v="4.12"/>
  </r>
  <r>
    <x v="126"/>
    <x v="0"/>
    <x v="0"/>
    <x v="0"/>
    <n v="401"/>
    <n v="24488223.98"/>
    <n v="6525828.9100000001"/>
    <n v="17962395.07"/>
    <n v="1.28"/>
    <n v="3.79"/>
  </r>
  <r>
    <x v="127"/>
    <x v="0"/>
    <x v="2"/>
    <x v="2"/>
    <n v="452"/>
    <n v="36249715.229999997"/>
    <n v="11998056.689999999"/>
    <n v="24251658.539999999"/>
    <n v="2.06"/>
    <n v="3.55"/>
  </r>
  <r>
    <x v="128"/>
    <x v="0"/>
    <x v="2"/>
    <x v="0"/>
    <n v="375"/>
    <n v="15613114.84"/>
    <n v="4806407.57"/>
    <n v="10806707.27"/>
    <n v="1.43"/>
    <n v="4.05"/>
  </r>
  <r>
    <x v="129"/>
    <x v="0"/>
    <x v="3"/>
    <x v="1"/>
    <n v="127"/>
    <n v="6750745.0999999996"/>
    <n v="2266113.39"/>
    <n v="4484631.71"/>
    <n v="0.92"/>
    <n v="4.22"/>
  </r>
  <r>
    <x v="130"/>
    <x v="0"/>
    <x v="2"/>
    <x v="2"/>
    <n v="263"/>
    <n v="10387644.4"/>
    <n v="2340172.94"/>
    <n v="8047471.46"/>
    <n v="4.6399999999999997"/>
    <n v="3.59"/>
  </r>
  <r>
    <x v="131"/>
    <x v="0"/>
    <x v="1"/>
    <x v="1"/>
    <n v="75"/>
    <n v="6206742.0700000003"/>
    <n v="2377781.77"/>
    <n v="3828960.29"/>
    <n v="3.19"/>
    <n v="4.9800000000000004"/>
  </r>
  <r>
    <x v="132"/>
    <x v="0"/>
    <x v="2"/>
    <x v="1"/>
    <n v="352"/>
    <n v="19492339.91"/>
    <n v="5908038.6200000001"/>
    <n v="13584301.289999999"/>
    <n v="3.28"/>
    <n v="4.05"/>
  </r>
  <r>
    <x v="133"/>
    <x v="0"/>
    <x v="0"/>
    <x v="0"/>
    <n v="265"/>
    <n v="19776521.59"/>
    <n v="7664029.5800000001"/>
    <n v="12112492.02"/>
    <n v="1.1599999999999999"/>
    <n v="3.7"/>
  </r>
  <r>
    <x v="134"/>
    <x v="0"/>
    <x v="1"/>
    <x v="1"/>
    <n v="52"/>
    <n v="4380291.5599999996"/>
    <n v="1303857.3500000001"/>
    <n v="3076434.21"/>
    <n v="2.89"/>
    <n v="3.66"/>
  </r>
  <r>
    <x v="135"/>
    <x v="0"/>
    <x v="2"/>
    <x v="0"/>
    <n v="343"/>
    <n v="22052824.73"/>
    <n v="7751697.9900000002"/>
    <n v="14301126.74"/>
    <n v="1.71"/>
    <n v="4.07"/>
  </r>
  <r>
    <x v="136"/>
    <x v="0"/>
    <x v="0"/>
    <x v="2"/>
    <n v="251"/>
    <n v="16570538.1"/>
    <n v="3842011.87"/>
    <n v="12728526.23"/>
    <n v="0.9"/>
    <n v="4.3"/>
  </r>
  <r>
    <x v="137"/>
    <x v="0"/>
    <x v="4"/>
    <x v="0"/>
    <n v="74"/>
    <n v="6214446.0300000003"/>
    <n v="1748008.76"/>
    <n v="4466437.2699999996"/>
    <n v="3.56"/>
    <n v="4.68"/>
  </r>
  <r>
    <x v="138"/>
    <x v="0"/>
    <x v="4"/>
    <x v="2"/>
    <n v="158"/>
    <n v="9697568.4600000009"/>
    <n v="2745964.49"/>
    <n v="6951603.9800000004"/>
    <n v="3.82"/>
    <n v="4.34"/>
  </r>
  <r>
    <x v="139"/>
    <x v="0"/>
    <x v="4"/>
    <x v="2"/>
    <n v="473"/>
    <n v="27784623.100000001"/>
    <n v="10404895.109999999"/>
    <n v="17379727.98"/>
    <n v="1.78"/>
    <n v="4.04"/>
  </r>
  <r>
    <x v="140"/>
    <x v="0"/>
    <x v="0"/>
    <x v="0"/>
    <n v="331"/>
    <n v="22645542.82"/>
    <n v="7951515.1600000001"/>
    <n v="14694027.66"/>
    <n v="2.74"/>
    <n v="4"/>
  </r>
  <r>
    <x v="141"/>
    <x v="0"/>
    <x v="4"/>
    <x v="2"/>
    <n v="426"/>
    <n v="20468223.73"/>
    <n v="7770628.21"/>
    <n v="12697595.52"/>
    <n v="1.19"/>
    <n v="3.87"/>
  </r>
  <r>
    <x v="142"/>
    <x v="0"/>
    <x v="3"/>
    <x v="0"/>
    <n v="53"/>
    <n v="4335133.0599999996"/>
    <n v="1657852.32"/>
    <n v="2677280.75"/>
    <n v="4.13"/>
    <n v="3.58"/>
  </r>
  <r>
    <x v="143"/>
    <x v="0"/>
    <x v="2"/>
    <x v="2"/>
    <n v="186"/>
    <n v="7330791.2199999997"/>
    <n v="2163299.79"/>
    <n v="5167491.43"/>
    <n v="2.35"/>
    <n v="4.97"/>
  </r>
  <r>
    <x v="144"/>
    <x v="0"/>
    <x v="3"/>
    <x v="0"/>
    <n v="272"/>
    <n v="22933289.530000001"/>
    <n v="6531408.1200000001"/>
    <n v="16401881.42"/>
    <n v="4.63"/>
    <n v="3.51"/>
  </r>
  <r>
    <x v="145"/>
    <x v="0"/>
    <x v="0"/>
    <x v="2"/>
    <n v="167"/>
    <n v="8213837.4699999997"/>
    <n v="3004806.41"/>
    <n v="5209031.05"/>
    <n v="3.51"/>
    <n v="4.8899999999999997"/>
  </r>
  <r>
    <x v="146"/>
    <x v="0"/>
    <x v="4"/>
    <x v="1"/>
    <n v="384"/>
    <n v="24739975.780000001"/>
    <n v="7537679.4100000001"/>
    <n v="17202296.370000001"/>
    <n v="4.2699999999999996"/>
    <n v="3.81"/>
  </r>
  <r>
    <x v="147"/>
    <x v="0"/>
    <x v="3"/>
    <x v="0"/>
    <n v="459"/>
    <n v="24236282.32"/>
    <n v="7632313.4000000004"/>
    <n v="16603968.92"/>
    <n v="2.78"/>
    <n v="3.86"/>
  </r>
  <r>
    <x v="148"/>
    <x v="0"/>
    <x v="4"/>
    <x v="0"/>
    <n v="96"/>
    <n v="7094174.9100000001"/>
    <n v="1748317.55"/>
    <n v="5345857.3600000003"/>
    <n v="0.89"/>
    <n v="4.26"/>
  </r>
  <r>
    <x v="149"/>
    <x v="0"/>
    <x v="2"/>
    <x v="2"/>
    <n v="405"/>
    <n v="21317304.829999998"/>
    <n v="5994924.5300000003"/>
    <n v="15322380.300000001"/>
    <n v="2.16"/>
    <n v="4.18"/>
  </r>
  <r>
    <x v="150"/>
    <x v="0"/>
    <x v="3"/>
    <x v="2"/>
    <n v="310"/>
    <n v="11930543.25"/>
    <n v="2410064.63"/>
    <n v="9520478.6199999992"/>
    <n v="1.95"/>
    <n v="4.71"/>
  </r>
  <r>
    <x v="151"/>
    <x v="0"/>
    <x v="1"/>
    <x v="2"/>
    <n v="370"/>
    <n v="15775084.140000001"/>
    <n v="6301480.7199999997"/>
    <n v="9473603.4199999999"/>
    <n v="1.03"/>
    <n v="4.21"/>
  </r>
  <r>
    <x v="152"/>
    <x v="0"/>
    <x v="2"/>
    <x v="1"/>
    <n v="87"/>
    <n v="5015658.7699999996"/>
    <n v="1656302.67"/>
    <n v="3359356.1"/>
    <n v="4.68"/>
    <n v="4.75"/>
  </r>
  <r>
    <x v="153"/>
    <x v="0"/>
    <x v="3"/>
    <x v="1"/>
    <n v="285"/>
    <n v="16378524.24"/>
    <n v="3495379.95"/>
    <n v="12883144.289999999"/>
    <n v="4.96"/>
    <n v="3.81"/>
  </r>
  <r>
    <x v="154"/>
    <x v="0"/>
    <x v="1"/>
    <x v="2"/>
    <n v="84"/>
    <n v="7220196.3399999999"/>
    <n v="1846064.78"/>
    <n v="5374131.5599999996"/>
    <n v="0.72"/>
    <n v="4.67"/>
  </r>
  <r>
    <x v="155"/>
    <x v="0"/>
    <x v="3"/>
    <x v="2"/>
    <n v="316"/>
    <n v="24881745.879999999"/>
    <n v="8949330.4000000004"/>
    <n v="15932415.48"/>
    <n v="1.24"/>
    <n v="3.75"/>
  </r>
  <r>
    <x v="156"/>
    <x v="0"/>
    <x v="3"/>
    <x v="0"/>
    <n v="54"/>
    <n v="2590004.4900000002"/>
    <n v="707714.29"/>
    <n v="1882290.2"/>
    <n v="4.59"/>
    <n v="3.97"/>
  </r>
  <r>
    <x v="157"/>
    <x v="0"/>
    <x v="4"/>
    <x v="2"/>
    <n v="91"/>
    <n v="5149187.76"/>
    <n v="1218710.3400000001"/>
    <n v="3930477.43"/>
    <n v="2.48"/>
    <n v="4.07"/>
  </r>
  <r>
    <x v="158"/>
    <x v="0"/>
    <x v="2"/>
    <x v="0"/>
    <n v="228"/>
    <n v="15806233.359999999"/>
    <n v="4616112.26"/>
    <n v="11190121.1"/>
    <n v="2.4700000000000002"/>
    <n v="4.37"/>
  </r>
  <r>
    <x v="159"/>
    <x v="0"/>
    <x v="1"/>
    <x v="1"/>
    <n v="194"/>
    <n v="16388460.699999999"/>
    <n v="5297107.04"/>
    <n v="11091353.66"/>
    <n v="2.95"/>
    <n v="4.8600000000000003"/>
  </r>
  <r>
    <x v="160"/>
    <x v="0"/>
    <x v="1"/>
    <x v="0"/>
    <n v="484"/>
    <n v="31390648.649999999"/>
    <n v="9847069.7899999991"/>
    <n v="21543578.850000001"/>
    <n v="2"/>
    <n v="4.5999999999999996"/>
  </r>
  <r>
    <x v="161"/>
    <x v="0"/>
    <x v="1"/>
    <x v="1"/>
    <n v="91"/>
    <n v="3882056.72"/>
    <n v="936332.52"/>
    <n v="2945724.2"/>
    <n v="3.29"/>
    <n v="4.3"/>
  </r>
  <r>
    <x v="162"/>
    <x v="0"/>
    <x v="4"/>
    <x v="1"/>
    <n v="280"/>
    <n v="18626523.079999998"/>
    <n v="3733900.32"/>
    <n v="14892622.75"/>
    <n v="3.89"/>
    <n v="4.5599999999999996"/>
  </r>
  <r>
    <x v="163"/>
    <x v="0"/>
    <x v="2"/>
    <x v="2"/>
    <n v="460"/>
    <n v="34921841.200000003"/>
    <n v="13734533.609999999"/>
    <n v="21187307.59"/>
    <n v="3.06"/>
    <n v="4.6399999999999997"/>
  </r>
  <r>
    <x v="164"/>
    <x v="0"/>
    <x v="1"/>
    <x v="0"/>
    <n v="172"/>
    <n v="13158849.859999999"/>
    <n v="4992688.63"/>
    <n v="8166161.2400000002"/>
    <n v="2.91"/>
    <n v="4.07"/>
  </r>
  <r>
    <x v="165"/>
    <x v="0"/>
    <x v="1"/>
    <x v="2"/>
    <n v="414"/>
    <n v="17392916.84"/>
    <n v="5575169.7800000003"/>
    <n v="11817747.07"/>
    <n v="4.09"/>
    <n v="3.72"/>
  </r>
  <r>
    <x v="166"/>
    <x v="0"/>
    <x v="1"/>
    <x v="2"/>
    <n v="96"/>
    <n v="5519283.3399999999"/>
    <n v="1355666.26"/>
    <n v="4163617.07"/>
    <n v="0.55000000000000004"/>
    <n v="4.4000000000000004"/>
  </r>
  <r>
    <x v="13"/>
    <x v="0"/>
    <x v="4"/>
    <x v="2"/>
    <n v="469"/>
    <n v="30414577.02"/>
    <n v="10634158.43"/>
    <n v="19780418.579999998"/>
    <n v="2.06"/>
    <n v="3.77"/>
  </r>
  <r>
    <x v="167"/>
    <x v="0"/>
    <x v="3"/>
    <x v="2"/>
    <n v="379"/>
    <n v="20404918.140000001"/>
    <n v="7234151.6200000001"/>
    <n v="13170766.52"/>
    <n v="2.41"/>
    <n v="3.93"/>
  </r>
  <r>
    <x v="168"/>
    <x v="0"/>
    <x v="2"/>
    <x v="0"/>
    <n v="412"/>
    <n v="17894942.789999999"/>
    <n v="5059867.26"/>
    <n v="12835075.539999999"/>
    <n v="2.78"/>
    <n v="4.42"/>
  </r>
  <r>
    <x v="169"/>
    <x v="0"/>
    <x v="3"/>
    <x v="1"/>
    <n v="160"/>
    <n v="11989641.16"/>
    <n v="3373973.97"/>
    <n v="8615667.1899999995"/>
    <n v="0.96"/>
    <n v="4.88"/>
  </r>
  <r>
    <x v="170"/>
    <x v="0"/>
    <x v="0"/>
    <x v="1"/>
    <n v="182"/>
    <n v="15604218.810000001"/>
    <n v="4034506.24"/>
    <n v="11569712.560000001"/>
    <n v="1.19"/>
    <n v="4.3600000000000003"/>
  </r>
  <r>
    <x v="171"/>
    <x v="0"/>
    <x v="4"/>
    <x v="0"/>
    <n v="427"/>
    <n v="16563622.35"/>
    <n v="6369305.5599999996"/>
    <n v="10194316.800000001"/>
    <n v="0.97"/>
    <n v="4.76"/>
  </r>
  <r>
    <x v="172"/>
    <x v="0"/>
    <x v="0"/>
    <x v="2"/>
    <n v="316"/>
    <n v="18895588.280000001"/>
    <n v="7130295.4100000001"/>
    <n v="11765292.859999999"/>
    <n v="4.93"/>
    <n v="4.76"/>
  </r>
  <r>
    <x v="173"/>
    <x v="0"/>
    <x v="2"/>
    <x v="2"/>
    <n v="231"/>
    <n v="18725320.469999999"/>
    <n v="6246218.5899999999"/>
    <n v="12479101.890000001"/>
    <n v="1.9"/>
    <n v="3.84"/>
  </r>
  <r>
    <x v="174"/>
    <x v="0"/>
    <x v="2"/>
    <x v="0"/>
    <n v="448"/>
    <n v="25511426.620000001"/>
    <n v="9925161.1400000006"/>
    <n v="15586265.48"/>
    <n v="2.0099999999999998"/>
    <n v="4.7"/>
  </r>
  <r>
    <x v="175"/>
    <x v="0"/>
    <x v="3"/>
    <x v="2"/>
    <n v="166"/>
    <n v="11321977.58"/>
    <n v="4270044.67"/>
    <n v="7051932.9100000001"/>
    <n v="2.37"/>
    <n v="4.8"/>
  </r>
  <r>
    <x v="176"/>
    <x v="0"/>
    <x v="0"/>
    <x v="1"/>
    <n v="343"/>
    <n v="18538817.18"/>
    <n v="6129106.4800000004"/>
    <n v="12409710.710000001"/>
    <n v="3.82"/>
    <n v="4.18"/>
  </r>
  <r>
    <x v="177"/>
    <x v="0"/>
    <x v="0"/>
    <x v="0"/>
    <n v="476"/>
    <n v="17519925.829999998"/>
    <n v="3809709.75"/>
    <n v="13710216.07"/>
    <n v="1.62"/>
    <n v="4.37"/>
  </r>
  <r>
    <x v="178"/>
    <x v="0"/>
    <x v="0"/>
    <x v="1"/>
    <n v="229"/>
    <n v="13291366.039999999"/>
    <n v="2884636.07"/>
    <n v="10406729.970000001"/>
    <n v="2.13"/>
    <n v="4.37"/>
  </r>
  <r>
    <x v="179"/>
    <x v="0"/>
    <x v="3"/>
    <x v="0"/>
    <n v="199"/>
    <n v="9373964.0099999998"/>
    <n v="3350853.2"/>
    <n v="6023110.8099999996"/>
    <n v="2.82"/>
    <n v="4.96"/>
  </r>
  <r>
    <x v="180"/>
    <x v="0"/>
    <x v="1"/>
    <x v="1"/>
    <n v="410"/>
    <n v="17702344.510000002"/>
    <n v="5612973.9900000002"/>
    <n v="12089370.52"/>
    <n v="0.88"/>
    <n v="5"/>
  </r>
  <r>
    <x v="181"/>
    <x v="0"/>
    <x v="2"/>
    <x v="1"/>
    <n v="98"/>
    <n v="5044821.96"/>
    <n v="1705213.46"/>
    <n v="3339608.5"/>
    <n v="2.29"/>
    <n v="4.1399999999999997"/>
  </r>
  <r>
    <x v="182"/>
    <x v="0"/>
    <x v="3"/>
    <x v="1"/>
    <n v="489"/>
    <n v="41268170.109999999"/>
    <n v="14814120.529999999"/>
    <n v="26454049.579999998"/>
    <n v="1.36"/>
    <n v="3.55"/>
  </r>
  <r>
    <x v="141"/>
    <x v="0"/>
    <x v="0"/>
    <x v="0"/>
    <n v="335"/>
    <n v="27138706.68"/>
    <n v="7666936.46"/>
    <n v="19471770.219999999"/>
    <n v="1.82"/>
    <n v="4.57"/>
  </r>
  <r>
    <x v="86"/>
    <x v="0"/>
    <x v="3"/>
    <x v="2"/>
    <n v="243"/>
    <n v="15648002.99"/>
    <n v="4753588.0599999996"/>
    <n v="10894414.92"/>
    <n v="2.74"/>
    <n v="4.6500000000000004"/>
  </r>
  <r>
    <x v="183"/>
    <x v="0"/>
    <x v="1"/>
    <x v="2"/>
    <n v="181"/>
    <n v="8146094.54"/>
    <n v="1854400.39"/>
    <n v="6291694.1500000004"/>
    <n v="4.76"/>
    <n v="4.0599999999999996"/>
  </r>
  <r>
    <x v="184"/>
    <x v="0"/>
    <x v="4"/>
    <x v="1"/>
    <n v="415"/>
    <n v="26544153.5"/>
    <n v="6366616.4299999997"/>
    <n v="20177537.07"/>
    <n v="4.91"/>
    <n v="4.76"/>
  </r>
  <r>
    <x v="185"/>
    <x v="0"/>
    <x v="1"/>
    <x v="2"/>
    <n v="440"/>
    <n v="31345959.390000001"/>
    <n v="12368513.779999999"/>
    <n v="18977445.609999999"/>
    <n v="1.5"/>
    <n v="3.85"/>
  </r>
  <r>
    <x v="186"/>
    <x v="0"/>
    <x v="3"/>
    <x v="0"/>
    <n v="492"/>
    <n v="30899043.210000001"/>
    <n v="8682328.4600000009"/>
    <n v="22216714.75"/>
    <n v="2.0299999999999998"/>
    <n v="4.3499999999999996"/>
  </r>
  <r>
    <x v="187"/>
    <x v="0"/>
    <x v="2"/>
    <x v="0"/>
    <n v="100"/>
    <n v="7090103.5899999999"/>
    <n v="2498293.3199999998"/>
    <n v="4591810.2699999996"/>
    <n v="0.95"/>
    <n v="3.86"/>
  </r>
  <r>
    <x v="188"/>
    <x v="0"/>
    <x v="2"/>
    <x v="0"/>
    <n v="127"/>
    <n v="8658333.8499999996"/>
    <n v="2066137.95"/>
    <n v="6592195.9000000004"/>
    <n v="4.83"/>
    <n v="4.92"/>
  </r>
  <r>
    <x v="189"/>
    <x v="0"/>
    <x v="4"/>
    <x v="2"/>
    <n v="231"/>
    <n v="10689325.470000001"/>
    <n v="3649019.89"/>
    <n v="7040305.5800000001"/>
    <n v="4.53"/>
    <n v="3.52"/>
  </r>
  <r>
    <x v="190"/>
    <x v="0"/>
    <x v="0"/>
    <x v="1"/>
    <n v="312"/>
    <n v="23548123.16"/>
    <n v="5424884.2999999998"/>
    <n v="18123238.870000001"/>
    <n v="1.05"/>
    <n v="4.8099999999999996"/>
  </r>
  <r>
    <x v="191"/>
    <x v="0"/>
    <x v="1"/>
    <x v="2"/>
    <n v="334"/>
    <n v="19431568.989999998"/>
    <n v="4303425.21"/>
    <n v="15128143.789999999"/>
    <n v="4.18"/>
    <n v="4.01"/>
  </r>
  <r>
    <x v="192"/>
    <x v="0"/>
    <x v="2"/>
    <x v="1"/>
    <n v="283"/>
    <n v="22747795.609999999"/>
    <n v="7447358.8899999997"/>
    <n v="15300436.720000001"/>
    <n v="0.65"/>
    <n v="4.75"/>
  </r>
  <r>
    <x v="193"/>
    <x v="0"/>
    <x v="0"/>
    <x v="0"/>
    <n v="342"/>
    <n v="19671033.18"/>
    <n v="5696545.5899999999"/>
    <n v="13974487.59"/>
    <n v="2.46"/>
    <n v="3.94"/>
  </r>
  <r>
    <x v="194"/>
    <x v="0"/>
    <x v="1"/>
    <x v="1"/>
    <n v="391"/>
    <n v="30453712.449999999"/>
    <n v="11485691.189999999"/>
    <n v="18968021.260000002"/>
    <n v="3.05"/>
    <n v="4.9800000000000004"/>
  </r>
  <r>
    <x v="195"/>
    <x v="0"/>
    <x v="4"/>
    <x v="2"/>
    <n v="264"/>
    <n v="20853898.32"/>
    <n v="6568087.4900000002"/>
    <n v="14285810.83"/>
    <n v="0.6"/>
    <n v="3.9"/>
  </r>
  <r>
    <x v="196"/>
    <x v="0"/>
    <x v="3"/>
    <x v="0"/>
    <n v="89"/>
    <n v="6535850.4500000002"/>
    <n v="2088138.8"/>
    <n v="4447711.6500000004"/>
    <n v="1.48"/>
    <n v="4.47"/>
  </r>
  <r>
    <x v="13"/>
    <x v="0"/>
    <x v="0"/>
    <x v="2"/>
    <n v="53"/>
    <n v="2240585.16"/>
    <n v="492672.28"/>
    <n v="1747912.88"/>
    <n v="3.61"/>
    <n v="4.5199999999999996"/>
  </r>
  <r>
    <x v="197"/>
    <x v="0"/>
    <x v="2"/>
    <x v="0"/>
    <n v="375"/>
    <n v="31982412.890000001"/>
    <n v="12039772.4"/>
    <n v="19942640.48"/>
    <n v="3.09"/>
    <n v="3.91"/>
  </r>
  <r>
    <x v="198"/>
    <x v="0"/>
    <x v="3"/>
    <x v="0"/>
    <n v="66"/>
    <n v="3781050.56"/>
    <n v="1136232.24"/>
    <n v="2644818.3199999998"/>
    <n v="3.74"/>
    <n v="3.66"/>
  </r>
  <r>
    <x v="199"/>
    <x v="0"/>
    <x v="2"/>
    <x v="0"/>
    <n v="391"/>
    <n v="16628725.470000001"/>
    <n v="3658257.61"/>
    <n v="12970467.869999999"/>
    <n v="4.43"/>
    <n v="4.4000000000000004"/>
  </r>
  <r>
    <x v="200"/>
    <x v="0"/>
    <x v="2"/>
    <x v="2"/>
    <n v="317"/>
    <n v="22133064.73"/>
    <n v="6665266.8700000001"/>
    <n v="15467797.869999999"/>
    <n v="3.08"/>
    <n v="4.76"/>
  </r>
  <r>
    <x v="201"/>
    <x v="0"/>
    <x v="0"/>
    <x v="2"/>
    <n v="239"/>
    <n v="15186173.24"/>
    <n v="5931822.6299999999"/>
    <n v="9254350.5999999996"/>
    <n v="1.25"/>
    <n v="4.6100000000000003"/>
  </r>
  <r>
    <x v="202"/>
    <x v="0"/>
    <x v="2"/>
    <x v="0"/>
    <n v="356"/>
    <n v="14228797.689999999"/>
    <n v="3497478.52"/>
    <n v="10731319.16"/>
    <n v="0.81"/>
    <n v="4.76"/>
  </r>
  <r>
    <x v="203"/>
    <x v="0"/>
    <x v="2"/>
    <x v="2"/>
    <n v="60"/>
    <n v="3273719.96"/>
    <n v="838697"/>
    <n v="2435022.9700000002"/>
    <n v="1.84"/>
    <n v="4.3499999999999996"/>
  </r>
  <r>
    <x v="204"/>
    <x v="0"/>
    <x v="0"/>
    <x v="1"/>
    <n v="147"/>
    <n v="8351910.1799999997"/>
    <n v="1747074.39"/>
    <n v="6604835.79"/>
    <n v="1.1100000000000001"/>
    <n v="4.2300000000000004"/>
  </r>
  <r>
    <x v="116"/>
    <x v="0"/>
    <x v="4"/>
    <x v="1"/>
    <n v="299"/>
    <n v="10977806.66"/>
    <n v="3815305.87"/>
    <n v="7162500.79"/>
    <n v="3.18"/>
    <n v="3.58"/>
  </r>
  <r>
    <x v="205"/>
    <x v="0"/>
    <x v="3"/>
    <x v="0"/>
    <n v="495"/>
    <n v="43331308.609999999"/>
    <n v="15992094.189999999"/>
    <n v="27339214.420000002"/>
    <n v="3.3"/>
    <n v="4.21"/>
  </r>
  <r>
    <x v="19"/>
    <x v="0"/>
    <x v="4"/>
    <x v="2"/>
    <n v="122"/>
    <n v="4774174.5199999996"/>
    <n v="1214369.77"/>
    <n v="3559804.75"/>
    <n v="2.73"/>
    <n v="4.53"/>
  </r>
  <r>
    <x v="206"/>
    <x v="0"/>
    <x v="4"/>
    <x v="1"/>
    <n v="91"/>
    <n v="5485705.9699999997"/>
    <n v="2110972.7200000002"/>
    <n v="3374733.26"/>
    <n v="0.85"/>
    <n v="3.5"/>
  </r>
  <r>
    <x v="33"/>
    <x v="0"/>
    <x v="4"/>
    <x v="1"/>
    <n v="484"/>
    <n v="24184503.550000001"/>
    <n v="6818914.29"/>
    <n v="17365589.260000002"/>
    <n v="2.12"/>
    <n v="3.64"/>
  </r>
  <r>
    <x v="207"/>
    <x v="0"/>
    <x v="0"/>
    <x v="0"/>
    <n v="354"/>
    <n v="15053858.74"/>
    <n v="3160595.72"/>
    <n v="11893263.029999999"/>
    <n v="2.5099999999999998"/>
    <n v="3.78"/>
  </r>
  <r>
    <x v="208"/>
    <x v="0"/>
    <x v="1"/>
    <x v="1"/>
    <n v="367"/>
    <n v="32185677.460000001"/>
    <n v="7992396.2599999998"/>
    <n v="24193281.199999999"/>
    <n v="3.38"/>
    <n v="4.6399999999999997"/>
  </r>
  <r>
    <x v="209"/>
    <x v="0"/>
    <x v="3"/>
    <x v="2"/>
    <n v="423"/>
    <n v="29630192.699999999"/>
    <n v="6041141.1699999999"/>
    <n v="23589051.530000001"/>
    <n v="4.57"/>
    <n v="4.47"/>
  </r>
  <r>
    <x v="210"/>
    <x v="0"/>
    <x v="1"/>
    <x v="0"/>
    <n v="108"/>
    <n v="9646747.9700000007"/>
    <n v="2037278.68"/>
    <n v="7609469.2800000003"/>
    <n v="0.68"/>
    <n v="4.5599999999999996"/>
  </r>
  <r>
    <x v="211"/>
    <x v="0"/>
    <x v="0"/>
    <x v="1"/>
    <n v="248"/>
    <n v="22311181.73"/>
    <n v="6444332.3600000003"/>
    <n v="15866849.369999999"/>
    <n v="2.63"/>
    <n v="3.97"/>
  </r>
  <r>
    <x v="156"/>
    <x v="0"/>
    <x v="1"/>
    <x v="0"/>
    <n v="384"/>
    <n v="28169516.039999999"/>
    <n v="9592570.8900000006"/>
    <n v="18576945.149999999"/>
    <n v="4.66"/>
    <n v="4.96"/>
  </r>
  <r>
    <x v="212"/>
    <x v="0"/>
    <x v="4"/>
    <x v="0"/>
    <n v="264"/>
    <n v="20788363.489999998"/>
    <n v="5217610.87"/>
    <n v="15570752.619999999"/>
    <n v="0.75"/>
    <n v="4.18"/>
  </r>
  <r>
    <x v="213"/>
    <x v="0"/>
    <x v="1"/>
    <x v="2"/>
    <n v="492"/>
    <n v="39650452.729999997"/>
    <n v="15566707.199999999"/>
    <n v="24083745.530000001"/>
    <n v="3.18"/>
    <n v="3.85"/>
  </r>
  <r>
    <x v="214"/>
    <x v="0"/>
    <x v="1"/>
    <x v="2"/>
    <n v="237"/>
    <n v="14565641.66"/>
    <n v="3248142.88"/>
    <n v="11317498.779999999"/>
    <n v="2.89"/>
    <n v="4.16"/>
  </r>
  <r>
    <x v="23"/>
    <x v="0"/>
    <x v="2"/>
    <x v="0"/>
    <n v="413"/>
    <n v="27457696.559999999"/>
    <n v="6568007.4299999997"/>
    <n v="20889689.120000001"/>
    <n v="2.92"/>
    <n v="4.49"/>
  </r>
  <r>
    <x v="55"/>
    <x v="0"/>
    <x v="0"/>
    <x v="2"/>
    <n v="446"/>
    <n v="30963115.460000001"/>
    <n v="6898719.9199999999"/>
    <n v="24064395.539999999"/>
    <n v="3.27"/>
    <n v="3.85"/>
  </r>
  <r>
    <x v="215"/>
    <x v="0"/>
    <x v="0"/>
    <x v="2"/>
    <n v="360"/>
    <n v="21746468.440000001"/>
    <n v="4391302.1500000004"/>
    <n v="17355166.289999999"/>
    <n v="0.5"/>
    <n v="3.78"/>
  </r>
  <r>
    <x v="216"/>
    <x v="0"/>
    <x v="3"/>
    <x v="1"/>
    <n v="323"/>
    <n v="27987537.66"/>
    <n v="6723819.8899999997"/>
    <n v="21263717.780000001"/>
    <n v="4.99"/>
    <n v="4.03"/>
  </r>
  <r>
    <x v="217"/>
    <x v="0"/>
    <x v="0"/>
    <x v="0"/>
    <n v="495"/>
    <n v="19735594.350000001"/>
    <n v="7745838.8099999996"/>
    <n v="11989755.550000001"/>
    <n v="2.66"/>
    <n v="4.37"/>
  </r>
  <r>
    <x v="218"/>
    <x v="0"/>
    <x v="1"/>
    <x v="2"/>
    <n v="285"/>
    <n v="25400508.379999999"/>
    <n v="6257296.29"/>
    <n v="19143212.09"/>
    <n v="2.38"/>
    <n v="4.13"/>
  </r>
  <r>
    <x v="219"/>
    <x v="0"/>
    <x v="0"/>
    <x v="0"/>
    <n v="438"/>
    <n v="32970427.84"/>
    <n v="13166104.939999999"/>
    <n v="19804322.899999999"/>
    <n v="2.6"/>
    <n v="3.95"/>
  </r>
  <r>
    <x v="220"/>
    <x v="0"/>
    <x v="2"/>
    <x v="0"/>
    <n v="373"/>
    <n v="27734576.260000002"/>
    <n v="7826095.3899999997"/>
    <n v="19908480.870000001"/>
    <n v="1.75"/>
    <n v="4.87"/>
  </r>
  <r>
    <x v="221"/>
    <x v="0"/>
    <x v="3"/>
    <x v="0"/>
    <n v="122"/>
    <n v="5004527.59"/>
    <n v="1609826.27"/>
    <n v="3394701.32"/>
    <n v="1.06"/>
    <n v="4.93"/>
  </r>
  <r>
    <x v="222"/>
    <x v="0"/>
    <x v="3"/>
    <x v="1"/>
    <n v="342"/>
    <n v="26761149.719999999"/>
    <n v="10225911.640000001"/>
    <n v="16535238.08"/>
    <n v="2.38"/>
    <n v="4.82"/>
  </r>
  <r>
    <x v="223"/>
    <x v="0"/>
    <x v="1"/>
    <x v="0"/>
    <n v="351"/>
    <n v="23883414.010000002"/>
    <n v="5236562.87"/>
    <n v="18646851.140000001"/>
    <n v="4.95"/>
    <n v="4.62"/>
  </r>
  <r>
    <x v="224"/>
    <x v="0"/>
    <x v="3"/>
    <x v="2"/>
    <n v="309"/>
    <n v="14752260.57"/>
    <n v="3119419.27"/>
    <n v="11632841.289999999"/>
    <n v="3.42"/>
    <n v="4.41"/>
  </r>
  <r>
    <x v="225"/>
    <x v="0"/>
    <x v="2"/>
    <x v="0"/>
    <n v="415"/>
    <n v="19790038.449999999"/>
    <n v="7217316.0700000003"/>
    <n v="12572722.380000001"/>
    <n v="1.49"/>
    <n v="3.78"/>
  </r>
  <r>
    <x v="226"/>
    <x v="0"/>
    <x v="2"/>
    <x v="2"/>
    <n v="308"/>
    <n v="24775924.489999998"/>
    <n v="5942407.9299999997"/>
    <n v="18833516.550000001"/>
    <n v="3.33"/>
    <n v="3.82"/>
  </r>
  <r>
    <x v="227"/>
    <x v="0"/>
    <x v="0"/>
    <x v="1"/>
    <n v="58"/>
    <n v="4989529.78"/>
    <n v="1002987.47"/>
    <n v="3986542.31"/>
    <n v="1.28"/>
    <n v="4.09"/>
  </r>
  <r>
    <x v="228"/>
    <x v="0"/>
    <x v="0"/>
    <x v="0"/>
    <n v="227"/>
    <n v="14077461.470000001"/>
    <n v="2825808.89"/>
    <n v="11251652.58"/>
    <n v="4.54"/>
    <n v="4.2"/>
  </r>
  <r>
    <x v="229"/>
    <x v="0"/>
    <x v="4"/>
    <x v="1"/>
    <n v="318"/>
    <n v="15044570.08"/>
    <n v="4402118.17"/>
    <n v="10642451.92"/>
    <n v="3.17"/>
    <n v="4.37"/>
  </r>
  <r>
    <x v="230"/>
    <x v="0"/>
    <x v="2"/>
    <x v="1"/>
    <n v="147"/>
    <n v="8843338.5099999998"/>
    <n v="2845486.07"/>
    <n v="5997852.4400000004"/>
    <n v="1.73"/>
    <n v="4.22"/>
  </r>
  <r>
    <x v="223"/>
    <x v="0"/>
    <x v="0"/>
    <x v="1"/>
    <n v="244"/>
    <n v="21364843.109999999"/>
    <n v="4862092.99"/>
    <n v="16502750.119999999"/>
    <n v="4.1399999999999997"/>
    <n v="4.4800000000000004"/>
  </r>
  <r>
    <x v="231"/>
    <x v="0"/>
    <x v="0"/>
    <x v="1"/>
    <n v="310"/>
    <n v="23385375.760000002"/>
    <n v="8038063.6299999999"/>
    <n v="15347312.130000001"/>
    <n v="1.64"/>
    <n v="3.51"/>
  </r>
  <r>
    <x v="232"/>
    <x v="0"/>
    <x v="3"/>
    <x v="0"/>
    <n v="300"/>
    <n v="22436431.879999999"/>
    <n v="6749436.3200000003"/>
    <n v="15686995.560000001"/>
    <n v="0.86"/>
    <n v="3.83"/>
  </r>
  <r>
    <x v="233"/>
    <x v="0"/>
    <x v="0"/>
    <x v="0"/>
    <n v="333"/>
    <n v="13049336.689999999"/>
    <n v="2998197.55"/>
    <n v="10051139.140000001"/>
    <n v="2.73"/>
    <n v="4.22"/>
  </r>
  <r>
    <x v="234"/>
    <x v="0"/>
    <x v="0"/>
    <x v="2"/>
    <n v="398"/>
    <n v="33773585.32"/>
    <n v="9650336.3200000003"/>
    <n v="24123249"/>
    <n v="3.48"/>
    <n v="4.32"/>
  </r>
  <r>
    <x v="235"/>
    <x v="0"/>
    <x v="2"/>
    <x v="1"/>
    <n v="286"/>
    <n v="21554403.030000001"/>
    <n v="6374670.2400000002"/>
    <n v="15179732.789999999"/>
    <n v="4.41"/>
    <n v="3.87"/>
  </r>
  <r>
    <x v="236"/>
    <x v="0"/>
    <x v="4"/>
    <x v="2"/>
    <n v="108"/>
    <n v="8931727.5500000007"/>
    <n v="2307310"/>
    <n v="6624417.5599999996"/>
    <n v="4.2699999999999996"/>
    <n v="4.55"/>
  </r>
  <r>
    <x v="237"/>
    <x v="0"/>
    <x v="1"/>
    <x v="2"/>
    <n v="219"/>
    <n v="8939771.6600000001"/>
    <n v="2326145.15"/>
    <n v="6613626.5099999998"/>
    <n v="1.35"/>
    <n v="4.82"/>
  </r>
  <r>
    <x v="238"/>
    <x v="0"/>
    <x v="3"/>
    <x v="1"/>
    <n v="94"/>
    <n v="7797431.04"/>
    <n v="3073361.68"/>
    <n v="4724069.3600000003"/>
    <n v="4.22"/>
    <n v="3.69"/>
  </r>
  <r>
    <x v="239"/>
    <x v="0"/>
    <x v="3"/>
    <x v="1"/>
    <n v="412"/>
    <n v="19600646.16"/>
    <n v="4278031.9000000004"/>
    <n v="15322614.26"/>
    <n v="0.51"/>
    <n v="4.33"/>
  </r>
  <r>
    <x v="240"/>
    <x v="0"/>
    <x v="1"/>
    <x v="1"/>
    <n v="126"/>
    <n v="7926751.3899999997"/>
    <n v="3160576.71"/>
    <n v="4766174.68"/>
    <n v="1.79"/>
    <n v="4.43"/>
  </r>
  <r>
    <x v="241"/>
    <x v="0"/>
    <x v="4"/>
    <x v="1"/>
    <n v="162"/>
    <n v="10658212.82"/>
    <n v="4016347.43"/>
    <n v="6641865.3899999997"/>
    <n v="2.2000000000000002"/>
    <n v="3.51"/>
  </r>
  <r>
    <x v="242"/>
    <x v="0"/>
    <x v="1"/>
    <x v="2"/>
    <n v="414"/>
    <n v="32247079.649999999"/>
    <n v="12208869.220000001"/>
    <n v="20038210.420000002"/>
    <n v="3.92"/>
    <n v="4.3099999999999996"/>
  </r>
  <r>
    <x v="243"/>
    <x v="0"/>
    <x v="1"/>
    <x v="0"/>
    <n v="273"/>
    <n v="22169424.359999999"/>
    <n v="7129016.4199999999"/>
    <n v="15040407.939999999"/>
    <n v="1.31"/>
    <n v="4.63"/>
  </r>
  <r>
    <x v="244"/>
    <x v="0"/>
    <x v="4"/>
    <x v="2"/>
    <n v="327"/>
    <n v="28301054.34"/>
    <n v="7426843.5"/>
    <n v="20874210.850000001"/>
    <n v="0.81"/>
    <n v="3.95"/>
  </r>
  <r>
    <x v="245"/>
    <x v="0"/>
    <x v="2"/>
    <x v="2"/>
    <n v="66"/>
    <n v="5108672.9800000004"/>
    <n v="1319496.6599999999"/>
    <n v="3789176.32"/>
    <n v="2.63"/>
    <n v="3.59"/>
  </r>
  <r>
    <x v="246"/>
    <x v="0"/>
    <x v="1"/>
    <x v="0"/>
    <n v="169"/>
    <n v="6340172.2000000002"/>
    <n v="1430930.2"/>
    <n v="4909242.01"/>
    <n v="4.88"/>
    <n v="4.95"/>
  </r>
  <r>
    <x v="247"/>
    <x v="0"/>
    <x v="4"/>
    <x v="0"/>
    <n v="213"/>
    <n v="15041325.23"/>
    <n v="4228429.8099999996"/>
    <n v="10812895.43"/>
    <n v="2.23"/>
    <n v="3.6"/>
  </r>
  <r>
    <x v="248"/>
    <x v="0"/>
    <x v="1"/>
    <x v="2"/>
    <n v="82"/>
    <n v="4329482.09"/>
    <n v="1308678.45"/>
    <n v="3020803.64"/>
    <n v="3.97"/>
    <n v="4.5199999999999996"/>
  </r>
  <r>
    <x v="249"/>
    <x v="0"/>
    <x v="2"/>
    <x v="2"/>
    <n v="75"/>
    <n v="3280620.42"/>
    <n v="1004828.17"/>
    <n v="2275792.25"/>
    <n v="4.75"/>
    <n v="3.65"/>
  </r>
  <r>
    <x v="250"/>
    <x v="0"/>
    <x v="4"/>
    <x v="1"/>
    <n v="88"/>
    <n v="5630796.6299999999"/>
    <n v="1322200.28"/>
    <n v="4308596.3499999996"/>
    <n v="1.84"/>
    <n v="4.76"/>
  </r>
  <r>
    <x v="251"/>
    <x v="0"/>
    <x v="0"/>
    <x v="2"/>
    <n v="224"/>
    <n v="16223751.4"/>
    <n v="4365775.1100000003"/>
    <n v="11857976.289999999"/>
    <n v="1.73"/>
    <n v="4.93"/>
  </r>
  <r>
    <x v="252"/>
    <x v="0"/>
    <x v="2"/>
    <x v="1"/>
    <n v="285"/>
    <n v="10465663.77"/>
    <n v="2655620.1800000002"/>
    <n v="7810043.5899999999"/>
    <n v="4.59"/>
    <n v="4.79"/>
  </r>
  <r>
    <x v="208"/>
    <x v="0"/>
    <x v="2"/>
    <x v="1"/>
    <n v="133"/>
    <n v="7563403.0199999996"/>
    <n v="2610561.19"/>
    <n v="4952841.83"/>
    <n v="4.93"/>
    <n v="4.1100000000000003"/>
  </r>
  <r>
    <x v="253"/>
    <x v="0"/>
    <x v="1"/>
    <x v="1"/>
    <n v="429"/>
    <n v="32107752.960000001"/>
    <n v="8053671.0800000001"/>
    <n v="24054081.879999999"/>
    <n v="1.4"/>
    <n v="4.8"/>
  </r>
  <r>
    <x v="254"/>
    <x v="0"/>
    <x v="4"/>
    <x v="2"/>
    <n v="329"/>
    <n v="18183484.190000001"/>
    <n v="4129984.76"/>
    <n v="14053499.43"/>
    <n v="2.63"/>
    <n v="4.95"/>
  </r>
  <r>
    <x v="255"/>
    <x v="0"/>
    <x v="1"/>
    <x v="1"/>
    <n v="479"/>
    <n v="22131509.41"/>
    <n v="8449082.2100000009"/>
    <n v="13682427.199999999"/>
    <n v="1.19"/>
    <n v="4.18"/>
  </r>
  <r>
    <x v="256"/>
    <x v="0"/>
    <x v="3"/>
    <x v="0"/>
    <n v="99"/>
    <n v="7608775.6299999999"/>
    <n v="2090556.27"/>
    <n v="5518219.3600000003"/>
    <n v="1.0900000000000001"/>
    <n v="3.55"/>
  </r>
  <r>
    <x v="257"/>
    <x v="0"/>
    <x v="0"/>
    <x v="1"/>
    <n v="365"/>
    <n v="32197788.620000001"/>
    <n v="11684842.32"/>
    <n v="20512946.300000001"/>
    <n v="2.58"/>
    <n v="3.5"/>
  </r>
  <r>
    <x v="20"/>
    <x v="0"/>
    <x v="3"/>
    <x v="1"/>
    <n v="322"/>
    <n v="22025397.199999999"/>
    <n v="7719725.71"/>
    <n v="14305671.49"/>
    <n v="3.01"/>
    <n v="3.84"/>
  </r>
  <r>
    <x v="258"/>
    <x v="0"/>
    <x v="1"/>
    <x v="2"/>
    <n v="493"/>
    <n v="18996025.329999998"/>
    <n v="5387381.4299999997"/>
    <n v="13608643.9"/>
    <n v="1.71"/>
    <n v="4.7"/>
  </r>
  <r>
    <x v="258"/>
    <x v="0"/>
    <x v="0"/>
    <x v="2"/>
    <n v="444"/>
    <n v="39577861.369999997"/>
    <n v="14647128.16"/>
    <n v="24930733.210000001"/>
    <n v="2.59"/>
    <n v="4.5199999999999996"/>
  </r>
  <r>
    <x v="259"/>
    <x v="0"/>
    <x v="2"/>
    <x v="0"/>
    <n v="387"/>
    <n v="23760498.100000001"/>
    <n v="6652841.8200000003"/>
    <n v="17107656.280000001"/>
    <n v="1.81"/>
    <n v="4.54"/>
  </r>
  <r>
    <x v="260"/>
    <x v="0"/>
    <x v="1"/>
    <x v="1"/>
    <n v="338"/>
    <n v="29539738.18"/>
    <n v="6452550.21"/>
    <n v="23087187.969999999"/>
    <n v="3.76"/>
    <n v="4.62"/>
  </r>
  <r>
    <x v="261"/>
    <x v="0"/>
    <x v="2"/>
    <x v="2"/>
    <n v="90"/>
    <n v="4348122.83"/>
    <n v="881223.1"/>
    <n v="3466899.73"/>
    <n v="1.1399999999999999"/>
    <n v="4.25"/>
  </r>
  <r>
    <x v="262"/>
    <x v="0"/>
    <x v="3"/>
    <x v="2"/>
    <n v="135"/>
    <n v="6286845.6299999999"/>
    <n v="2079667.7"/>
    <n v="4207177.93"/>
    <n v="3.99"/>
    <n v="4.91"/>
  </r>
  <r>
    <x v="263"/>
    <x v="0"/>
    <x v="3"/>
    <x v="2"/>
    <n v="402"/>
    <n v="25516604.440000001"/>
    <n v="9758230.8300000001"/>
    <n v="15758373.6"/>
    <n v="2.08"/>
    <n v="3.55"/>
  </r>
  <r>
    <x v="264"/>
    <x v="0"/>
    <x v="3"/>
    <x v="1"/>
    <n v="165"/>
    <n v="9022047.2599999998"/>
    <n v="3027628.18"/>
    <n v="5994419.0800000001"/>
    <n v="4.9000000000000004"/>
    <n v="3.8"/>
  </r>
  <r>
    <x v="265"/>
    <x v="0"/>
    <x v="4"/>
    <x v="0"/>
    <n v="171"/>
    <n v="13514517.91"/>
    <n v="4864820.3499999996"/>
    <n v="8649697.5500000007"/>
    <n v="1.25"/>
    <n v="3.66"/>
  </r>
  <r>
    <x v="266"/>
    <x v="0"/>
    <x v="0"/>
    <x v="1"/>
    <n v="366"/>
    <n v="27031356.370000001"/>
    <n v="10641779.279999999"/>
    <n v="16389577.09"/>
    <n v="4.71"/>
    <n v="3.58"/>
  </r>
  <r>
    <x v="267"/>
    <x v="0"/>
    <x v="1"/>
    <x v="2"/>
    <n v="465"/>
    <n v="23917727.789999999"/>
    <n v="5093510.63"/>
    <n v="18824217.170000002"/>
    <n v="4.76"/>
    <n v="4.4400000000000004"/>
  </r>
  <r>
    <x v="268"/>
    <x v="0"/>
    <x v="2"/>
    <x v="2"/>
    <n v="133"/>
    <n v="7138078.1600000001"/>
    <n v="1691974.19"/>
    <n v="5446103.96"/>
    <n v="0.86"/>
    <n v="4.84"/>
  </r>
  <r>
    <x v="3"/>
    <x v="0"/>
    <x v="0"/>
    <x v="1"/>
    <n v="437"/>
    <n v="29655332.359999999"/>
    <n v="7213169.9699999997"/>
    <n v="22442162.390000001"/>
    <n v="2.66"/>
    <n v="3.56"/>
  </r>
  <r>
    <x v="75"/>
    <x v="0"/>
    <x v="3"/>
    <x v="0"/>
    <n v="237"/>
    <n v="17831269.420000002"/>
    <n v="6841394.5300000003"/>
    <n v="10989874.890000001"/>
    <n v="0.77"/>
    <n v="3.87"/>
  </r>
  <r>
    <x v="269"/>
    <x v="0"/>
    <x v="1"/>
    <x v="0"/>
    <n v="446"/>
    <n v="27366712.120000001"/>
    <n v="7576517.9199999999"/>
    <n v="19790194.199999999"/>
    <n v="1.98"/>
    <n v="4.21"/>
  </r>
  <r>
    <x v="270"/>
    <x v="0"/>
    <x v="0"/>
    <x v="1"/>
    <n v="222"/>
    <n v="9993659.75"/>
    <n v="2419068.2599999998"/>
    <n v="7574591.4900000002"/>
    <n v="3.46"/>
    <n v="4.25"/>
  </r>
  <r>
    <x v="271"/>
    <x v="0"/>
    <x v="0"/>
    <x v="2"/>
    <n v="131"/>
    <n v="4735304.51"/>
    <n v="1275441.94"/>
    <n v="3459862.57"/>
    <n v="2"/>
    <n v="4.3099999999999996"/>
  </r>
  <r>
    <x v="272"/>
    <x v="0"/>
    <x v="3"/>
    <x v="1"/>
    <n v="108"/>
    <n v="7642934.5800000001"/>
    <n v="2752155.85"/>
    <n v="4890778.7300000004"/>
    <n v="3.56"/>
    <n v="3.61"/>
  </r>
  <r>
    <x v="273"/>
    <x v="0"/>
    <x v="1"/>
    <x v="2"/>
    <n v="496"/>
    <n v="22913615.489999998"/>
    <n v="5313885.54"/>
    <n v="17599729.949999999"/>
    <n v="1.28"/>
    <n v="4.9400000000000004"/>
  </r>
  <r>
    <x v="274"/>
    <x v="0"/>
    <x v="1"/>
    <x v="1"/>
    <n v="491"/>
    <n v="37241789.609999999"/>
    <n v="11727489.189999999"/>
    <n v="25514300.41"/>
    <n v="2.06"/>
    <n v="4.0599999999999996"/>
  </r>
  <r>
    <x v="41"/>
    <x v="0"/>
    <x v="4"/>
    <x v="2"/>
    <n v="69"/>
    <n v="4330886.33"/>
    <n v="1261759.97"/>
    <n v="3069126.36"/>
    <n v="2.81"/>
    <n v="4.38"/>
  </r>
  <r>
    <x v="275"/>
    <x v="0"/>
    <x v="1"/>
    <x v="1"/>
    <n v="299"/>
    <n v="22391862.23"/>
    <n v="6777260.1100000003"/>
    <n v="15614602.109999999"/>
    <n v="4.43"/>
    <n v="4.8499999999999996"/>
  </r>
  <r>
    <x v="276"/>
    <x v="0"/>
    <x v="3"/>
    <x v="2"/>
    <n v="311"/>
    <n v="22088934.739999998"/>
    <n v="4452540.28"/>
    <n v="17636394.460000001"/>
    <n v="1.78"/>
    <n v="4.04"/>
  </r>
  <r>
    <x v="277"/>
    <x v="0"/>
    <x v="2"/>
    <x v="2"/>
    <n v="180"/>
    <n v="12467369.18"/>
    <n v="3412168.79"/>
    <n v="9055200.3900000006"/>
    <n v="3.8"/>
    <n v="3.7"/>
  </r>
  <r>
    <x v="75"/>
    <x v="0"/>
    <x v="4"/>
    <x v="2"/>
    <n v="57"/>
    <n v="3265647.42"/>
    <n v="913169.47"/>
    <n v="2352477.9500000002"/>
    <n v="3.35"/>
    <n v="4.0599999999999996"/>
  </r>
  <r>
    <x v="278"/>
    <x v="0"/>
    <x v="3"/>
    <x v="0"/>
    <n v="51"/>
    <n v="2292640.35"/>
    <n v="525296.59"/>
    <n v="1767343.76"/>
    <n v="2.72"/>
    <n v="3.87"/>
  </r>
  <r>
    <x v="279"/>
    <x v="0"/>
    <x v="3"/>
    <x v="0"/>
    <n v="365"/>
    <n v="20905792.539999999"/>
    <n v="5883231.2000000002"/>
    <n v="15022561.34"/>
    <n v="3.11"/>
    <n v="4.49"/>
  </r>
  <r>
    <x v="87"/>
    <x v="0"/>
    <x v="1"/>
    <x v="1"/>
    <n v="280"/>
    <n v="12318267.640000001"/>
    <n v="3963817.65"/>
    <n v="8354449.9900000002"/>
    <n v="4.8600000000000003"/>
    <n v="3.89"/>
  </r>
  <r>
    <x v="280"/>
    <x v="0"/>
    <x v="0"/>
    <x v="0"/>
    <n v="278"/>
    <n v="9868074.8800000008"/>
    <n v="2785929.97"/>
    <n v="7082144.9100000001"/>
    <n v="3.19"/>
    <n v="4.09"/>
  </r>
  <r>
    <x v="127"/>
    <x v="0"/>
    <x v="3"/>
    <x v="2"/>
    <n v="456"/>
    <n v="27341041.699999999"/>
    <n v="9645643.5700000003"/>
    <n v="17695398.129999999"/>
    <n v="0.83"/>
    <n v="3.75"/>
  </r>
  <r>
    <x v="281"/>
    <x v="0"/>
    <x v="1"/>
    <x v="2"/>
    <n v="142"/>
    <n v="7601994.8099999996"/>
    <n v="1780564.51"/>
    <n v="5821430.29"/>
    <n v="2.44"/>
    <n v="3.87"/>
  </r>
  <r>
    <x v="282"/>
    <x v="0"/>
    <x v="3"/>
    <x v="0"/>
    <n v="220"/>
    <n v="19177858.59"/>
    <n v="6702555.0199999996"/>
    <n v="12475303.58"/>
    <n v="2.12"/>
    <n v="4.07"/>
  </r>
  <r>
    <x v="283"/>
    <x v="0"/>
    <x v="3"/>
    <x v="2"/>
    <n v="156"/>
    <n v="11778329.289999999"/>
    <n v="3147630.05"/>
    <n v="8630699.2400000002"/>
    <n v="2.64"/>
    <n v="4.7699999999999996"/>
  </r>
  <r>
    <x v="284"/>
    <x v="0"/>
    <x v="2"/>
    <x v="2"/>
    <n v="93"/>
    <n v="5538175.6299999999"/>
    <n v="1258034.06"/>
    <n v="4280141.57"/>
    <n v="3.01"/>
    <n v="4.3099999999999996"/>
  </r>
  <r>
    <x v="285"/>
    <x v="0"/>
    <x v="0"/>
    <x v="2"/>
    <n v="453"/>
    <n v="22575811.57"/>
    <n v="8772568.2100000009"/>
    <n v="13803243.359999999"/>
    <n v="2.89"/>
    <n v="4.9000000000000004"/>
  </r>
  <r>
    <x v="286"/>
    <x v="0"/>
    <x v="3"/>
    <x v="2"/>
    <n v="334"/>
    <n v="23446854.5"/>
    <n v="8325034.6399999997"/>
    <n v="15121819.859999999"/>
    <n v="1.31"/>
    <n v="3.63"/>
  </r>
  <r>
    <x v="287"/>
    <x v="0"/>
    <x v="0"/>
    <x v="1"/>
    <n v="210"/>
    <n v="13208562.039999999"/>
    <n v="5173601.28"/>
    <n v="8034960.7599999998"/>
    <n v="1.17"/>
    <n v="4.9800000000000004"/>
  </r>
  <r>
    <x v="288"/>
    <x v="0"/>
    <x v="2"/>
    <x v="1"/>
    <n v="265"/>
    <n v="19272979.75"/>
    <n v="7642199.8300000001"/>
    <n v="11630779.92"/>
    <n v="1.95"/>
    <n v="4.96"/>
  </r>
  <r>
    <x v="289"/>
    <x v="0"/>
    <x v="3"/>
    <x v="1"/>
    <n v="88"/>
    <n v="5280940.9000000004"/>
    <n v="1567809.93"/>
    <n v="3713130.97"/>
    <n v="2.7"/>
    <n v="4.5"/>
  </r>
  <r>
    <x v="290"/>
    <x v="0"/>
    <x v="1"/>
    <x v="2"/>
    <n v="389"/>
    <n v="16305239.65"/>
    <n v="6089307.0099999998"/>
    <n v="10215932.630000001"/>
    <n v="1.1499999999999999"/>
    <n v="4.91"/>
  </r>
  <r>
    <x v="291"/>
    <x v="0"/>
    <x v="2"/>
    <x v="1"/>
    <n v="429"/>
    <n v="30904638.260000002"/>
    <n v="6366899.1200000001"/>
    <n v="24537739.149999999"/>
    <n v="0.92"/>
    <n v="4.51"/>
  </r>
  <r>
    <x v="292"/>
    <x v="0"/>
    <x v="4"/>
    <x v="2"/>
    <n v="401"/>
    <n v="19208249.32"/>
    <n v="3982458.5"/>
    <n v="15225790.82"/>
    <n v="1.65"/>
    <n v="4.49"/>
  </r>
  <r>
    <x v="293"/>
    <x v="0"/>
    <x v="3"/>
    <x v="2"/>
    <n v="168"/>
    <n v="14608235.390000001"/>
    <n v="3847084.55"/>
    <n v="10761150.84"/>
    <n v="2.74"/>
    <n v="4.43"/>
  </r>
  <r>
    <x v="294"/>
    <x v="0"/>
    <x v="4"/>
    <x v="1"/>
    <n v="185"/>
    <n v="15272394.91"/>
    <n v="3761531.72"/>
    <n v="11510863.189999999"/>
    <n v="1.01"/>
    <n v="4.6900000000000004"/>
  </r>
  <r>
    <x v="9"/>
    <x v="0"/>
    <x v="2"/>
    <x v="2"/>
    <n v="338"/>
    <n v="22995331.399999999"/>
    <n v="4870984.43"/>
    <n v="18124346.960000001"/>
    <n v="4.22"/>
    <n v="4.5"/>
  </r>
  <r>
    <x v="295"/>
    <x v="0"/>
    <x v="3"/>
    <x v="2"/>
    <n v="410"/>
    <n v="16753672.83"/>
    <n v="4497204.13"/>
    <n v="12256468.699999999"/>
    <n v="5"/>
    <n v="3.57"/>
  </r>
  <r>
    <x v="296"/>
    <x v="0"/>
    <x v="1"/>
    <x v="1"/>
    <n v="122"/>
    <n v="10083803.460000001"/>
    <n v="2030198.49"/>
    <n v="8053604.96"/>
    <n v="3.89"/>
    <n v="3.64"/>
  </r>
  <r>
    <x v="297"/>
    <x v="0"/>
    <x v="0"/>
    <x v="1"/>
    <n v="208"/>
    <n v="15727858.949999999"/>
    <n v="3527709.81"/>
    <n v="12200149.140000001"/>
    <n v="2.3199999999999998"/>
    <n v="3.99"/>
  </r>
  <r>
    <x v="298"/>
    <x v="0"/>
    <x v="0"/>
    <x v="0"/>
    <n v="151"/>
    <n v="8924021.3399999999"/>
    <n v="1960829.43"/>
    <n v="6963191.9100000001"/>
    <n v="4.45"/>
    <n v="3.98"/>
  </r>
  <r>
    <x v="299"/>
    <x v="0"/>
    <x v="2"/>
    <x v="2"/>
    <n v="414"/>
    <n v="33112085.100000001"/>
    <n v="12448759.550000001"/>
    <n v="20663325.559999999"/>
    <n v="2.95"/>
    <n v="3.51"/>
  </r>
  <r>
    <x v="300"/>
    <x v="0"/>
    <x v="3"/>
    <x v="0"/>
    <n v="192"/>
    <n v="13375004.380000001"/>
    <n v="3718701.14"/>
    <n v="9656303.2400000002"/>
    <n v="3.04"/>
    <n v="4.07"/>
  </r>
  <r>
    <x v="301"/>
    <x v="0"/>
    <x v="1"/>
    <x v="0"/>
    <n v="142"/>
    <n v="8474297.1899999995"/>
    <n v="2987114.96"/>
    <n v="5487182.2300000004"/>
    <n v="2.1800000000000002"/>
    <n v="3.84"/>
  </r>
  <r>
    <x v="302"/>
    <x v="0"/>
    <x v="1"/>
    <x v="0"/>
    <n v="316"/>
    <n v="21547936.550000001"/>
    <n v="5739453.2199999997"/>
    <n v="15808483.33"/>
    <n v="3.29"/>
    <n v="4.2"/>
  </r>
  <r>
    <x v="297"/>
    <x v="0"/>
    <x v="4"/>
    <x v="0"/>
    <n v="52"/>
    <n v="3371160.08"/>
    <n v="706946.72"/>
    <n v="2664213.36"/>
    <n v="4.3099999999999996"/>
    <n v="4.87"/>
  </r>
  <r>
    <x v="303"/>
    <x v="0"/>
    <x v="2"/>
    <x v="0"/>
    <n v="270"/>
    <n v="14517530.24"/>
    <n v="4703111.82"/>
    <n v="9814418.4199999999"/>
    <n v="2.29"/>
    <n v="4.37"/>
  </r>
  <r>
    <x v="304"/>
    <x v="0"/>
    <x v="4"/>
    <x v="0"/>
    <n v="349"/>
    <n v="21365169.640000001"/>
    <n v="6860931.4500000002"/>
    <n v="14504238.199999999"/>
    <n v="2.97"/>
    <n v="4.62"/>
  </r>
  <r>
    <x v="305"/>
    <x v="0"/>
    <x v="3"/>
    <x v="1"/>
    <n v="413"/>
    <n v="36159720.75"/>
    <n v="14332031.279999999"/>
    <n v="21827689.469999999"/>
    <n v="1.38"/>
    <n v="3.51"/>
  </r>
  <r>
    <x v="306"/>
    <x v="0"/>
    <x v="3"/>
    <x v="0"/>
    <n v="352"/>
    <n v="13699986.029999999"/>
    <n v="2864228.6"/>
    <n v="10835757.43"/>
    <n v="3.45"/>
    <n v="4.07"/>
  </r>
  <r>
    <x v="307"/>
    <x v="0"/>
    <x v="3"/>
    <x v="1"/>
    <n v="373"/>
    <n v="32224955.09"/>
    <n v="10623776.970000001"/>
    <n v="21601178.109999999"/>
    <n v="0.96"/>
    <n v="4.2300000000000004"/>
  </r>
  <r>
    <x v="308"/>
    <x v="0"/>
    <x v="3"/>
    <x v="0"/>
    <n v="422"/>
    <n v="21381900.050000001"/>
    <n v="7238671.3600000003"/>
    <n v="14143228.699999999"/>
    <n v="4.1100000000000003"/>
    <n v="4.3099999999999996"/>
  </r>
  <r>
    <x v="254"/>
    <x v="0"/>
    <x v="2"/>
    <x v="0"/>
    <n v="193"/>
    <n v="7706383.5899999999"/>
    <n v="1976478.11"/>
    <n v="5729905.4800000004"/>
    <n v="2.2999999999999998"/>
    <n v="4.97"/>
  </r>
  <r>
    <x v="309"/>
    <x v="0"/>
    <x v="4"/>
    <x v="2"/>
    <n v="139"/>
    <n v="5796819.1799999997"/>
    <n v="2108709.67"/>
    <n v="3688109.52"/>
    <n v="3.57"/>
    <n v="3.77"/>
  </r>
  <r>
    <x v="310"/>
    <x v="0"/>
    <x v="2"/>
    <x v="1"/>
    <n v="446"/>
    <n v="20137873.23"/>
    <n v="6865893.9400000004"/>
    <n v="13271979.289999999"/>
    <n v="4.07"/>
    <n v="3.78"/>
  </r>
  <r>
    <x v="311"/>
    <x v="0"/>
    <x v="3"/>
    <x v="2"/>
    <n v="489"/>
    <n v="43012918.310000002"/>
    <n v="13045425.439999999"/>
    <n v="29967492.870000001"/>
    <n v="4.13"/>
    <n v="4.33"/>
  </r>
  <r>
    <x v="312"/>
    <x v="0"/>
    <x v="2"/>
    <x v="0"/>
    <n v="425"/>
    <n v="27181918.66"/>
    <n v="10262237.949999999"/>
    <n v="16919680.710000001"/>
    <n v="0.51"/>
    <n v="4.46"/>
  </r>
  <r>
    <x v="313"/>
    <x v="0"/>
    <x v="2"/>
    <x v="0"/>
    <n v="326"/>
    <n v="27263821.890000001"/>
    <n v="9661863.5"/>
    <n v="17601958.390000001"/>
    <n v="1.45"/>
    <n v="4.42"/>
  </r>
  <r>
    <x v="36"/>
    <x v="0"/>
    <x v="2"/>
    <x v="0"/>
    <n v="427"/>
    <n v="23417742.609999999"/>
    <n v="5124312.0999999996"/>
    <n v="18293430.510000002"/>
    <n v="3.96"/>
    <n v="4.33"/>
  </r>
  <r>
    <x v="314"/>
    <x v="0"/>
    <x v="0"/>
    <x v="1"/>
    <n v="396"/>
    <n v="30859845.719999999"/>
    <n v="10647843.92"/>
    <n v="20212001.809999999"/>
    <n v="4.2"/>
    <n v="4.1399999999999997"/>
  </r>
  <r>
    <x v="315"/>
    <x v="0"/>
    <x v="1"/>
    <x v="2"/>
    <n v="251"/>
    <n v="19960561.32"/>
    <n v="4923647.17"/>
    <n v="15036914.15"/>
    <n v="1.17"/>
    <n v="4.1399999999999997"/>
  </r>
  <r>
    <x v="316"/>
    <x v="0"/>
    <x v="4"/>
    <x v="2"/>
    <n v="118"/>
    <n v="5220412.21"/>
    <n v="1318807.94"/>
    <n v="3901604.26"/>
    <n v="4.38"/>
    <n v="3.83"/>
  </r>
  <r>
    <x v="317"/>
    <x v="0"/>
    <x v="2"/>
    <x v="2"/>
    <n v="199"/>
    <n v="7223724.3200000003"/>
    <n v="1962004.7"/>
    <n v="5261719.62"/>
    <n v="3.23"/>
    <n v="4.32"/>
  </r>
  <r>
    <x v="318"/>
    <x v="0"/>
    <x v="3"/>
    <x v="0"/>
    <n v="187"/>
    <n v="9187050.3699999992"/>
    <n v="2513548.5299999998"/>
    <n v="6673501.8499999996"/>
    <n v="0.76"/>
    <n v="3.71"/>
  </r>
  <r>
    <x v="319"/>
    <x v="0"/>
    <x v="0"/>
    <x v="0"/>
    <n v="369"/>
    <n v="15684044.779999999"/>
    <n v="4093082.25"/>
    <n v="11590962.529999999"/>
    <n v="2.3199999999999998"/>
    <n v="4.1399999999999997"/>
  </r>
  <r>
    <x v="320"/>
    <x v="0"/>
    <x v="4"/>
    <x v="2"/>
    <n v="216"/>
    <n v="16167260.189999999"/>
    <n v="6415747.3399999999"/>
    <n v="9751512.8599999994"/>
    <n v="2.0299999999999998"/>
    <n v="4.7300000000000004"/>
  </r>
  <r>
    <x v="321"/>
    <x v="0"/>
    <x v="3"/>
    <x v="2"/>
    <n v="117"/>
    <n v="8756120.2899999991"/>
    <n v="2489563.0299999998"/>
    <n v="6266557.2599999998"/>
    <n v="1.73"/>
    <n v="3.62"/>
  </r>
  <r>
    <x v="322"/>
    <x v="0"/>
    <x v="2"/>
    <x v="2"/>
    <n v="281"/>
    <n v="19807954.440000001"/>
    <n v="5563061.1200000001"/>
    <n v="14244893.32"/>
    <n v="2.31"/>
    <n v="4.05"/>
  </r>
  <r>
    <x v="323"/>
    <x v="0"/>
    <x v="3"/>
    <x v="1"/>
    <n v="119"/>
    <n v="6488450.8200000003"/>
    <n v="2505289.69"/>
    <n v="3983161.13"/>
    <n v="2.84"/>
    <n v="3.6"/>
  </r>
  <r>
    <x v="324"/>
    <x v="0"/>
    <x v="2"/>
    <x v="0"/>
    <n v="54"/>
    <n v="2097696.87"/>
    <n v="570502.97"/>
    <n v="1527193.9"/>
    <n v="1.72"/>
    <n v="4.3899999999999997"/>
  </r>
  <r>
    <x v="325"/>
    <x v="0"/>
    <x v="1"/>
    <x v="1"/>
    <n v="116"/>
    <n v="7460270.6799999997"/>
    <n v="2500184.75"/>
    <n v="4960085.92"/>
    <n v="2"/>
    <n v="4.5"/>
  </r>
  <r>
    <x v="326"/>
    <x v="0"/>
    <x v="2"/>
    <x v="1"/>
    <n v="264"/>
    <n v="14735477.67"/>
    <n v="4824559.63"/>
    <n v="9910918.0399999991"/>
    <n v="4.9800000000000004"/>
    <n v="4.17"/>
  </r>
  <r>
    <x v="327"/>
    <x v="0"/>
    <x v="4"/>
    <x v="1"/>
    <n v="165"/>
    <n v="6320791.7599999998"/>
    <n v="1817484.49"/>
    <n v="4503307.2699999996"/>
    <n v="4.8099999999999996"/>
    <n v="3.76"/>
  </r>
  <r>
    <x v="328"/>
    <x v="0"/>
    <x v="1"/>
    <x v="2"/>
    <n v="336"/>
    <n v="25709402.91"/>
    <n v="9407183.9600000009"/>
    <n v="16302218.949999999"/>
    <n v="2.34"/>
    <n v="4.13"/>
  </r>
  <r>
    <x v="38"/>
    <x v="0"/>
    <x v="0"/>
    <x v="1"/>
    <n v="104"/>
    <n v="7965254.2400000002"/>
    <n v="2632402.58"/>
    <n v="5332851.66"/>
    <n v="3.49"/>
    <n v="4.6900000000000004"/>
  </r>
  <r>
    <x v="329"/>
    <x v="0"/>
    <x v="2"/>
    <x v="0"/>
    <n v="193"/>
    <n v="10815516.460000001"/>
    <n v="4067004.08"/>
    <n v="6748512.3899999997"/>
    <n v="4.88"/>
    <n v="3.53"/>
  </r>
  <r>
    <x v="330"/>
    <x v="0"/>
    <x v="2"/>
    <x v="2"/>
    <n v="409"/>
    <n v="31604652.609999999"/>
    <n v="11101723.869999999"/>
    <n v="20502928.739999998"/>
    <n v="3.52"/>
    <n v="3.64"/>
  </r>
  <r>
    <x v="331"/>
    <x v="0"/>
    <x v="0"/>
    <x v="0"/>
    <n v="455"/>
    <n v="18155338.91"/>
    <n v="4519697.47"/>
    <n v="13635641.439999999"/>
    <n v="1.07"/>
    <n v="4.74"/>
  </r>
  <r>
    <x v="332"/>
    <x v="0"/>
    <x v="2"/>
    <x v="2"/>
    <n v="87"/>
    <n v="3807269.74"/>
    <n v="1474853.27"/>
    <n v="2332416.4700000002"/>
    <n v="1.03"/>
    <n v="3.84"/>
  </r>
  <r>
    <x v="333"/>
    <x v="0"/>
    <x v="3"/>
    <x v="2"/>
    <n v="286"/>
    <n v="15674945.689999999"/>
    <n v="5995219.2199999997"/>
    <n v="9679726.4700000007"/>
    <n v="4.72"/>
    <n v="4.33"/>
  </r>
  <r>
    <x v="334"/>
    <x v="0"/>
    <x v="2"/>
    <x v="1"/>
    <n v="380"/>
    <n v="30548479.66"/>
    <n v="10510488.289999999"/>
    <n v="20037991.370000001"/>
    <n v="4.74"/>
    <n v="4.8099999999999996"/>
  </r>
  <r>
    <x v="108"/>
    <x v="0"/>
    <x v="0"/>
    <x v="1"/>
    <n v="311"/>
    <n v="26611199.699999999"/>
    <n v="7999520.9800000004"/>
    <n v="18611678.719999999"/>
    <n v="4.96"/>
    <n v="4.78"/>
  </r>
  <r>
    <x v="335"/>
    <x v="0"/>
    <x v="0"/>
    <x v="1"/>
    <n v="61"/>
    <n v="5257146.95"/>
    <n v="1980507.73"/>
    <n v="3276639.22"/>
    <n v="4.18"/>
    <n v="4.07"/>
  </r>
  <r>
    <x v="336"/>
    <x v="0"/>
    <x v="4"/>
    <x v="2"/>
    <n v="265"/>
    <n v="17035913.379999999"/>
    <n v="4356348.58"/>
    <n v="12679564.800000001"/>
    <n v="1.1399999999999999"/>
    <n v="3.82"/>
  </r>
  <r>
    <x v="54"/>
    <x v="0"/>
    <x v="4"/>
    <x v="0"/>
    <n v="63"/>
    <n v="2485385.3199999998"/>
    <n v="793841.92"/>
    <n v="1691543.39"/>
    <n v="1.28"/>
    <n v="4.54"/>
  </r>
  <r>
    <x v="337"/>
    <x v="0"/>
    <x v="0"/>
    <x v="2"/>
    <n v="255"/>
    <n v="22607933.07"/>
    <n v="6144962.46"/>
    <n v="16462970.6"/>
    <n v="4.2"/>
    <n v="3.7"/>
  </r>
  <r>
    <x v="338"/>
    <x v="0"/>
    <x v="3"/>
    <x v="1"/>
    <n v="359"/>
    <n v="18759553.260000002"/>
    <n v="5228771.7"/>
    <n v="13530781.560000001"/>
    <n v="1.1299999999999999"/>
    <n v="4.8499999999999996"/>
  </r>
  <r>
    <x v="339"/>
    <x v="0"/>
    <x v="4"/>
    <x v="1"/>
    <n v="287"/>
    <n v="12804827.73"/>
    <n v="3834876.69"/>
    <n v="8969951.0500000007"/>
    <n v="2.29"/>
    <n v="3.72"/>
  </r>
  <r>
    <x v="340"/>
    <x v="0"/>
    <x v="3"/>
    <x v="0"/>
    <n v="166"/>
    <n v="6921686.25"/>
    <n v="2106637.33"/>
    <n v="4815048.92"/>
    <n v="2.78"/>
    <n v="3.85"/>
  </r>
  <r>
    <x v="341"/>
    <x v="0"/>
    <x v="0"/>
    <x v="0"/>
    <n v="222"/>
    <n v="14479755.630000001"/>
    <n v="2994928.48"/>
    <n v="11484827.16"/>
    <n v="2.4500000000000002"/>
    <n v="3.97"/>
  </r>
  <r>
    <x v="342"/>
    <x v="0"/>
    <x v="2"/>
    <x v="0"/>
    <n v="383"/>
    <n v="31860155.879999999"/>
    <n v="10974213.970000001"/>
    <n v="20885941.91"/>
    <n v="4.33"/>
    <n v="3.5"/>
  </r>
  <r>
    <x v="4"/>
    <x v="0"/>
    <x v="2"/>
    <x v="1"/>
    <n v="92"/>
    <n v="6355115.0499999998"/>
    <n v="1715625.47"/>
    <n v="4639489.58"/>
    <n v="1.18"/>
    <n v="3.59"/>
  </r>
  <r>
    <x v="343"/>
    <x v="0"/>
    <x v="1"/>
    <x v="2"/>
    <n v="467"/>
    <n v="28154973.879999999"/>
    <n v="10934469.529999999"/>
    <n v="17220504.359999999"/>
    <n v="4.9800000000000004"/>
    <n v="3.59"/>
  </r>
  <r>
    <x v="60"/>
    <x v="0"/>
    <x v="2"/>
    <x v="1"/>
    <n v="105"/>
    <n v="5392225.4000000004"/>
    <n v="1692795.15"/>
    <n v="3699430.25"/>
    <n v="1.27"/>
    <n v="3.61"/>
  </r>
  <r>
    <x v="344"/>
    <x v="0"/>
    <x v="3"/>
    <x v="2"/>
    <n v="205"/>
    <n v="10594427.289999999"/>
    <n v="4023666.42"/>
    <n v="6570760.8700000001"/>
    <n v="3.61"/>
    <n v="3.59"/>
  </r>
  <r>
    <x v="345"/>
    <x v="0"/>
    <x v="2"/>
    <x v="1"/>
    <n v="309"/>
    <n v="21576057.690000001"/>
    <n v="7642694.4400000004"/>
    <n v="13933363.26"/>
    <n v="1.55"/>
    <n v="3.83"/>
  </r>
  <r>
    <x v="346"/>
    <x v="0"/>
    <x v="3"/>
    <x v="2"/>
    <n v="270"/>
    <n v="18714853.170000002"/>
    <n v="5513240.5499999998"/>
    <n v="13201612.619999999"/>
    <n v="2.42"/>
    <n v="3.7"/>
  </r>
  <r>
    <x v="347"/>
    <x v="0"/>
    <x v="1"/>
    <x v="0"/>
    <n v="165"/>
    <n v="9448545.7400000002"/>
    <n v="2543405.2799999998"/>
    <n v="6905140.46"/>
    <n v="2.09"/>
    <n v="4.29"/>
  </r>
  <r>
    <x v="348"/>
    <x v="0"/>
    <x v="1"/>
    <x v="0"/>
    <n v="63"/>
    <n v="2817913.96"/>
    <n v="909014.65"/>
    <n v="1908899.3"/>
    <n v="4.84"/>
    <n v="3.87"/>
  </r>
  <r>
    <x v="150"/>
    <x v="0"/>
    <x v="0"/>
    <x v="1"/>
    <n v="111"/>
    <n v="6823606.0499999998"/>
    <n v="2703250.31"/>
    <n v="4120355.73"/>
    <n v="1.67"/>
    <n v="4.6399999999999997"/>
  </r>
  <r>
    <x v="349"/>
    <x v="0"/>
    <x v="1"/>
    <x v="2"/>
    <n v="363"/>
    <n v="16492257.640000001"/>
    <n v="4555332.4400000004"/>
    <n v="11936925.199999999"/>
    <n v="1.96"/>
    <n v="4.75"/>
  </r>
  <r>
    <x v="350"/>
    <x v="0"/>
    <x v="4"/>
    <x v="0"/>
    <n v="262"/>
    <n v="12035518.960000001"/>
    <n v="4658668.53"/>
    <n v="7376850.4299999997"/>
    <n v="0.69"/>
    <n v="4.0599999999999996"/>
  </r>
  <r>
    <x v="351"/>
    <x v="0"/>
    <x v="3"/>
    <x v="1"/>
    <n v="237"/>
    <n v="16716784.76"/>
    <n v="5017262.66"/>
    <n v="11699522.1"/>
    <n v="1.7"/>
    <n v="3.72"/>
  </r>
  <r>
    <x v="352"/>
    <x v="0"/>
    <x v="1"/>
    <x v="0"/>
    <n v="245"/>
    <n v="20226298.780000001"/>
    <n v="7105587.8899999997"/>
    <n v="13120710.9"/>
    <n v="3.43"/>
    <n v="4.72"/>
  </r>
  <r>
    <x v="353"/>
    <x v="0"/>
    <x v="0"/>
    <x v="1"/>
    <n v="270"/>
    <n v="15307972.74"/>
    <n v="4716549.37"/>
    <n v="10591423.359999999"/>
    <n v="4.03"/>
    <n v="4.84"/>
  </r>
  <r>
    <x v="191"/>
    <x v="0"/>
    <x v="3"/>
    <x v="0"/>
    <n v="154"/>
    <n v="6255206.5199999996"/>
    <n v="1678031.53"/>
    <n v="4577174.99"/>
    <n v="4.74"/>
    <n v="4.71"/>
  </r>
  <r>
    <x v="354"/>
    <x v="0"/>
    <x v="4"/>
    <x v="1"/>
    <n v="97"/>
    <n v="4753667.7699999996"/>
    <n v="1102022.28"/>
    <n v="3651645.49"/>
    <n v="0.67"/>
    <n v="4.8499999999999996"/>
  </r>
  <r>
    <x v="355"/>
    <x v="0"/>
    <x v="2"/>
    <x v="1"/>
    <n v="326"/>
    <n v="26204620.27"/>
    <n v="7885221.2599999998"/>
    <n v="18319399.010000002"/>
    <n v="2.2400000000000002"/>
    <n v="4.18"/>
  </r>
  <r>
    <x v="7"/>
    <x v="0"/>
    <x v="4"/>
    <x v="1"/>
    <n v="482"/>
    <n v="33145379.329999998"/>
    <n v="12816310.300000001"/>
    <n v="20329069.030000001"/>
    <n v="2.83"/>
    <n v="3.73"/>
  </r>
  <r>
    <x v="356"/>
    <x v="0"/>
    <x v="3"/>
    <x v="0"/>
    <n v="465"/>
    <n v="41550140.060000002"/>
    <n v="12936444.25"/>
    <n v="28613695.809999999"/>
    <n v="0.72"/>
    <n v="3.56"/>
  </r>
  <r>
    <x v="357"/>
    <x v="0"/>
    <x v="4"/>
    <x v="0"/>
    <n v="136"/>
    <n v="10118098.939999999"/>
    <n v="3901368.29"/>
    <n v="6216730.6500000004"/>
    <n v="0.82"/>
    <n v="3.52"/>
  </r>
  <r>
    <x v="358"/>
    <x v="0"/>
    <x v="2"/>
    <x v="0"/>
    <n v="182"/>
    <n v="11460878.689999999"/>
    <n v="3695915.09"/>
    <n v="7764963.5999999996"/>
    <n v="2.58"/>
    <n v="4.99"/>
  </r>
  <r>
    <x v="359"/>
    <x v="0"/>
    <x v="2"/>
    <x v="0"/>
    <n v="485"/>
    <n v="37638882.939999998"/>
    <n v="10076902.98"/>
    <n v="27561979.969999999"/>
    <n v="1.33"/>
    <n v="3.76"/>
  </r>
  <r>
    <x v="360"/>
    <x v="0"/>
    <x v="0"/>
    <x v="2"/>
    <n v="310"/>
    <n v="20220953.550000001"/>
    <n v="4729541.6900000004"/>
    <n v="15491411.859999999"/>
    <n v="0.81"/>
    <n v="4.1399999999999997"/>
  </r>
  <r>
    <x v="361"/>
    <x v="0"/>
    <x v="1"/>
    <x v="1"/>
    <n v="160"/>
    <n v="6323110.6699999999"/>
    <n v="1305267.05"/>
    <n v="5017843.63"/>
    <n v="1.83"/>
    <n v="4.6500000000000004"/>
  </r>
  <r>
    <x v="362"/>
    <x v="0"/>
    <x v="1"/>
    <x v="2"/>
    <n v="458"/>
    <n v="40615209.5"/>
    <n v="10825168.560000001"/>
    <n v="29790040.949999999"/>
    <n v="0.55000000000000004"/>
    <n v="3.88"/>
  </r>
  <r>
    <x v="197"/>
    <x v="0"/>
    <x v="0"/>
    <x v="0"/>
    <n v="373"/>
    <n v="28946612.010000002"/>
    <n v="7850875.4800000004"/>
    <n v="21095736.530000001"/>
    <n v="2.89"/>
    <n v="3.56"/>
  </r>
  <r>
    <x v="363"/>
    <x v="0"/>
    <x v="0"/>
    <x v="2"/>
    <n v="419"/>
    <n v="22090456.280000001"/>
    <n v="8282889.1699999999"/>
    <n v="13807567.109999999"/>
    <n v="2.63"/>
    <n v="3.67"/>
  </r>
  <r>
    <x v="364"/>
    <x v="0"/>
    <x v="1"/>
    <x v="1"/>
    <n v="318"/>
    <n v="21316572.289999999"/>
    <n v="5337357.72"/>
    <n v="15979214.58"/>
    <n v="4.1500000000000004"/>
    <n v="4.4800000000000004"/>
  </r>
  <r>
    <x v="365"/>
    <x v="0"/>
    <x v="3"/>
    <x v="1"/>
    <n v="60"/>
    <n v="2244327.5699999998"/>
    <n v="847993.15"/>
    <n v="1396334.41"/>
    <n v="3.19"/>
    <n v="3.64"/>
  </r>
  <r>
    <x v="366"/>
    <x v="0"/>
    <x v="2"/>
    <x v="0"/>
    <n v="364"/>
    <n v="23752840.649999999"/>
    <n v="7654814.6600000001"/>
    <n v="16098025.99"/>
    <n v="1.24"/>
    <n v="3.91"/>
  </r>
  <r>
    <x v="367"/>
    <x v="0"/>
    <x v="1"/>
    <x v="2"/>
    <n v="262"/>
    <n v="18910904.59"/>
    <n v="5688219.1699999999"/>
    <n v="13222685.42"/>
    <n v="0.56000000000000005"/>
    <n v="4.99"/>
  </r>
  <r>
    <x v="368"/>
    <x v="0"/>
    <x v="0"/>
    <x v="2"/>
    <n v="171"/>
    <n v="13658980.960000001"/>
    <n v="3110505.11"/>
    <n v="10548475.85"/>
    <n v="4.3099999999999996"/>
    <n v="4.88"/>
  </r>
  <r>
    <x v="369"/>
    <x v="0"/>
    <x v="0"/>
    <x v="0"/>
    <n v="67"/>
    <n v="4688920.76"/>
    <n v="1668258.58"/>
    <n v="3020662.19"/>
    <n v="4.9000000000000004"/>
    <n v="4.62"/>
  </r>
  <r>
    <x v="370"/>
    <x v="0"/>
    <x v="4"/>
    <x v="1"/>
    <n v="287"/>
    <n v="22301222.940000001"/>
    <n v="5993846.8899999997"/>
    <n v="16307376.050000001"/>
    <n v="1.3"/>
    <n v="4.32"/>
  </r>
  <r>
    <x v="371"/>
    <x v="0"/>
    <x v="1"/>
    <x v="2"/>
    <n v="284"/>
    <n v="14146954.880000001"/>
    <n v="4132166.45"/>
    <n v="10014788.43"/>
    <n v="3.78"/>
    <n v="3.66"/>
  </r>
  <r>
    <x v="372"/>
    <x v="0"/>
    <x v="3"/>
    <x v="2"/>
    <n v="262"/>
    <n v="19631370.5"/>
    <n v="4641698.84"/>
    <n v="14989671.66"/>
    <n v="1.46"/>
    <n v="4.26"/>
  </r>
  <r>
    <x v="373"/>
    <x v="0"/>
    <x v="4"/>
    <x v="2"/>
    <n v="137"/>
    <n v="7374860.7000000002"/>
    <n v="2340166.5299999998"/>
    <n v="5034694.16"/>
    <n v="3.91"/>
    <n v="4.62"/>
  </r>
  <r>
    <x v="374"/>
    <x v="0"/>
    <x v="4"/>
    <x v="1"/>
    <n v="52"/>
    <n v="2670988.5699999998"/>
    <n v="766561.97"/>
    <n v="1904426.6"/>
    <n v="3.6"/>
    <n v="4.8099999999999996"/>
  </r>
  <r>
    <x v="375"/>
    <x v="0"/>
    <x v="4"/>
    <x v="0"/>
    <n v="416"/>
    <n v="34628927.539999999"/>
    <n v="10847161.720000001"/>
    <n v="23781765.829999998"/>
    <n v="1.22"/>
    <n v="4.34"/>
  </r>
  <r>
    <x v="376"/>
    <x v="0"/>
    <x v="4"/>
    <x v="2"/>
    <n v="121"/>
    <n v="5876647.8399999999"/>
    <n v="1496827.2"/>
    <n v="4379820.6399999997"/>
    <n v="4.96"/>
    <n v="3.65"/>
  </r>
  <r>
    <x v="377"/>
    <x v="0"/>
    <x v="2"/>
    <x v="2"/>
    <n v="273"/>
    <n v="22765444.539999999"/>
    <n v="6112247.25"/>
    <n v="16653197.289999999"/>
    <n v="1.9"/>
    <n v="4.6100000000000003"/>
  </r>
  <r>
    <x v="378"/>
    <x v="0"/>
    <x v="3"/>
    <x v="2"/>
    <n v="351"/>
    <n v="24176599.120000001"/>
    <n v="8761479.9199999999"/>
    <n v="15415119.199999999"/>
    <n v="2.1"/>
    <n v="4.68"/>
  </r>
  <r>
    <x v="379"/>
    <x v="0"/>
    <x v="0"/>
    <x v="0"/>
    <n v="469"/>
    <n v="16549897.880000001"/>
    <n v="4101095.28"/>
    <n v="12448802.6"/>
    <n v="0.66"/>
    <n v="4.62"/>
  </r>
  <r>
    <x v="380"/>
    <x v="0"/>
    <x v="2"/>
    <x v="0"/>
    <n v="63"/>
    <n v="4802175.0999999996"/>
    <n v="1192210.67"/>
    <n v="3609964.44"/>
    <n v="3.55"/>
    <n v="4.63"/>
  </r>
  <r>
    <x v="374"/>
    <x v="0"/>
    <x v="3"/>
    <x v="2"/>
    <n v="272"/>
    <n v="14091839.060000001"/>
    <n v="3166011.34"/>
    <n v="10925827.73"/>
    <n v="4.9800000000000004"/>
    <n v="4.05"/>
  </r>
  <r>
    <x v="381"/>
    <x v="0"/>
    <x v="2"/>
    <x v="2"/>
    <n v="430"/>
    <n v="30265586.5"/>
    <n v="7382383.2199999997"/>
    <n v="22883203.289999999"/>
    <n v="1.48"/>
    <n v="3.71"/>
  </r>
  <r>
    <x v="382"/>
    <x v="0"/>
    <x v="0"/>
    <x v="2"/>
    <n v="279"/>
    <n v="16096682.15"/>
    <n v="4199244.0199999996"/>
    <n v="11897438.130000001"/>
    <n v="0.51"/>
    <n v="4.43"/>
  </r>
  <r>
    <x v="383"/>
    <x v="0"/>
    <x v="3"/>
    <x v="0"/>
    <n v="309"/>
    <n v="13896521.16"/>
    <n v="4481145.5999999996"/>
    <n v="9415375.5600000005"/>
    <n v="2.31"/>
    <n v="4.8099999999999996"/>
  </r>
  <r>
    <x v="384"/>
    <x v="0"/>
    <x v="3"/>
    <x v="0"/>
    <n v="270"/>
    <n v="18988534.059999999"/>
    <n v="7349118.6900000004"/>
    <n v="11639415.369999999"/>
    <n v="3.11"/>
    <n v="4.34"/>
  </r>
  <r>
    <x v="34"/>
    <x v="0"/>
    <x v="3"/>
    <x v="0"/>
    <n v="437"/>
    <n v="16564143.189999999"/>
    <n v="5013642.6100000003"/>
    <n v="11550500.58"/>
    <n v="3.2"/>
    <n v="4.4000000000000004"/>
  </r>
  <r>
    <x v="385"/>
    <x v="0"/>
    <x v="0"/>
    <x v="1"/>
    <n v="237"/>
    <n v="19049519.059999999"/>
    <n v="5721501.4000000004"/>
    <n v="13328017.66"/>
    <n v="0.85"/>
    <n v="3.59"/>
  </r>
  <r>
    <x v="312"/>
    <x v="0"/>
    <x v="1"/>
    <x v="2"/>
    <n v="158"/>
    <n v="12012090.060000001"/>
    <n v="2445735.5499999998"/>
    <n v="9566354.5099999998"/>
    <n v="1.44"/>
    <n v="4.74"/>
  </r>
  <r>
    <x v="386"/>
    <x v="0"/>
    <x v="1"/>
    <x v="2"/>
    <n v="68"/>
    <n v="4026344.25"/>
    <n v="1491798.77"/>
    <n v="2534545.48"/>
    <n v="1.98"/>
    <n v="4.1500000000000004"/>
  </r>
  <r>
    <x v="387"/>
    <x v="0"/>
    <x v="1"/>
    <x v="0"/>
    <n v="195"/>
    <n v="10808500.970000001"/>
    <n v="4188202.84"/>
    <n v="6620298.1299999999"/>
    <n v="4.1100000000000003"/>
    <n v="4.6500000000000004"/>
  </r>
  <r>
    <x v="388"/>
    <x v="0"/>
    <x v="3"/>
    <x v="0"/>
    <n v="362"/>
    <n v="31248286.43"/>
    <n v="8483502.2899999991"/>
    <n v="22764784.140000001"/>
    <n v="2.4"/>
    <n v="4.45"/>
  </r>
  <r>
    <x v="389"/>
    <x v="0"/>
    <x v="3"/>
    <x v="2"/>
    <n v="289"/>
    <n v="12948322.960000001"/>
    <n v="3403049.05"/>
    <n v="9545273.9100000001"/>
    <n v="4.96"/>
    <n v="4.62"/>
  </r>
  <r>
    <x v="390"/>
    <x v="0"/>
    <x v="1"/>
    <x v="0"/>
    <n v="408"/>
    <n v="27112813.77"/>
    <n v="7657909.2599999998"/>
    <n v="19454904.5"/>
    <n v="1.33"/>
    <n v="4.04"/>
  </r>
  <r>
    <x v="391"/>
    <x v="0"/>
    <x v="0"/>
    <x v="2"/>
    <n v="99"/>
    <n v="4365026.43"/>
    <n v="1134686.9099999999"/>
    <n v="3230339.52"/>
    <n v="3.14"/>
    <n v="4.38"/>
  </r>
  <r>
    <x v="392"/>
    <x v="0"/>
    <x v="2"/>
    <x v="2"/>
    <n v="247"/>
    <n v="15683100.039999999"/>
    <n v="5336251.4000000004"/>
    <n v="10346848.630000001"/>
    <n v="4.7300000000000004"/>
    <n v="3.89"/>
  </r>
  <r>
    <x v="393"/>
    <x v="0"/>
    <x v="2"/>
    <x v="1"/>
    <n v="351"/>
    <n v="16639075.369999999"/>
    <n v="5401329.5099999998"/>
    <n v="11237745.859999999"/>
    <n v="2.58"/>
    <n v="4.22"/>
  </r>
  <r>
    <x v="97"/>
    <x v="0"/>
    <x v="3"/>
    <x v="0"/>
    <n v="454"/>
    <n v="27330926.559999999"/>
    <n v="8292373.2699999996"/>
    <n v="19038553.289999999"/>
    <n v="1.1000000000000001"/>
    <n v="3.62"/>
  </r>
  <r>
    <x v="394"/>
    <x v="0"/>
    <x v="2"/>
    <x v="0"/>
    <n v="280"/>
    <n v="23720265.289999999"/>
    <n v="5173910.79"/>
    <n v="18546354.489999998"/>
    <n v="4.01"/>
    <n v="3.51"/>
  </r>
  <r>
    <x v="395"/>
    <x v="0"/>
    <x v="2"/>
    <x v="0"/>
    <n v="346"/>
    <n v="15134022.43"/>
    <n v="4206576.75"/>
    <n v="10927445.68"/>
    <n v="1.1100000000000001"/>
    <n v="4.63"/>
  </r>
  <r>
    <x v="396"/>
    <x v="0"/>
    <x v="2"/>
    <x v="1"/>
    <n v="201"/>
    <n v="12253628.1"/>
    <n v="4868605.08"/>
    <n v="7385023.0199999996"/>
    <n v="1.77"/>
    <n v="3.57"/>
  </r>
  <r>
    <x v="397"/>
    <x v="0"/>
    <x v="4"/>
    <x v="1"/>
    <n v="391"/>
    <n v="19312980.73"/>
    <n v="6771212.9299999997"/>
    <n v="12541767.789999999"/>
    <n v="4.58"/>
    <n v="3.87"/>
  </r>
  <r>
    <x v="398"/>
    <x v="0"/>
    <x v="3"/>
    <x v="0"/>
    <n v="385"/>
    <n v="21335310.210000001"/>
    <n v="6704037.1600000001"/>
    <n v="14631273.050000001"/>
    <n v="4.3"/>
    <n v="3.9"/>
  </r>
  <r>
    <x v="200"/>
    <x v="0"/>
    <x v="2"/>
    <x v="0"/>
    <n v="378"/>
    <n v="23366605.120000001"/>
    <n v="9189554.9000000004"/>
    <n v="14177050.210000001"/>
    <n v="0.78"/>
    <n v="4.8600000000000003"/>
  </r>
  <r>
    <x v="399"/>
    <x v="0"/>
    <x v="3"/>
    <x v="2"/>
    <n v="490"/>
    <n v="26472556.059999999"/>
    <n v="8920247.9700000007"/>
    <n v="17552308.09"/>
    <n v="3.97"/>
    <n v="3.63"/>
  </r>
  <r>
    <x v="400"/>
    <x v="0"/>
    <x v="2"/>
    <x v="1"/>
    <n v="448"/>
    <n v="16217728.5"/>
    <n v="4334059.22"/>
    <n v="11883669.279999999"/>
    <n v="4.84"/>
    <n v="4.34"/>
  </r>
  <r>
    <x v="162"/>
    <x v="0"/>
    <x v="1"/>
    <x v="0"/>
    <n v="248"/>
    <n v="14046628.630000001"/>
    <n v="3292899.53"/>
    <n v="10753729.1"/>
    <n v="4.04"/>
    <n v="4.4400000000000004"/>
  </r>
  <r>
    <x v="401"/>
    <x v="0"/>
    <x v="4"/>
    <x v="0"/>
    <n v="214"/>
    <n v="19039866.760000002"/>
    <n v="6639087.0599999996"/>
    <n v="12400779.689999999"/>
    <n v="3.44"/>
    <n v="3.8"/>
  </r>
  <r>
    <x v="402"/>
    <x v="0"/>
    <x v="0"/>
    <x v="1"/>
    <n v="354"/>
    <n v="21422765.52"/>
    <n v="4404497.75"/>
    <n v="17018267.760000002"/>
    <n v="3.24"/>
    <n v="4.0199999999999996"/>
  </r>
  <r>
    <x v="403"/>
    <x v="0"/>
    <x v="4"/>
    <x v="0"/>
    <n v="474"/>
    <n v="17164456.629999999"/>
    <n v="4394073.3"/>
    <n v="12770383.33"/>
    <n v="2.38"/>
    <n v="3.63"/>
  </r>
  <r>
    <x v="404"/>
    <x v="0"/>
    <x v="0"/>
    <x v="2"/>
    <n v="135"/>
    <n v="8892079.1999999993"/>
    <n v="2626024.9900000002"/>
    <n v="6266054.21"/>
    <n v="1.02"/>
    <n v="4.79"/>
  </r>
  <r>
    <x v="405"/>
    <x v="0"/>
    <x v="4"/>
    <x v="2"/>
    <n v="491"/>
    <n v="31836449.420000002"/>
    <n v="7693596.4400000004"/>
    <n v="24142852.98"/>
    <n v="2.97"/>
    <n v="4.42"/>
  </r>
  <r>
    <x v="406"/>
    <x v="0"/>
    <x v="2"/>
    <x v="1"/>
    <n v="247"/>
    <n v="20150390.920000002"/>
    <n v="6332741.75"/>
    <n v="13817649.17"/>
    <n v="1.1299999999999999"/>
    <n v="4.5"/>
  </r>
  <r>
    <x v="407"/>
    <x v="0"/>
    <x v="1"/>
    <x v="0"/>
    <n v="106"/>
    <n v="7610400.2300000004"/>
    <n v="2340509.2400000002"/>
    <n v="5269890.9800000004"/>
    <n v="2.35"/>
    <n v="4.4800000000000004"/>
  </r>
  <r>
    <x v="408"/>
    <x v="0"/>
    <x v="2"/>
    <x v="1"/>
    <n v="135"/>
    <n v="6882612.6299999999"/>
    <n v="1669762.93"/>
    <n v="5212849.7"/>
    <n v="1"/>
    <n v="4.03"/>
  </r>
  <r>
    <x v="409"/>
    <x v="0"/>
    <x v="4"/>
    <x v="0"/>
    <n v="148"/>
    <n v="5602926.54"/>
    <n v="1360078.82"/>
    <n v="4242847.72"/>
    <n v="1.41"/>
    <n v="3.89"/>
  </r>
  <r>
    <x v="410"/>
    <x v="0"/>
    <x v="4"/>
    <x v="1"/>
    <n v="69"/>
    <n v="4482697.25"/>
    <n v="1113120.95"/>
    <n v="3369576.3"/>
    <n v="3.89"/>
    <n v="3.53"/>
  </r>
  <r>
    <x v="411"/>
    <x v="0"/>
    <x v="2"/>
    <x v="1"/>
    <n v="281"/>
    <n v="23401863.859999999"/>
    <n v="5243974.58"/>
    <n v="18157889.280000001"/>
    <n v="4.42"/>
    <n v="3.86"/>
  </r>
  <r>
    <x v="412"/>
    <x v="0"/>
    <x v="0"/>
    <x v="0"/>
    <n v="217"/>
    <n v="19350851.550000001"/>
    <n v="4752520.8499999996"/>
    <n v="14598330.689999999"/>
    <n v="0.62"/>
    <n v="3.6"/>
  </r>
  <r>
    <x v="413"/>
    <x v="0"/>
    <x v="3"/>
    <x v="2"/>
    <n v="303"/>
    <n v="16332147.1"/>
    <n v="5610318.25"/>
    <n v="10721828.859999999"/>
    <n v="2.2599999999999998"/>
    <n v="4.7"/>
  </r>
  <r>
    <x v="229"/>
    <x v="0"/>
    <x v="3"/>
    <x v="0"/>
    <n v="216"/>
    <n v="15362547.640000001"/>
    <n v="3619099.26"/>
    <n v="11743448.380000001"/>
    <n v="2.21"/>
    <n v="4.66"/>
  </r>
  <r>
    <x v="414"/>
    <x v="0"/>
    <x v="1"/>
    <x v="0"/>
    <n v="356"/>
    <n v="16290029.57"/>
    <n v="5907666.2199999997"/>
    <n v="10382363.34"/>
    <n v="0.92"/>
    <n v="4.04"/>
  </r>
  <r>
    <x v="415"/>
    <x v="0"/>
    <x v="0"/>
    <x v="1"/>
    <n v="346"/>
    <n v="23101601.75"/>
    <n v="6308666.6399999997"/>
    <n v="16792935.109999999"/>
    <n v="4.09"/>
    <n v="4.09"/>
  </r>
  <r>
    <x v="416"/>
    <x v="0"/>
    <x v="0"/>
    <x v="1"/>
    <n v="481"/>
    <n v="40564022.049999997"/>
    <n v="12005404.85"/>
    <n v="28558617.199999999"/>
    <n v="2.5099999999999998"/>
    <n v="4.34"/>
  </r>
  <r>
    <x v="348"/>
    <x v="0"/>
    <x v="3"/>
    <x v="2"/>
    <n v="435"/>
    <n v="22803523.120000001"/>
    <n v="5212067.8499999996"/>
    <n v="17591455.280000001"/>
    <n v="4.58"/>
    <n v="3.92"/>
  </r>
  <r>
    <x v="417"/>
    <x v="0"/>
    <x v="3"/>
    <x v="2"/>
    <n v="89"/>
    <n v="5597015.1500000004"/>
    <n v="1569276.97"/>
    <n v="4027738.18"/>
    <n v="0.65"/>
    <n v="4.05"/>
  </r>
  <r>
    <x v="418"/>
    <x v="0"/>
    <x v="2"/>
    <x v="1"/>
    <n v="465"/>
    <n v="33008532.030000001"/>
    <n v="12199264.99"/>
    <n v="20809267.039999999"/>
    <n v="2.48"/>
    <n v="4.42"/>
  </r>
  <r>
    <x v="419"/>
    <x v="0"/>
    <x v="4"/>
    <x v="0"/>
    <n v="295"/>
    <n v="24227779.609999999"/>
    <n v="9121061.3200000003"/>
    <n v="15106718.289999999"/>
    <n v="3.83"/>
    <n v="3.98"/>
  </r>
  <r>
    <x v="420"/>
    <x v="0"/>
    <x v="0"/>
    <x v="0"/>
    <n v="178"/>
    <n v="10319879.99"/>
    <n v="2096771.92"/>
    <n v="8223108.0700000003"/>
    <n v="3.51"/>
    <n v="4.45"/>
  </r>
  <r>
    <x v="421"/>
    <x v="0"/>
    <x v="4"/>
    <x v="0"/>
    <n v="309"/>
    <n v="27760343.280000001"/>
    <n v="5664317.8399999999"/>
    <n v="22096025.440000001"/>
    <n v="3.45"/>
    <n v="3.69"/>
  </r>
  <r>
    <x v="114"/>
    <x v="0"/>
    <x v="1"/>
    <x v="0"/>
    <n v="374"/>
    <n v="24604174.41"/>
    <n v="7246423.3099999996"/>
    <n v="17357751.109999999"/>
    <n v="3.74"/>
    <n v="4.84"/>
  </r>
  <r>
    <x v="422"/>
    <x v="0"/>
    <x v="1"/>
    <x v="1"/>
    <n v="431"/>
    <n v="24069838.030000001"/>
    <n v="4941742.87"/>
    <n v="19128095.16"/>
    <n v="2.02"/>
    <n v="3.94"/>
  </r>
  <r>
    <x v="423"/>
    <x v="0"/>
    <x v="4"/>
    <x v="1"/>
    <n v="483"/>
    <n v="19847032.449999999"/>
    <n v="4923721.63"/>
    <n v="14923310.82"/>
    <n v="4.95"/>
    <n v="4.8499999999999996"/>
  </r>
  <r>
    <x v="391"/>
    <x v="0"/>
    <x v="1"/>
    <x v="2"/>
    <n v="413"/>
    <n v="24887208.949999999"/>
    <n v="8173963.54"/>
    <n v="16713245.41"/>
    <n v="2.72"/>
    <n v="4.74"/>
  </r>
  <r>
    <x v="424"/>
    <x v="0"/>
    <x v="1"/>
    <x v="0"/>
    <n v="335"/>
    <n v="14926557.35"/>
    <n v="3845039.32"/>
    <n v="11081518.029999999"/>
    <n v="4.22"/>
    <n v="3.65"/>
  </r>
  <r>
    <x v="425"/>
    <x v="0"/>
    <x v="1"/>
    <x v="1"/>
    <n v="212"/>
    <n v="9075393.4000000004"/>
    <n v="2998616.32"/>
    <n v="6076777.0800000001"/>
    <n v="2.5299999999999998"/>
    <n v="4.62"/>
  </r>
  <r>
    <x v="426"/>
    <x v="0"/>
    <x v="3"/>
    <x v="2"/>
    <n v="490"/>
    <n v="28886872"/>
    <n v="8219760.9800000004"/>
    <n v="20667111.010000002"/>
    <n v="3.82"/>
    <n v="4.71"/>
  </r>
  <r>
    <x v="427"/>
    <x v="0"/>
    <x v="3"/>
    <x v="1"/>
    <n v="399"/>
    <n v="35451457.859999999"/>
    <n v="9684330.4900000002"/>
    <n v="25767127.379999999"/>
    <n v="1.07"/>
    <n v="4.51"/>
  </r>
  <r>
    <x v="428"/>
    <x v="0"/>
    <x v="3"/>
    <x v="2"/>
    <n v="115"/>
    <n v="6016866.4000000004"/>
    <n v="2402153.12"/>
    <n v="3614713.28"/>
    <n v="3.57"/>
    <n v="3.75"/>
  </r>
  <r>
    <x v="429"/>
    <x v="0"/>
    <x v="1"/>
    <x v="0"/>
    <n v="197"/>
    <n v="9356490.5"/>
    <n v="2176242.73"/>
    <n v="7180247.7699999996"/>
    <n v="1.76"/>
    <n v="4.46"/>
  </r>
  <r>
    <x v="430"/>
    <x v="0"/>
    <x v="4"/>
    <x v="2"/>
    <n v="53"/>
    <n v="4380516.6900000004"/>
    <n v="1563380.24"/>
    <n v="2817136.45"/>
    <n v="2.12"/>
    <n v="3.6"/>
  </r>
  <r>
    <x v="431"/>
    <x v="0"/>
    <x v="4"/>
    <x v="2"/>
    <n v="362"/>
    <n v="18721572.850000001"/>
    <n v="5042982.1900000004"/>
    <n v="13678590.66"/>
    <n v="4.72"/>
    <n v="4.8099999999999996"/>
  </r>
  <r>
    <x v="292"/>
    <x v="0"/>
    <x v="2"/>
    <x v="1"/>
    <n v="88"/>
    <n v="6987796.79"/>
    <n v="2712531.5"/>
    <n v="4275265.29"/>
    <n v="4.54"/>
    <n v="4.4800000000000004"/>
  </r>
  <r>
    <x v="432"/>
    <x v="0"/>
    <x v="0"/>
    <x v="2"/>
    <n v="183"/>
    <n v="13155920.720000001"/>
    <n v="3787745.79"/>
    <n v="9368174.9299999997"/>
    <n v="1"/>
    <n v="4.17"/>
  </r>
  <r>
    <x v="416"/>
    <x v="0"/>
    <x v="0"/>
    <x v="0"/>
    <n v="87"/>
    <n v="4129904.88"/>
    <n v="1336757.75"/>
    <n v="2793147.13"/>
    <n v="1.08"/>
    <n v="4.12"/>
  </r>
  <r>
    <x v="433"/>
    <x v="0"/>
    <x v="4"/>
    <x v="0"/>
    <n v="383"/>
    <n v="23496610.879999999"/>
    <n v="9314056.1300000008"/>
    <n v="14182554.74"/>
    <n v="2.4"/>
    <n v="3.54"/>
  </r>
  <r>
    <x v="245"/>
    <x v="0"/>
    <x v="0"/>
    <x v="0"/>
    <n v="151"/>
    <n v="7610710.0199999996"/>
    <n v="1737766.09"/>
    <n v="5872943.9299999997"/>
    <n v="1.81"/>
    <n v="4.87"/>
  </r>
  <r>
    <x v="336"/>
    <x v="0"/>
    <x v="1"/>
    <x v="1"/>
    <n v="475"/>
    <n v="34894614.18"/>
    <n v="8099312.7599999998"/>
    <n v="26795301.420000002"/>
    <n v="4.92"/>
    <n v="4.43"/>
  </r>
  <r>
    <x v="179"/>
    <x v="0"/>
    <x v="1"/>
    <x v="1"/>
    <n v="122"/>
    <n v="6314879.8499999996"/>
    <n v="1478446.41"/>
    <n v="4836433.4400000004"/>
    <n v="1.77"/>
    <n v="4.8099999999999996"/>
  </r>
  <r>
    <x v="41"/>
    <x v="0"/>
    <x v="2"/>
    <x v="1"/>
    <n v="447"/>
    <n v="21015425.649999999"/>
    <n v="7900760.9299999997"/>
    <n v="13114664.720000001"/>
    <n v="0.81"/>
    <n v="3.89"/>
  </r>
  <r>
    <x v="434"/>
    <x v="0"/>
    <x v="2"/>
    <x v="2"/>
    <n v="314"/>
    <n v="11204217.710000001"/>
    <n v="3431251.41"/>
    <n v="7772966.29"/>
    <n v="1.86"/>
    <n v="4.4000000000000004"/>
  </r>
  <r>
    <x v="435"/>
    <x v="0"/>
    <x v="2"/>
    <x v="0"/>
    <n v="276"/>
    <n v="13096015.68"/>
    <n v="3325743.27"/>
    <n v="9770272.4100000001"/>
    <n v="3.19"/>
    <n v="3.6"/>
  </r>
  <r>
    <x v="436"/>
    <x v="0"/>
    <x v="2"/>
    <x v="2"/>
    <n v="313"/>
    <n v="26057061.25"/>
    <n v="8700932.1799999997"/>
    <n v="17356129.07"/>
    <n v="2.0299999999999998"/>
    <n v="4.9800000000000004"/>
  </r>
  <r>
    <x v="437"/>
    <x v="0"/>
    <x v="1"/>
    <x v="0"/>
    <n v="304"/>
    <n v="11960364.390000001"/>
    <n v="4211219.9800000004"/>
    <n v="7749144.4199999999"/>
    <n v="4.08"/>
    <n v="3.55"/>
  </r>
  <r>
    <x v="438"/>
    <x v="0"/>
    <x v="3"/>
    <x v="1"/>
    <n v="84"/>
    <n v="4177128.24"/>
    <n v="1011566.08"/>
    <n v="3165562.16"/>
    <n v="3.08"/>
    <n v="4.49"/>
  </r>
  <r>
    <x v="418"/>
    <x v="0"/>
    <x v="3"/>
    <x v="1"/>
    <n v="353"/>
    <n v="28496116.780000001"/>
    <n v="7984734.4100000001"/>
    <n v="20511382.370000001"/>
    <n v="1.02"/>
    <n v="3.64"/>
  </r>
  <r>
    <x v="439"/>
    <x v="0"/>
    <x v="0"/>
    <x v="1"/>
    <n v="494"/>
    <n v="18176983.059999999"/>
    <n v="4113264.02"/>
    <n v="14063719.039999999"/>
    <n v="0.79"/>
    <n v="4.93"/>
  </r>
  <r>
    <x v="440"/>
    <x v="0"/>
    <x v="1"/>
    <x v="2"/>
    <n v="57"/>
    <n v="3617194.31"/>
    <n v="1135489.81"/>
    <n v="2481704.5"/>
    <n v="1.93"/>
    <n v="4.1500000000000004"/>
  </r>
  <r>
    <x v="441"/>
    <x v="0"/>
    <x v="1"/>
    <x v="1"/>
    <n v="96"/>
    <n v="4086125.53"/>
    <n v="1355927.07"/>
    <n v="2730198.47"/>
    <n v="1.24"/>
    <n v="3.76"/>
  </r>
  <r>
    <x v="442"/>
    <x v="0"/>
    <x v="2"/>
    <x v="2"/>
    <n v="70"/>
    <n v="4880534.08"/>
    <n v="1374654"/>
    <n v="3505880.08"/>
    <n v="3.66"/>
    <n v="3.86"/>
  </r>
  <r>
    <x v="443"/>
    <x v="0"/>
    <x v="0"/>
    <x v="0"/>
    <n v="397"/>
    <n v="16170748.57"/>
    <n v="5224732.2300000004"/>
    <n v="10946016.34"/>
    <n v="2.69"/>
    <n v="4.4800000000000004"/>
  </r>
  <r>
    <x v="444"/>
    <x v="0"/>
    <x v="4"/>
    <x v="2"/>
    <n v="243"/>
    <n v="12134516.539999999"/>
    <n v="3706131"/>
    <n v="8428385.5399999991"/>
    <n v="4.93"/>
    <n v="3.9"/>
  </r>
  <r>
    <x v="408"/>
    <x v="0"/>
    <x v="0"/>
    <x v="2"/>
    <n v="471"/>
    <n v="18322499.059999999"/>
    <n v="6396781.7199999997"/>
    <n v="11925717.34"/>
    <n v="2.13"/>
    <n v="4.21"/>
  </r>
  <r>
    <x v="445"/>
    <x v="0"/>
    <x v="4"/>
    <x v="2"/>
    <n v="267"/>
    <n v="22669877.719999999"/>
    <n v="7984980.8300000001"/>
    <n v="14684896.890000001"/>
    <n v="2.61"/>
    <n v="4.18"/>
  </r>
  <r>
    <x v="446"/>
    <x v="0"/>
    <x v="2"/>
    <x v="0"/>
    <n v="158"/>
    <n v="9718936.7899999991"/>
    <n v="3506402.46"/>
    <n v="6212534.3300000001"/>
    <n v="3.25"/>
    <n v="3.92"/>
  </r>
  <r>
    <x v="447"/>
    <x v="0"/>
    <x v="0"/>
    <x v="0"/>
    <n v="361"/>
    <n v="24366673.050000001"/>
    <n v="7129652.04"/>
    <n v="17237021.010000002"/>
    <n v="4.34"/>
    <n v="3.57"/>
  </r>
  <r>
    <x v="448"/>
    <x v="0"/>
    <x v="3"/>
    <x v="0"/>
    <n v="185"/>
    <n v="6848639.8600000003"/>
    <n v="2591490.0499999998"/>
    <n v="4257149.82"/>
    <n v="2.02"/>
    <n v="4.7"/>
  </r>
  <r>
    <x v="334"/>
    <x v="0"/>
    <x v="1"/>
    <x v="1"/>
    <n v="482"/>
    <n v="22662695.710000001"/>
    <n v="7266581.04"/>
    <n v="15396114.67"/>
    <n v="0.7"/>
    <n v="3.92"/>
  </r>
  <r>
    <x v="449"/>
    <x v="0"/>
    <x v="4"/>
    <x v="1"/>
    <n v="393"/>
    <n v="15637510.15"/>
    <n v="4325127.28"/>
    <n v="11312382.869999999"/>
    <n v="1.01"/>
    <n v="4.0199999999999996"/>
  </r>
  <r>
    <x v="450"/>
    <x v="0"/>
    <x v="0"/>
    <x v="2"/>
    <n v="472"/>
    <n v="31441277.23"/>
    <n v="12389949.529999999"/>
    <n v="19051327.699999999"/>
    <n v="3.54"/>
    <n v="3.57"/>
  </r>
  <r>
    <x v="451"/>
    <x v="0"/>
    <x v="4"/>
    <x v="2"/>
    <n v="444"/>
    <n v="18750964.309999999"/>
    <n v="6470089.5199999996"/>
    <n v="12280874.789999999"/>
    <n v="2.2799999999999998"/>
    <n v="4.13"/>
  </r>
  <r>
    <x v="452"/>
    <x v="0"/>
    <x v="3"/>
    <x v="1"/>
    <n v="381"/>
    <n v="31822728.039999999"/>
    <n v="8458843.8599999994"/>
    <n v="23363884.18"/>
    <n v="1.66"/>
    <n v="4.51"/>
  </r>
  <r>
    <x v="453"/>
    <x v="0"/>
    <x v="2"/>
    <x v="1"/>
    <n v="466"/>
    <n v="37423747.549999997"/>
    <n v="7821110.3200000003"/>
    <n v="29602637.219999999"/>
    <n v="4.2"/>
    <n v="3.5"/>
  </r>
  <r>
    <x v="454"/>
    <x v="0"/>
    <x v="0"/>
    <x v="1"/>
    <n v="396"/>
    <n v="13905821.699999999"/>
    <n v="3566642.68"/>
    <n v="10339179.029999999"/>
    <n v="4.2300000000000004"/>
    <n v="3.56"/>
  </r>
  <r>
    <x v="455"/>
    <x v="0"/>
    <x v="0"/>
    <x v="1"/>
    <n v="389"/>
    <n v="28304591.199999999"/>
    <n v="10673731.32"/>
    <n v="17630859.879999999"/>
    <n v="2.23"/>
    <n v="4.18"/>
  </r>
  <r>
    <x v="60"/>
    <x v="0"/>
    <x v="3"/>
    <x v="0"/>
    <n v="131"/>
    <n v="5249911.93"/>
    <n v="1473837.68"/>
    <n v="3776074.25"/>
    <n v="2.97"/>
    <n v="4.8499999999999996"/>
  </r>
  <r>
    <x v="456"/>
    <x v="0"/>
    <x v="4"/>
    <x v="0"/>
    <n v="381"/>
    <n v="15015172.199999999"/>
    <n v="4940678.47"/>
    <n v="10074493.720000001"/>
    <n v="4.74"/>
    <n v="4.5"/>
  </r>
  <r>
    <x v="424"/>
    <x v="0"/>
    <x v="4"/>
    <x v="0"/>
    <n v="154"/>
    <n v="10865432.26"/>
    <n v="2416387.25"/>
    <n v="8449045.0199999996"/>
    <n v="3.19"/>
    <n v="4.25"/>
  </r>
  <r>
    <x v="329"/>
    <x v="0"/>
    <x v="4"/>
    <x v="1"/>
    <n v="100"/>
    <n v="8523078.2100000009"/>
    <n v="2365028.9700000002"/>
    <n v="6158049.2400000002"/>
    <n v="4.43"/>
    <n v="4.59"/>
  </r>
  <r>
    <x v="457"/>
    <x v="0"/>
    <x v="2"/>
    <x v="2"/>
    <n v="204"/>
    <n v="15453809.630000001"/>
    <n v="4543446.2300000004"/>
    <n v="10910363.4"/>
    <n v="4.2300000000000004"/>
    <n v="4.99"/>
  </r>
  <r>
    <x v="458"/>
    <x v="0"/>
    <x v="3"/>
    <x v="2"/>
    <n v="307"/>
    <n v="10942666.119999999"/>
    <n v="3453430.45"/>
    <n v="7489235.6699999999"/>
    <n v="1.83"/>
    <n v="4.2300000000000004"/>
  </r>
  <r>
    <x v="423"/>
    <x v="0"/>
    <x v="4"/>
    <x v="2"/>
    <n v="350"/>
    <n v="19937848.41"/>
    <n v="4345914.08"/>
    <n v="15591934.33"/>
    <n v="4.1399999999999997"/>
    <n v="3.82"/>
  </r>
  <r>
    <x v="459"/>
    <x v="0"/>
    <x v="2"/>
    <x v="1"/>
    <n v="458"/>
    <n v="34397880.149999999"/>
    <n v="9271662.0700000003"/>
    <n v="25126218.079999998"/>
    <n v="4.3099999999999996"/>
    <n v="4.54"/>
  </r>
  <r>
    <x v="52"/>
    <x v="0"/>
    <x v="4"/>
    <x v="1"/>
    <n v="195"/>
    <n v="11156804.59"/>
    <n v="4289535.55"/>
    <n v="6867269.04"/>
    <n v="2.94"/>
    <n v="4.79"/>
  </r>
  <r>
    <x v="460"/>
    <x v="0"/>
    <x v="3"/>
    <x v="1"/>
    <n v="79"/>
    <n v="4704692.8"/>
    <n v="1130650.27"/>
    <n v="3574042.53"/>
    <n v="4.2"/>
    <n v="4.79"/>
  </r>
  <r>
    <x v="461"/>
    <x v="0"/>
    <x v="2"/>
    <x v="0"/>
    <n v="384"/>
    <n v="29477493.66"/>
    <n v="11208088.18"/>
    <n v="18269405.489999998"/>
    <n v="4.5"/>
    <n v="3.52"/>
  </r>
  <r>
    <x v="462"/>
    <x v="0"/>
    <x v="0"/>
    <x v="0"/>
    <n v="362"/>
    <n v="13215938.369999999"/>
    <n v="4247670.72"/>
    <n v="8968267.6500000004"/>
    <n v="2.87"/>
    <n v="4.2699999999999996"/>
  </r>
  <r>
    <x v="449"/>
    <x v="0"/>
    <x v="4"/>
    <x v="1"/>
    <n v="205"/>
    <n v="12029218.289999999"/>
    <n v="4468628.0999999996"/>
    <n v="7560590.1900000004"/>
    <n v="4.51"/>
    <n v="4.0199999999999996"/>
  </r>
  <r>
    <x v="463"/>
    <x v="0"/>
    <x v="4"/>
    <x v="0"/>
    <n v="197"/>
    <n v="10576395.24"/>
    <n v="3136452.47"/>
    <n v="7439942.7699999996"/>
    <n v="2.21"/>
    <n v="3.51"/>
  </r>
  <r>
    <x v="464"/>
    <x v="0"/>
    <x v="3"/>
    <x v="0"/>
    <n v="175"/>
    <n v="11861392.609999999"/>
    <n v="4504340.32"/>
    <n v="7357052.2800000003"/>
    <n v="4.3099999999999996"/>
    <n v="4.3"/>
  </r>
  <r>
    <x v="465"/>
    <x v="0"/>
    <x v="3"/>
    <x v="2"/>
    <n v="225"/>
    <n v="10571420.359999999"/>
    <n v="2139579.44"/>
    <n v="8431840.9199999999"/>
    <n v="2.54"/>
    <n v="4.53"/>
  </r>
  <r>
    <x v="466"/>
    <x v="0"/>
    <x v="4"/>
    <x v="0"/>
    <n v="414"/>
    <n v="36623015.090000004"/>
    <n v="12975631.32"/>
    <n v="23647383.77"/>
    <n v="4.9000000000000004"/>
    <n v="4.3"/>
  </r>
  <r>
    <x v="467"/>
    <x v="0"/>
    <x v="1"/>
    <x v="0"/>
    <n v="94"/>
    <n v="5276348.71"/>
    <n v="2069388.17"/>
    <n v="3206960.54"/>
    <n v="0.64"/>
    <n v="4.08"/>
  </r>
  <r>
    <x v="468"/>
    <x v="0"/>
    <x v="1"/>
    <x v="1"/>
    <n v="283"/>
    <n v="16059934.380000001"/>
    <n v="5417959.3499999996"/>
    <n v="10641975.029999999"/>
    <n v="1.1599999999999999"/>
    <n v="4.2300000000000004"/>
  </r>
  <r>
    <x v="386"/>
    <x v="0"/>
    <x v="0"/>
    <x v="2"/>
    <n v="475"/>
    <n v="40139673.159999996"/>
    <n v="15123513.279999999"/>
    <n v="25016159.870000001"/>
    <n v="4.8"/>
    <n v="3.97"/>
  </r>
  <r>
    <x v="469"/>
    <x v="0"/>
    <x v="4"/>
    <x v="1"/>
    <n v="136"/>
    <n v="8082075.29"/>
    <n v="1624726.71"/>
    <n v="6457348.5899999999"/>
    <n v="2.95"/>
    <n v="3.63"/>
  </r>
  <r>
    <x v="116"/>
    <x v="0"/>
    <x v="3"/>
    <x v="1"/>
    <n v="108"/>
    <n v="9489144.7799999993"/>
    <n v="3056487.9"/>
    <n v="6432656.8899999997"/>
    <n v="2.23"/>
    <n v="4.01"/>
  </r>
  <r>
    <x v="470"/>
    <x v="0"/>
    <x v="0"/>
    <x v="1"/>
    <n v="117"/>
    <n v="10402001.369999999"/>
    <n v="3166622.09"/>
    <n v="7235379.2699999996"/>
    <n v="2.9"/>
    <n v="3.75"/>
  </r>
  <r>
    <x v="411"/>
    <x v="0"/>
    <x v="2"/>
    <x v="2"/>
    <n v="358"/>
    <n v="28944567.75"/>
    <n v="9028150.1999999993"/>
    <n v="19916417.550000001"/>
    <n v="1.86"/>
    <n v="3.89"/>
  </r>
  <r>
    <x v="471"/>
    <x v="0"/>
    <x v="1"/>
    <x v="0"/>
    <n v="100"/>
    <n v="4474440.09"/>
    <n v="1335668.3600000001"/>
    <n v="3138771.73"/>
    <n v="3.55"/>
    <n v="3.85"/>
  </r>
  <r>
    <x v="472"/>
    <x v="0"/>
    <x v="2"/>
    <x v="0"/>
    <n v="188"/>
    <n v="12346709.26"/>
    <n v="4081137.98"/>
    <n v="8265571.29"/>
    <n v="3.11"/>
    <n v="3.71"/>
  </r>
  <r>
    <x v="473"/>
    <x v="0"/>
    <x v="2"/>
    <x v="1"/>
    <n v="446"/>
    <n v="30971527.899999999"/>
    <n v="9360228.5899999999"/>
    <n v="21611299.309999999"/>
    <n v="2.31"/>
    <n v="4.99"/>
  </r>
  <r>
    <x v="10"/>
    <x v="0"/>
    <x v="1"/>
    <x v="0"/>
    <n v="301"/>
    <n v="15509601.779999999"/>
    <n v="5193163.3499999996"/>
    <n v="10316438.43"/>
    <n v="4.07"/>
    <n v="4.1900000000000004"/>
  </r>
  <r>
    <x v="264"/>
    <x v="0"/>
    <x v="3"/>
    <x v="0"/>
    <n v="390"/>
    <n v="16824259.960000001"/>
    <n v="3860973.23"/>
    <n v="12963286.73"/>
    <n v="3.7"/>
    <n v="4.8600000000000003"/>
  </r>
  <r>
    <x v="474"/>
    <x v="0"/>
    <x v="2"/>
    <x v="1"/>
    <n v="113"/>
    <n v="7640585.1200000001"/>
    <n v="2140707.6800000002"/>
    <n v="5499877.4400000004"/>
    <n v="2.09"/>
    <n v="4.1900000000000004"/>
  </r>
  <r>
    <x v="475"/>
    <x v="0"/>
    <x v="0"/>
    <x v="1"/>
    <n v="295"/>
    <n v="12444834.279999999"/>
    <n v="3010381.03"/>
    <n v="9434453.2400000002"/>
    <n v="1.06"/>
    <n v="4.6900000000000004"/>
  </r>
  <r>
    <x v="445"/>
    <x v="0"/>
    <x v="0"/>
    <x v="2"/>
    <n v="69"/>
    <n v="4186437.98"/>
    <n v="1645721.21"/>
    <n v="2540716.77"/>
    <n v="4.8600000000000003"/>
    <n v="4.92"/>
  </r>
  <r>
    <x v="476"/>
    <x v="0"/>
    <x v="4"/>
    <x v="2"/>
    <n v="203"/>
    <n v="18057724.079999998"/>
    <n v="5477242.0099999998"/>
    <n v="12580482.07"/>
    <n v="4.3899999999999997"/>
    <n v="4.38"/>
  </r>
  <r>
    <x v="84"/>
    <x v="0"/>
    <x v="1"/>
    <x v="1"/>
    <n v="299"/>
    <n v="18546371.93"/>
    <n v="5480660.0899999999"/>
    <n v="13065711.84"/>
    <n v="3.03"/>
    <n v="4.16"/>
  </r>
  <r>
    <x v="477"/>
    <x v="0"/>
    <x v="2"/>
    <x v="1"/>
    <n v="460"/>
    <n v="29035269.190000001"/>
    <n v="8755147.1099999994"/>
    <n v="20280122.079999998"/>
    <n v="3.1"/>
    <n v="4.8"/>
  </r>
  <r>
    <x v="478"/>
    <x v="0"/>
    <x v="4"/>
    <x v="2"/>
    <n v="268"/>
    <n v="15387791.23"/>
    <n v="3608378.81"/>
    <n v="11779412.42"/>
    <n v="3.94"/>
    <n v="4.3600000000000003"/>
  </r>
  <r>
    <x v="479"/>
    <x v="0"/>
    <x v="1"/>
    <x v="0"/>
    <n v="414"/>
    <n v="25339526.649999999"/>
    <n v="5087553.8499999996"/>
    <n v="20251972.789999999"/>
    <n v="0.77"/>
    <n v="3.5"/>
  </r>
  <r>
    <x v="480"/>
    <x v="0"/>
    <x v="3"/>
    <x v="0"/>
    <n v="386"/>
    <n v="31491148.77"/>
    <n v="6971572.21"/>
    <n v="24519576.57"/>
    <n v="0.78"/>
    <n v="4.83"/>
  </r>
  <r>
    <x v="481"/>
    <x v="0"/>
    <x v="2"/>
    <x v="1"/>
    <n v="492"/>
    <n v="18053178.739999998"/>
    <n v="3713419.56"/>
    <n v="14339759.18"/>
    <n v="1.49"/>
    <n v="4.5999999999999996"/>
  </r>
  <r>
    <x v="297"/>
    <x v="0"/>
    <x v="4"/>
    <x v="0"/>
    <n v="163"/>
    <n v="9979901.6899999995"/>
    <n v="2619281"/>
    <n v="7360620.6900000004"/>
    <n v="3.75"/>
    <n v="4.54"/>
  </r>
  <r>
    <x v="20"/>
    <x v="0"/>
    <x v="3"/>
    <x v="0"/>
    <n v="347"/>
    <n v="24217104.34"/>
    <n v="6565400.9500000002"/>
    <n v="17651703.390000001"/>
    <n v="4.1900000000000004"/>
    <n v="4"/>
  </r>
  <r>
    <x v="482"/>
    <x v="0"/>
    <x v="0"/>
    <x v="0"/>
    <n v="84"/>
    <n v="3913456.93"/>
    <n v="815996.46"/>
    <n v="3097460.48"/>
    <n v="0.54"/>
    <n v="5"/>
  </r>
  <r>
    <x v="483"/>
    <x v="0"/>
    <x v="2"/>
    <x v="2"/>
    <n v="313"/>
    <n v="28077876.359999999"/>
    <n v="10726803.630000001"/>
    <n v="17351072.73"/>
    <n v="0.51"/>
    <n v="3.57"/>
  </r>
  <r>
    <x v="484"/>
    <x v="0"/>
    <x v="3"/>
    <x v="0"/>
    <n v="341"/>
    <n v="27579381.920000002"/>
    <n v="6947377.96"/>
    <n v="20632003.960000001"/>
    <n v="1.1399999999999999"/>
    <n v="4.63"/>
  </r>
  <r>
    <x v="78"/>
    <x v="0"/>
    <x v="2"/>
    <x v="2"/>
    <n v="438"/>
    <n v="35130212.659999996"/>
    <n v="8366729.6900000004"/>
    <n v="26763482.969999999"/>
    <n v="4.4800000000000004"/>
    <n v="4.55"/>
  </r>
  <r>
    <x v="485"/>
    <x v="0"/>
    <x v="3"/>
    <x v="0"/>
    <n v="240"/>
    <n v="9569582.2200000007"/>
    <n v="2894554.01"/>
    <n v="6675028.2199999997"/>
    <n v="0.85"/>
    <n v="4.1100000000000003"/>
  </r>
  <r>
    <x v="486"/>
    <x v="0"/>
    <x v="2"/>
    <x v="2"/>
    <n v="463"/>
    <n v="16828852.989999998"/>
    <n v="5701153.1299999999"/>
    <n v="11127699.85"/>
    <n v="2.97"/>
    <n v="4.45"/>
  </r>
  <r>
    <x v="487"/>
    <x v="0"/>
    <x v="4"/>
    <x v="2"/>
    <n v="222"/>
    <n v="16289604.130000001"/>
    <n v="6496004.9900000002"/>
    <n v="9793599.1400000006"/>
    <n v="0.95"/>
    <n v="4.8"/>
  </r>
  <r>
    <x v="488"/>
    <x v="0"/>
    <x v="2"/>
    <x v="1"/>
    <n v="115"/>
    <n v="4511152.63"/>
    <n v="1352782.55"/>
    <n v="3158370.07"/>
    <n v="4.08"/>
    <n v="4.5599999999999996"/>
  </r>
  <r>
    <x v="489"/>
    <x v="0"/>
    <x v="2"/>
    <x v="2"/>
    <n v="237"/>
    <n v="10187636.550000001"/>
    <n v="2628185.9900000002"/>
    <n v="7559450.5599999996"/>
    <n v="3.5"/>
    <n v="3.82"/>
  </r>
  <r>
    <x v="260"/>
    <x v="0"/>
    <x v="3"/>
    <x v="2"/>
    <n v="339"/>
    <n v="17104328.879999999"/>
    <n v="4093124.93"/>
    <n v="13011203.949999999"/>
    <n v="4.68"/>
    <n v="4.1100000000000003"/>
  </r>
  <r>
    <x v="227"/>
    <x v="0"/>
    <x v="3"/>
    <x v="0"/>
    <n v="76"/>
    <n v="2752072.53"/>
    <n v="779795.63"/>
    <n v="1972276.9"/>
    <n v="4.29"/>
    <n v="4.32"/>
  </r>
  <r>
    <x v="490"/>
    <x v="0"/>
    <x v="0"/>
    <x v="2"/>
    <n v="207"/>
    <n v="18390700"/>
    <n v="5136547.9000000004"/>
    <n v="13254152.09"/>
    <n v="2.11"/>
    <n v="4.47"/>
  </r>
  <r>
    <x v="491"/>
    <x v="0"/>
    <x v="2"/>
    <x v="1"/>
    <n v="263"/>
    <n v="11922146.859999999"/>
    <n v="3052566.86"/>
    <n v="8869580"/>
    <n v="4.4000000000000004"/>
    <n v="4.18"/>
  </r>
  <r>
    <x v="492"/>
    <x v="0"/>
    <x v="3"/>
    <x v="1"/>
    <n v="103"/>
    <n v="4011609.94"/>
    <n v="1056965.17"/>
    <n v="2954644.77"/>
    <n v="1.59"/>
    <n v="4.57"/>
  </r>
  <r>
    <x v="493"/>
    <x v="0"/>
    <x v="4"/>
    <x v="0"/>
    <n v="102"/>
    <n v="8080207.2300000004"/>
    <n v="2339218.4300000002"/>
    <n v="5740988.7999999998"/>
    <n v="2.84"/>
    <n v="3.71"/>
  </r>
  <r>
    <x v="494"/>
    <x v="0"/>
    <x v="4"/>
    <x v="2"/>
    <n v="313"/>
    <n v="15627312.48"/>
    <n v="4698522.08"/>
    <n v="10928790.41"/>
    <n v="1.78"/>
    <n v="3.7"/>
  </r>
  <r>
    <x v="495"/>
    <x v="0"/>
    <x v="2"/>
    <x v="1"/>
    <n v="403"/>
    <n v="30101958.219999999"/>
    <n v="10405963.710000001"/>
    <n v="19695994.5"/>
    <n v="2.31"/>
    <n v="3.65"/>
  </r>
  <r>
    <x v="496"/>
    <x v="0"/>
    <x v="1"/>
    <x v="2"/>
    <n v="290"/>
    <n v="18302509.77"/>
    <n v="7149502.4100000001"/>
    <n v="11153007.369999999"/>
    <n v="1.74"/>
    <n v="4.5599999999999996"/>
  </r>
  <r>
    <x v="497"/>
    <x v="0"/>
    <x v="3"/>
    <x v="1"/>
    <n v="392"/>
    <n v="26295226.120000001"/>
    <n v="8062284.6200000001"/>
    <n v="18232941.5"/>
    <n v="2.0299999999999998"/>
    <n v="4.91"/>
  </r>
  <r>
    <x v="415"/>
    <x v="0"/>
    <x v="1"/>
    <x v="2"/>
    <n v="369"/>
    <n v="19333702.690000001"/>
    <n v="7339489.6500000004"/>
    <n v="11994213.039999999"/>
    <n v="2.12"/>
    <n v="3.91"/>
  </r>
  <r>
    <x v="411"/>
    <x v="0"/>
    <x v="0"/>
    <x v="2"/>
    <n v="460"/>
    <n v="38023663.939999998"/>
    <n v="10861009.68"/>
    <n v="27162654.260000002"/>
    <n v="4.58"/>
    <n v="4.91"/>
  </r>
  <r>
    <x v="40"/>
    <x v="0"/>
    <x v="3"/>
    <x v="0"/>
    <n v="132"/>
    <n v="11226187.220000001"/>
    <n v="3643306.27"/>
    <n v="7582880.96"/>
    <n v="4.84"/>
    <n v="3.63"/>
  </r>
  <r>
    <x v="498"/>
    <x v="0"/>
    <x v="4"/>
    <x v="1"/>
    <n v="235"/>
    <n v="8771620.8599999994"/>
    <n v="2518105.9500000002"/>
    <n v="6253514.9100000001"/>
    <n v="4.6900000000000004"/>
    <n v="4.7699999999999996"/>
  </r>
  <r>
    <x v="367"/>
    <x v="0"/>
    <x v="1"/>
    <x v="0"/>
    <n v="488"/>
    <n v="17197110.16"/>
    <n v="6304621.9299999997"/>
    <n v="10892488.23"/>
    <n v="3.71"/>
    <n v="4.5"/>
  </r>
  <r>
    <x v="499"/>
    <x v="0"/>
    <x v="4"/>
    <x v="2"/>
    <n v="466"/>
    <n v="23446402.030000001"/>
    <n v="8770827.0199999996"/>
    <n v="14675575.01"/>
    <n v="3.54"/>
    <n v="4.92"/>
  </r>
  <r>
    <x v="500"/>
    <x v="0"/>
    <x v="2"/>
    <x v="2"/>
    <n v="250"/>
    <n v="10198767.68"/>
    <n v="2484779.08"/>
    <n v="7713988.5999999996"/>
    <n v="3.4"/>
    <n v="3.57"/>
  </r>
  <r>
    <x v="501"/>
    <x v="0"/>
    <x v="2"/>
    <x v="1"/>
    <n v="150"/>
    <n v="9363209.0999999996"/>
    <n v="3024091.6"/>
    <n v="6339117.5"/>
    <n v="4.4000000000000004"/>
    <n v="4.21"/>
  </r>
  <r>
    <x v="502"/>
    <x v="0"/>
    <x v="1"/>
    <x v="2"/>
    <n v="195"/>
    <n v="13629198.960000001"/>
    <n v="3350655.1"/>
    <n v="10278543.85"/>
    <n v="0.51"/>
    <n v="4.79"/>
  </r>
  <r>
    <x v="503"/>
    <x v="0"/>
    <x v="4"/>
    <x v="2"/>
    <n v="62"/>
    <n v="3590280.11"/>
    <n v="845740.83"/>
    <n v="2744539.29"/>
    <n v="4.33"/>
    <n v="3.82"/>
  </r>
  <r>
    <x v="504"/>
    <x v="0"/>
    <x v="3"/>
    <x v="2"/>
    <n v="378"/>
    <n v="31312376.440000001"/>
    <n v="7950235.1699999999"/>
    <n v="23362141.27"/>
    <n v="3.41"/>
    <n v="4.6900000000000004"/>
  </r>
  <r>
    <x v="184"/>
    <x v="0"/>
    <x v="3"/>
    <x v="1"/>
    <n v="392"/>
    <n v="26823135.760000002"/>
    <n v="9145071.9800000004"/>
    <n v="17678063.780000001"/>
    <n v="1.1100000000000001"/>
    <n v="4.4800000000000004"/>
  </r>
  <r>
    <x v="420"/>
    <x v="0"/>
    <x v="1"/>
    <x v="2"/>
    <n v="323"/>
    <n v="24399520.219999999"/>
    <n v="5003893.57"/>
    <n v="19395626.649999999"/>
    <n v="0.73"/>
    <n v="4.5199999999999996"/>
  </r>
  <r>
    <x v="505"/>
    <x v="0"/>
    <x v="4"/>
    <x v="2"/>
    <n v="359"/>
    <n v="16498505.6"/>
    <n v="3661958.8"/>
    <n v="12836546.800000001"/>
    <n v="1.79"/>
    <n v="4.05"/>
  </r>
  <r>
    <x v="506"/>
    <x v="0"/>
    <x v="2"/>
    <x v="2"/>
    <n v="362"/>
    <n v="29062090.75"/>
    <n v="7079436.1699999999"/>
    <n v="21982654.57"/>
    <n v="2.95"/>
    <n v="3.65"/>
  </r>
  <r>
    <x v="507"/>
    <x v="0"/>
    <x v="3"/>
    <x v="0"/>
    <n v="123"/>
    <n v="4404400.7699999996"/>
    <n v="1427823.89"/>
    <n v="2976576.89"/>
    <n v="2.02"/>
    <n v="3.53"/>
  </r>
  <r>
    <x v="496"/>
    <x v="0"/>
    <x v="2"/>
    <x v="1"/>
    <n v="405"/>
    <n v="35310543.670000002"/>
    <n v="13902313.15"/>
    <n v="21408230.52"/>
    <n v="3.81"/>
    <n v="4"/>
  </r>
  <r>
    <x v="253"/>
    <x v="0"/>
    <x v="1"/>
    <x v="2"/>
    <n v="317"/>
    <n v="21471120.75"/>
    <n v="8545833.1899999995"/>
    <n v="12925287.560000001"/>
    <n v="2.59"/>
    <n v="4.95"/>
  </r>
  <r>
    <x v="508"/>
    <x v="0"/>
    <x v="2"/>
    <x v="0"/>
    <n v="237"/>
    <n v="13478336.199999999"/>
    <n v="3336403"/>
    <n v="10141933.199999999"/>
    <n v="2.5499999999999998"/>
    <n v="3.9"/>
  </r>
  <r>
    <x v="251"/>
    <x v="0"/>
    <x v="1"/>
    <x v="0"/>
    <n v="153"/>
    <n v="6461726.2199999997"/>
    <n v="1476983.18"/>
    <n v="4984743.04"/>
    <n v="3.09"/>
    <n v="3.61"/>
  </r>
  <r>
    <x v="509"/>
    <x v="0"/>
    <x v="1"/>
    <x v="2"/>
    <n v="224"/>
    <n v="17784156.219999999"/>
    <n v="6686105.6600000001"/>
    <n v="11098050.560000001"/>
    <n v="1.7"/>
    <n v="3.53"/>
  </r>
  <r>
    <x v="510"/>
    <x v="0"/>
    <x v="0"/>
    <x v="2"/>
    <n v="202"/>
    <n v="15659606.220000001"/>
    <n v="4641630.91"/>
    <n v="11017975.310000001"/>
    <n v="2.0699999999999998"/>
    <n v="4.0599999999999996"/>
  </r>
  <r>
    <x v="511"/>
    <x v="0"/>
    <x v="3"/>
    <x v="1"/>
    <n v="65"/>
    <n v="4305930.7300000004"/>
    <n v="1151399.55"/>
    <n v="3154531.18"/>
    <n v="2.97"/>
    <n v="4.82"/>
  </r>
  <r>
    <x v="94"/>
    <x v="0"/>
    <x v="4"/>
    <x v="0"/>
    <n v="356"/>
    <n v="12921989.41"/>
    <n v="2846557.64"/>
    <n v="10075431.77"/>
    <n v="4.0199999999999996"/>
    <n v="4.67"/>
  </r>
  <r>
    <x v="512"/>
    <x v="0"/>
    <x v="3"/>
    <x v="1"/>
    <n v="94"/>
    <n v="5347687.3600000003"/>
    <n v="1815095.22"/>
    <n v="3532592.14"/>
    <n v="0.8"/>
    <n v="3.84"/>
  </r>
  <r>
    <x v="513"/>
    <x v="0"/>
    <x v="1"/>
    <x v="0"/>
    <n v="147"/>
    <n v="10022614.25"/>
    <n v="3060102.82"/>
    <n v="6962511.4299999997"/>
    <n v="0.77"/>
    <n v="4.51"/>
  </r>
  <r>
    <x v="514"/>
    <x v="0"/>
    <x v="2"/>
    <x v="2"/>
    <n v="53"/>
    <n v="4646957.2699999996"/>
    <n v="982622.98"/>
    <n v="3664334.29"/>
    <n v="4.03"/>
    <n v="4.99"/>
  </r>
  <r>
    <x v="515"/>
    <x v="0"/>
    <x v="0"/>
    <x v="2"/>
    <n v="483"/>
    <n v="34028564.560000002"/>
    <n v="9791423.1099999994"/>
    <n v="24237141.449999999"/>
    <n v="4"/>
    <n v="3.81"/>
  </r>
  <r>
    <x v="516"/>
    <x v="0"/>
    <x v="0"/>
    <x v="1"/>
    <n v="139"/>
    <n v="6362143.9299999997"/>
    <n v="2365695.85"/>
    <n v="3996448.08"/>
    <n v="3.3"/>
    <n v="4.67"/>
  </r>
  <r>
    <x v="485"/>
    <x v="0"/>
    <x v="0"/>
    <x v="2"/>
    <n v="350"/>
    <n v="17567568.510000002"/>
    <n v="3577975"/>
    <n v="13989593.51"/>
    <n v="2.87"/>
    <n v="4.8600000000000003"/>
  </r>
  <r>
    <x v="517"/>
    <x v="0"/>
    <x v="4"/>
    <x v="0"/>
    <n v="400"/>
    <n v="28830866.5"/>
    <n v="10033689.449999999"/>
    <n v="18797177.050000001"/>
    <n v="2.0499999999999998"/>
    <n v="4.88"/>
  </r>
  <r>
    <x v="518"/>
    <x v="0"/>
    <x v="2"/>
    <x v="1"/>
    <n v="265"/>
    <n v="19841600.550000001"/>
    <n v="5798457.7199999997"/>
    <n v="14043142.83"/>
    <n v="0.77"/>
    <n v="4.53"/>
  </r>
  <r>
    <x v="519"/>
    <x v="0"/>
    <x v="3"/>
    <x v="1"/>
    <n v="331"/>
    <n v="14266651.92"/>
    <n v="5684286.1200000001"/>
    <n v="8582365.8000000007"/>
    <n v="3.34"/>
    <n v="4.17"/>
  </r>
  <r>
    <x v="520"/>
    <x v="0"/>
    <x v="4"/>
    <x v="0"/>
    <n v="103"/>
    <n v="5959612.9900000002"/>
    <n v="2023983.86"/>
    <n v="3935629.13"/>
    <n v="3.92"/>
    <n v="4.03"/>
  </r>
  <r>
    <x v="521"/>
    <x v="0"/>
    <x v="1"/>
    <x v="1"/>
    <n v="171"/>
    <n v="12376829.23"/>
    <n v="4762011.74"/>
    <n v="7614817.4900000002"/>
    <n v="1.74"/>
    <n v="4.71"/>
  </r>
  <r>
    <x v="522"/>
    <x v="0"/>
    <x v="3"/>
    <x v="1"/>
    <n v="259"/>
    <n v="16855015.59"/>
    <n v="6134187.6200000001"/>
    <n v="10720827.960000001"/>
    <n v="2.56"/>
    <n v="4.34"/>
  </r>
  <r>
    <x v="523"/>
    <x v="0"/>
    <x v="3"/>
    <x v="1"/>
    <n v="55"/>
    <n v="3272763.46"/>
    <n v="1172182.47"/>
    <n v="2100580.98"/>
    <n v="0.72"/>
    <n v="4.7699999999999996"/>
  </r>
  <r>
    <x v="524"/>
    <x v="0"/>
    <x v="3"/>
    <x v="2"/>
    <n v="289"/>
    <n v="25930228.870000001"/>
    <n v="7637838.8300000001"/>
    <n v="18292390.030000001"/>
    <n v="2.2599999999999998"/>
    <n v="4.49"/>
  </r>
  <r>
    <x v="525"/>
    <x v="0"/>
    <x v="4"/>
    <x v="0"/>
    <n v="218"/>
    <n v="9991139.1999999993"/>
    <n v="2095282.14"/>
    <n v="7895857.0499999998"/>
    <n v="4.9800000000000004"/>
    <n v="4.57"/>
  </r>
  <r>
    <x v="226"/>
    <x v="0"/>
    <x v="3"/>
    <x v="1"/>
    <n v="139"/>
    <n v="8859816.1300000008"/>
    <n v="3155658.34"/>
    <n v="5704157.7999999998"/>
    <n v="2.57"/>
    <n v="4.88"/>
  </r>
  <r>
    <x v="526"/>
    <x v="0"/>
    <x v="3"/>
    <x v="0"/>
    <n v="360"/>
    <n v="16836349.370000001"/>
    <n v="6690665.6799999997"/>
    <n v="10145683.689999999"/>
    <n v="0.56000000000000005"/>
    <n v="4.74"/>
  </r>
  <r>
    <x v="527"/>
    <x v="0"/>
    <x v="3"/>
    <x v="1"/>
    <n v="334"/>
    <n v="28368100.84"/>
    <n v="5993035.9500000002"/>
    <n v="22375064.890000001"/>
    <n v="4.82"/>
    <n v="4.28"/>
  </r>
  <r>
    <x v="528"/>
    <x v="0"/>
    <x v="1"/>
    <x v="2"/>
    <n v="499"/>
    <n v="44005760.840000004"/>
    <n v="14145266.550000001"/>
    <n v="29860494.300000001"/>
    <n v="4.34"/>
    <n v="4.66"/>
  </r>
  <r>
    <x v="529"/>
    <x v="0"/>
    <x v="2"/>
    <x v="1"/>
    <n v="143"/>
    <n v="10043438.42"/>
    <n v="2678383.2000000002"/>
    <n v="7365055.2199999997"/>
    <n v="1.23"/>
    <n v="4.3499999999999996"/>
  </r>
  <r>
    <x v="530"/>
    <x v="0"/>
    <x v="2"/>
    <x v="0"/>
    <n v="391"/>
    <n v="32076226.210000001"/>
    <n v="8961685.0600000005"/>
    <n v="23114541.149999999"/>
    <n v="4.26"/>
    <n v="4.68"/>
  </r>
  <r>
    <x v="531"/>
    <x v="0"/>
    <x v="2"/>
    <x v="0"/>
    <n v="205"/>
    <n v="9753330.6899999995"/>
    <n v="2663900.5099999998"/>
    <n v="7089430.1799999997"/>
    <n v="1.5"/>
    <n v="3.98"/>
  </r>
  <r>
    <x v="532"/>
    <x v="0"/>
    <x v="4"/>
    <x v="1"/>
    <n v="371"/>
    <n v="23487119.210000001"/>
    <n v="5598035.3600000003"/>
    <n v="17889083.84"/>
    <n v="1.64"/>
    <n v="3.87"/>
  </r>
  <r>
    <x v="533"/>
    <x v="0"/>
    <x v="4"/>
    <x v="2"/>
    <n v="398"/>
    <n v="24456685.309999999"/>
    <n v="6542486.0899999999"/>
    <n v="17914199.219999999"/>
    <n v="1.03"/>
    <n v="3.93"/>
  </r>
  <r>
    <x v="499"/>
    <x v="0"/>
    <x v="3"/>
    <x v="2"/>
    <n v="297"/>
    <n v="26568060.949999999"/>
    <n v="5553537.7599999998"/>
    <n v="21014523.190000001"/>
    <n v="2.73"/>
    <n v="4.2699999999999996"/>
  </r>
  <r>
    <x v="515"/>
    <x v="0"/>
    <x v="2"/>
    <x v="2"/>
    <n v="376"/>
    <n v="20847253.690000001"/>
    <n v="6702566.4000000004"/>
    <n v="14144687.289999999"/>
    <n v="3.89"/>
    <n v="4.88"/>
  </r>
  <r>
    <x v="339"/>
    <x v="0"/>
    <x v="3"/>
    <x v="0"/>
    <n v="162"/>
    <n v="9629295.2599999998"/>
    <n v="3321051.61"/>
    <n v="6308243.6500000004"/>
    <n v="3.3"/>
    <n v="4.99"/>
  </r>
  <r>
    <x v="534"/>
    <x v="0"/>
    <x v="4"/>
    <x v="2"/>
    <n v="398"/>
    <n v="26277580.489999998"/>
    <n v="8626517.3200000003"/>
    <n v="17651063.170000002"/>
    <n v="3.45"/>
    <n v="3.86"/>
  </r>
  <r>
    <x v="223"/>
    <x v="0"/>
    <x v="4"/>
    <x v="0"/>
    <n v="107"/>
    <n v="8908237.7799999993"/>
    <n v="1827307.19"/>
    <n v="7080930.5800000001"/>
    <n v="0.62"/>
    <n v="4.76"/>
  </r>
  <r>
    <x v="179"/>
    <x v="0"/>
    <x v="1"/>
    <x v="2"/>
    <n v="90"/>
    <n v="3342703.32"/>
    <n v="1313001.28"/>
    <n v="2029702.04"/>
    <n v="1.29"/>
    <n v="4.8"/>
  </r>
  <r>
    <x v="30"/>
    <x v="0"/>
    <x v="4"/>
    <x v="0"/>
    <n v="286"/>
    <n v="13547523.109999999"/>
    <n v="4250181.38"/>
    <n v="9297341.7300000004"/>
    <n v="3.74"/>
    <n v="4.34"/>
  </r>
  <r>
    <x v="535"/>
    <x v="0"/>
    <x v="4"/>
    <x v="2"/>
    <n v="198"/>
    <n v="12556845.42"/>
    <n v="3117170.94"/>
    <n v="9439674.4700000007"/>
    <n v="1.77"/>
    <n v="4.03"/>
  </r>
  <r>
    <x v="249"/>
    <x v="0"/>
    <x v="1"/>
    <x v="1"/>
    <n v="352"/>
    <n v="29816746.59"/>
    <n v="6882602.2999999998"/>
    <n v="22934144.289999999"/>
    <n v="2.2999999999999998"/>
    <n v="4.6399999999999997"/>
  </r>
  <r>
    <x v="20"/>
    <x v="0"/>
    <x v="0"/>
    <x v="0"/>
    <n v="328"/>
    <n v="20073096.629999999"/>
    <n v="6031805.5499999998"/>
    <n v="14041291.08"/>
    <n v="1.42"/>
    <n v="4.3899999999999997"/>
  </r>
  <r>
    <x v="536"/>
    <x v="0"/>
    <x v="4"/>
    <x v="2"/>
    <n v="90"/>
    <n v="4613688.6399999997"/>
    <n v="1297551.5"/>
    <n v="3316137.13"/>
    <n v="0.65"/>
    <n v="4.45"/>
  </r>
  <r>
    <x v="289"/>
    <x v="0"/>
    <x v="1"/>
    <x v="2"/>
    <n v="373"/>
    <n v="19111885.579999998"/>
    <n v="4282986.67"/>
    <n v="14828898.91"/>
    <n v="2.57"/>
    <n v="3.64"/>
  </r>
  <r>
    <x v="537"/>
    <x v="0"/>
    <x v="3"/>
    <x v="2"/>
    <n v="332"/>
    <n v="26882181.440000001"/>
    <n v="8966868.6500000004"/>
    <n v="17915312.789999999"/>
    <n v="3.62"/>
    <n v="4.66"/>
  </r>
  <r>
    <x v="201"/>
    <x v="0"/>
    <x v="4"/>
    <x v="0"/>
    <n v="53"/>
    <n v="2296899.64"/>
    <n v="516396.75"/>
    <n v="1780502.89"/>
    <n v="2.93"/>
    <n v="3.92"/>
  </r>
  <r>
    <x v="213"/>
    <x v="0"/>
    <x v="0"/>
    <x v="1"/>
    <n v="328"/>
    <n v="28275419.870000001"/>
    <n v="9094370.5299999993"/>
    <n v="19181049.34"/>
    <n v="2.96"/>
    <n v="4.3"/>
  </r>
  <r>
    <x v="538"/>
    <x v="0"/>
    <x v="2"/>
    <x v="0"/>
    <n v="298"/>
    <n v="11435214.359999999"/>
    <n v="3745773.12"/>
    <n v="7689441.2400000002"/>
    <n v="3.75"/>
    <n v="3.8"/>
  </r>
  <r>
    <x v="340"/>
    <x v="0"/>
    <x v="4"/>
    <x v="0"/>
    <n v="152"/>
    <n v="7863101.2999999998"/>
    <n v="2667254.37"/>
    <n v="5195846.93"/>
    <n v="1.54"/>
    <n v="3.5"/>
  </r>
  <r>
    <x v="214"/>
    <x v="0"/>
    <x v="4"/>
    <x v="2"/>
    <n v="352"/>
    <n v="16020058.220000001"/>
    <n v="5414508.8200000003"/>
    <n v="10605549.4"/>
    <n v="3.79"/>
    <n v="4.46"/>
  </r>
  <r>
    <x v="539"/>
    <x v="0"/>
    <x v="1"/>
    <x v="2"/>
    <n v="218"/>
    <n v="17802620.300000001"/>
    <n v="5616266.6900000004"/>
    <n v="12186353.6"/>
    <n v="1.86"/>
    <n v="3.99"/>
  </r>
  <r>
    <x v="264"/>
    <x v="0"/>
    <x v="1"/>
    <x v="0"/>
    <n v="74"/>
    <n v="3618951.38"/>
    <n v="1251115.95"/>
    <n v="2367835.4300000002"/>
    <n v="1.06"/>
    <n v="4.01"/>
  </r>
  <r>
    <x v="540"/>
    <x v="0"/>
    <x v="0"/>
    <x v="0"/>
    <n v="96"/>
    <n v="7619341.7800000003"/>
    <n v="1546942.16"/>
    <n v="6072399.6299999999"/>
    <n v="3.89"/>
    <n v="4.09"/>
  </r>
  <r>
    <x v="541"/>
    <x v="0"/>
    <x v="2"/>
    <x v="0"/>
    <n v="198"/>
    <n v="8559159.7899999991"/>
    <n v="2771987.15"/>
    <n v="5787172.6299999999"/>
    <n v="2.37"/>
    <n v="4.63"/>
  </r>
  <r>
    <x v="542"/>
    <x v="0"/>
    <x v="0"/>
    <x v="2"/>
    <n v="81"/>
    <n v="3580416.41"/>
    <n v="873169.24"/>
    <n v="2707247.17"/>
    <n v="3.13"/>
    <n v="4.93"/>
  </r>
  <r>
    <x v="405"/>
    <x v="0"/>
    <x v="4"/>
    <x v="2"/>
    <n v="59"/>
    <n v="3628659.97"/>
    <n v="1188959.28"/>
    <n v="2439700.69"/>
    <n v="4.7699999999999996"/>
    <n v="4.45"/>
  </r>
  <r>
    <x v="543"/>
    <x v="0"/>
    <x v="3"/>
    <x v="1"/>
    <n v="172"/>
    <n v="13200189.970000001"/>
    <n v="5009429.95"/>
    <n v="8190760.0199999996"/>
    <n v="2.81"/>
    <n v="4.26"/>
  </r>
  <r>
    <x v="544"/>
    <x v="0"/>
    <x v="0"/>
    <x v="1"/>
    <n v="341"/>
    <n v="30172737.079999998"/>
    <n v="9360707.6099999994"/>
    <n v="20812029.48"/>
    <n v="1.22"/>
    <n v="3.77"/>
  </r>
  <r>
    <x v="545"/>
    <x v="0"/>
    <x v="0"/>
    <x v="0"/>
    <n v="472"/>
    <n v="28506151.09"/>
    <n v="6151658.6399999997"/>
    <n v="22354492.449999999"/>
    <n v="3.63"/>
    <n v="4.59"/>
  </r>
  <r>
    <x v="546"/>
    <x v="0"/>
    <x v="2"/>
    <x v="0"/>
    <n v="175"/>
    <n v="9441814.3100000005"/>
    <n v="3718454.8"/>
    <n v="5723359.5099999998"/>
    <n v="0.73"/>
    <n v="3.71"/>
  </r>
  <r>
    <x v="547"/>
    <x v="0"/>
    <x v="1"/>
    <x v="1"/>
    <n v="119"/>
    <n v="6361570.4199999999"/>
    <n v="1299636.43"/>
    <n v="5061933.99"/>
    <n v="4.3499999999999996"/>
    <n v="4.55"/>
  </r>
  <r>
    <x v="548"/>
    <x v="0"/>
    <x v="0"/>
    <x v="0"/>
    <n v="125"/>
    <n v="8988505.0800000001"/>
    <n v="2812819.24"/>
    <n v="6175685.8399999999"/>
    <n v="2.97"/>
    <n v="3.97"/>
  </r>
  <r>
    <x v="549"/>
    <x v="0"/>
    <x v="4"/>
    <x v="1"/>
    <n v="320"/>
    <n v="20117438.620000001"/>
    <n v="6488931.04"/>
    <n v="13628507.58"/>
    <n v="4.58"/>
    <n v="3.52"/>
  </r>
  <r>
    <x v="451"/>
    <x v="0"/>
    <x v="3"/>
    <x v="2"/>
    <n v="92"/>
    <n v="7465326.4800000004"/>
    <n v="2969082.8"/>
    <n v="4496243.68"/>
    <n v="3.67"/>
    <n v="4.96"/>
  </r>
  <r>
    <x v="550"/>
    <x v="0"/>
    <x v="4"/>
    <x v="1"/>
    <n v="238"/>
    <n v="9606462.5199999996"/>
    <n v="2768619.71"/>
    <n v="6837842.8200000003"/>
    <n v="2.75"/>
    <n v="4.5599999999999996"/>
  </r>
  <r>
    <x v="551"/>
    <x v="0"/>
    <x v="2"/>
    <x v="2"/>
    <n v="482"/>
    <n v="31204873.370000001"/>
    <n v="9800851.9499999993"/>
    <n v="21404021.43"/>
    <n v="1.89"/>
    <n v="4.22"/>
  </r>
  <r>
    <x v="552"/>
    <x v="0"/>
    <x v="2"/>
    <x v="1"/>
    <n v="62"/>
    <n v="5448760.4900000002"/>
    <n v="1400973.57"/>
    <n v="4047786.92"/>
    <n v="4.79"/>
    <n v="3.84"/>
  </r>
  <r>
    <x v="553"/>
    <x v="0"/>
    <x v="0"/>
    <x v="0"/>
    <n v="92"/>
    <n v="7598396.54"/>
    <n v="2800353.78"/>
    <n v="4798042.76"/>
    <n v="1.89"/>
    <n v="3.94"/>
  </r>
  <r>
    <x v="554"/>
    <x v="0"/>
    <x v="1"/>
    <x v="2"/>
    <n v="425"/>
    <n v="33958602.100000001"/>
    <n v="10177288.039999999"/>
    <n v="23781314.059999999"/>
    <n v="0.82"/>
    <n v="3.97"/>
  </r>
  <r>
    <x v="555"/>
    <x v="0"/>
    <x v="2"/>
    <x v="0"/>
    <n v="424"/>
    <n v="28173116.329999998"/>
    <n v="6576561.1100000003"/>
    <n v="21596555.210000001"/>
    <n v="4.58"/>
    <n v="3.52"/>
  </r>
  <r>
    <x v="365"/>
    <x v="0"/>
    <x v="1"/>
    <x v="2"/>
    <n v="377"/>
    <n v="14269815.289999999"/>
    <n v="4141503.76"/>
    <n v="10128311.529999999"/>
    <n v="1.79"/>
    <n v="3.96"/>
  </r>
  <r>
    <x v="556"/>
    <x v="0"/>
    <x v="2"/>
    <x v="0"/>
    <n v="332"/>
    <n v="19136828.710000001"/>
    <n v="4076165.83"/>
    <n v="15060662.880000001"/>
    <n v="2.44"/>
    <n v="4.82"/>
  </r>
  <r>
    <x v="557"/>
    <x v="0"/>
    <x v="1"/>
    <x v="2"/>
    <n v="118"/>
    <n v="4573612.2699999996"/>
    <n v="1112522.18"/>
    <n v="3461090.09"/>
    <n v="1.79"/>
    <n v="4.1500000000000004"/>
  </r>
  <r>
    <x v="468"/>
    <x v="0"/>
    <x v="4"/>
    <x v="0"/>
    <n v="68"/>
    <n v="4914003.1399999997"/>
    <n v="1894730.43"/>
    <n v="3019272.71"/>
    <n v="1.42"/>
    <n v="4.07"/>
  </r>
  <r>
    <x v="232"/>
    <x v="0"/>
    <x v="1"/>
    <x v="2"/>
    <n v="338"/>
    <n v="23759842.449999999"/>
    <n v="6313089.2199999997"/>
    <n v="17446753.219999999"/>
    <n v="3.35"/>
    <n v="3.8"/>
  </r>
  <r>
    <x v="421"/>
    <x v="0"/>
    <x v="2"/>
    <x v="0"/>
    <n v="452"/>
    <n v="35341782.649999999"/>
    <n v="9887904.9000000004"/>
    <n v="25453877.760000002"/>
    <n v="4.96"/>
    <n v="3.99"/>
  </r>
  <r>
    <x v="558"/>
    <x v="0"/>
    <x v="3"/>
    <x v="1"/>
    <n v="368"/>
    <n v="21624063.09"/>
    <n v="4409714.1399999997"/>
    <n v="17214348.960000001"/>
    <n v="0.8"/>
    <n v="4.28"/>
  </r>
  <r>
    <x v="19"/>
    <x v="0"/>
    <x v="3"/>
    <x v="1"/>
    <n v="66"/>
    <n v="2684330.5499999998"/>
    <n v="779645.18"/>
    <n v="1904685.36"/>
    <n v="4.91"/>
    <n v="4.33"/>
  </r>
  <r>
    <x v="559"/>
    <x v="0"/>
    <x v="3"/>
    <x v="1"/>
    <n v="131"/>
    <n v="9661314.6500000004"/>
    <n v="3047702.99"/>
    <n v="6613611.6699999999"/>
    <n v="2.06"/>
    <n v="4.0999999999999996"/>
  </r>
  <r>
    <x v="560"/>
    <x v="0"/>
    <x v="4"/>
    <x v="1"/>
    <n v="436"/>
    <n v="20183883.870000001"/>
    <n v="6123630.1200000001"/>
    <n v="14060253.75"/>
    <n v="1.71"/>
    <n v="3.93"/>
  </r>
  <r>
    <x v="561"/>
    <x v="0"/>
    <x v="1"/>
    <x v="0"/>
    <n v="123"/>
    <n v="8971353.9199999999"/>
    <n v="3330270.8"/>
    <n v="5641083.1200000001"/>
    <n v="3.18"/>
    <n v="3.76"/>
  </r>
  <r>
    <x v="562"/>
    <x v="0"/>
    <x v="4"/>
    <x v="2"/>
    <n v="279"/>
    <n v="10813586.84"/>
    <n v="3394655.79"/>
    <n v="7418931.0499999998"/>
    <n v="3.63"/>
    <n v="4.1900000000000004"/>
  </r>
  <r>
    <x v="420"/>
    <x v="0"/>
    <x v="1"/>
    <x v="0"/>
    <n v="416"/>
    <n v="27221311.890000001"/>
    <n v="7395312.29"/>
    <n v="19825999.600000001"/>
    <n v="3.67"/>
    <n v="4.0599999999999996"/>
  </r>
  <r>
    <x v="563"/>
    <x v="0"/>
    <x v="4"/>
    <x v="2"/>
    <n v="332"/>
    <n v="23964240.02"/>
    <n v="6198926.4500000002"/>
    <n v="17765313.57"/>
    <n v="3.25"/>
    <n v="3.97"/>
  </r>
  <r>
    <x v="376"/>
    <x v="0"/>
    <x v="4"/>
    <x v="1"/>
    <n v="149"/>
    <n v="7259852.1900000004"/>
    <n v="2901010.05"/>
    <n v="4358842.1399999997"/>
    <n v="1.28"/>
    <n v="3.68"/>
  </r>
  <r>
    <x v="564"/>
    <x v="0"/>
    <x v="1"/>
    <x v="2"/>
    <n v="315"/>
    <n v="21632372.460000001"/>
    <n v="7731042.1299999999"/>
    <n v="13901330.33"/>
    <n v="4.7300000000000004"/>
    <n v="3.51"/>
  </r>
  <r>
    <x v="565"/>
    <x v="0"/>
    <x v="0"/>
    <x v="2"/>
    <n v="297"/>
    <n v="19993215.199999999"/>
    <n v="5193679.12"/>
    <n v="14799536.08"/>
    <n v="3.56"/>
    <n v="4.1100000000000003"/>
  </r>
  <r>
    <x v="566"/>
    <x v="0"/>
    <x v="0"/>
    <x v="0"/>
    <n v="418"/>
    <n v="23495254.66"/>
    <n v="4998534.8899999997"/>
    <n v="18496719.77"/>
    <n v="2.94"/>
    <n v="4.91"/>
  </r>
  <r>
    <x v="200"/>
    <x v="0"/>
    <x v="0"/>
    <x v="2"/>
    <n v="187"/>
    <n v="10649078.24"/>
    <n v="2471008.69"/>
    <n v="8178069.5499999998"/>
    <n v="1.35"/>
    <n v="4.51"/>
  </r>
  <r>
    <x v="567"/>
    <x v="0"/>
    <x v="2"/>
    <x v="1"/>
    <n v="225"/>
    <n v="16104307.140000001"/>
    <n v="4837603.76"/>
    <n v="11266703.369999999"/>
    <n v="3.84"/>
    <n v="3.99"/>
  </r>
  <r>
    <x v="568"/>
    <x v="0"/>
    <x v="4"/>
    <x v="1"/>
    <n v="293"/>
    <n v="22315213.800000001"/>
    <n v="4844415.7300000004"/>
    <n v="17470798.07"/>
    <n v="2.4500000000000002"/>
    <n v="3.89"/>
  </r>
  <r>
    <x v="569"/>
    <x v="0"/>
    <x v="0"/>
    <x v="1"/>
    <n v="142"/>
    <n v="8974393.1400000006"/>
    <n v="2802909.42"/>
    <n v="6171483.71"/>
    <n v="4.9800000000000004"/>
    <n v="3.84"/>
  </r>
  <r>
    <x v="570"/>
    <x v="0"/>
    <x v="2"/>
    <x v="1"/>
    <n v="92"/>
    <n v="6446702.5300000003"/>
    <n v="2266632.14"/>
    <n v="4180070.39"/>
    <n v="3.71"/>
    <n v="3.64"/>
  </r>
  <r>
    <x v="134"/>
    <x v="0"/>
    <x v="3"/>
    <x v="2"/>
    <n v="418"/>
    <n v="33444316.329999998"/>
    <n v="13043159.109999999"/>
    <n v="20401157.219999999"/>
    <n v="4.5999999999999996"/>
    <n v="3.54"/>
  </r>
  <r>
    <x v="571"/>
    <x v="0"/>
    <x v="3"/>
    <x v="1"/>
    <n v="274"/>
    <n v="12821105.699999999"/>
    <n v="4434034.97"/>
    <n v="8387070.7300000004"/>
    <n v="1.61"/>
    <n v="3.59"/>
  </r>
  <r>
    <x v="572"/>
    <x v="0"/>
    <x v="3"/>
    <x v="2"/>
    <n v="110"/>
    <n v="6419867.7599999998"/>
    <n v="2291450.61"/>
    <n v="4128417.15"/>
    <n v="3.19"/>
    <n v="4.3899999999999997"/>
  </r>
  <r>
    <x v="573"/>
    <x v="0"/>
    <x v="1"/>
    <x v="2"/>
    <n v="143"/>
    <n v="12488474.439999999"/>
    <n v="2901093.01"/>
    <n v="9587381.4299999997"/>
    <n v="4.12"/>
    <n v="4.7300000000000004"/>
  </r>
  <r>
    <x v="555"/>
    <x v="0"/>
    <x v="0"/>
    <x v="2"/>
    <n v="492"/>
    <n v="24886226.870000001"/>
    <n v="6038545.8799999999"/>
    <n v="18847680.989999998"/>
    <n v="2.29"/>
    <n v="4.2699999999999996"/>
  </r>
  <r>
    <x v="357"/>
    <x v="0"/>
    <x v="4"/>
    <x v="2"/>
    <n v="425"/>
    <n v="37961542.969999999"/>
    <n v="12971491.57"/>
    <n v="24990051.399999999"/>
    <n v="3.97"/>
    <n v="4.1399999999999997"/>
  </r>
  <r>
    <x v="574"/>
    <x v="0"/>
    <x v="2"/>
    <x v="1"/>
    <n v="439"/>
    <n v="34674209.560000002"/>
    <n v="11556173.48"/>
    <n v="23118036.079999998"/>
    <n v="4.3899999999999997"/>
    <n v="4.87"/>
  </r>
  <r>
    <x v="575"/>
    <x v="0"/>
    <x v="2"/>
    <x v="1"/>
    <n v="86"/>
    <n v="6162370.21"/>
    <n v="1494514.01"/>
    <n v="4667856.2"/>
    <n v="2.54"/>
    <n v="4.45"/>
  </r>
  <r>
    <x v="10"/>
    <x v="0"/>
    <x v="3"/>
    <x v="1"/>
    <n v="412"/>
    <n v="28876043.59"/>
    <n v="6735954.3399999999"/>
    <n v="22140089.25"/>
    <n v="2.75"/>
    <n v="4.3"/>
  </r>
  <r>
    <x v="576"/>
    <x v="0"/>
    <x v="3"/>
    <x v="1"/>
    <n v="156"/>
    <n v="13493287.73"/>
    <n v="5224583.88"/>
    <n v="8268703.8499999996"/>
    <n v="4.21"/>
    <n v="3.94"/>
  </r>
  <r>
    <x v="484"/>
    <x v="0"/>
    <x v="1"/>
    <x v="2"/>
    <n v="188"/>
    <n v="12772061.439999999"/>
    <n v="4595135.51"/>
    <n v="8176925.9199999999"/>
    <n v="3.16"/>
    <n v="4.1100000000000003"/>
  </r>
  <r>
    <x v="455"/>
    <x v="0"/>
    <x v="2"/>
    <x v="1"/>
    <n v="412"/>
    <n v="25548229.23"/>
    <n v="5482084.7199999997"/>
    <n v="20066144.510000002"/>
    <n v="0.97"/>
    <n v="4.6500000000000004"/>
  </r>
  <r>
    <x v="577"/>
    <x v="0"/>
    <x v="3"/>
    <x v="0"/>
    <n v="471"/>
    <n v="33457275.07"/>
    <n v="11641548.539999999"/>
    <n v="21815726.530000001"/>
    <n v="1.22"/>
    <n v="3.74"/>
  </r>
  <r>
    <x v="578"/>
    <x v="0"/>
    <x v="0"/>
    <x v="2"/>
    <n v="182"/>
    <n v="14243089.050000001"/>
    <n v="3012324.15"/>
    <n v="11230764.9"/>
    <n v="3.86"/>
    <n v="4.58"/>
  </r>
  <r>
    <x v="579"/>
    <x v="0"/>
    <x v="2"/>
    <x v="2"/>
    <n v="352"/>
    <n v="25584200.239999998"/>
    <n v="9668617.9100000001"/>
    <n v="15915582.32"/>
    <n v="1.8"/>
    <n v="3.96"/>
  </r>
  <r>
    <x v="7"/>
    <x v="0"/>
    <x v="4"/>
    <x v="1"/>
    <n v="493"/>
    <n v="29275256.010000002"/>
    <n v="8470033.0700000003"/>
    <n v="20805222.940000001"/>
    <n v="1.65"/>
    <n v="4.6100000000000003"/>
  </r>
  <r>
    <x v="580"/>
    <x v="0"/>
    <x v="3"/>
    <x v="0"/>
    <n v="427"/>
    <n v="34403628.219999999"/>
    <n v="8330543.75"/>
    <n v="26073084.469999999"/>
    <n v="1.89"/>
    <n v="4.87"/>
  </r>
  <r>
    <x v="581"/>
    <x v="0"/>
    <x v="1"/>
    <x v="0"/>
    <n v="401"/>
    <n v="31378119.800000001"/>
    <n v="8583694.2899999991"/>
    <n v="22794425.510000002"/>
    <n v="2.1800000000000002"/>
    <n v="3.91"/>
  </r>
  <r>
    <x v="582"/>
    <x v="0"/>
    <x v="3"/>
    <x v="2"/>
    <n v="385"/>
    <n v="32031064"/>
    <n v="12155353.4"/>
    <n v="19875710.59"/>
    <n v="2.27"/>
    <n v="4.33"/>
  </r>
  <r>
    <x v="583"/>
    <x v="0"/>
    <x v="3"/>
    <x v="0"/>
    <n v="84"/>
    <n v="4551872.1500000004"/>
    <n v="1345898.11"/>
    <n v="3205974.04"/>
    <n v="4.08"/>
    <n v="4.83"/>
  </r>
  <r>
    <x v="584"/>
    <x v="0"/>
    <x v="1"/>
    <x v="1"/>
    <n v="125"/>
    <n v="10279004.42"/>
    <n v="2573131.14"/>
    <n v="7705873.2800000003"/>
    <n v="2.48"/>
    <n v="4.42"/>
  </r>
  <r>
    <x v="585"/>
    <x v="0"/>
    <x v="3"/>
    <x v="0"/>
    <n v="334"/>
    <n v="20125306.219999999"/>
    <n v="6395445.54"/>
    <n v="13729860.689999999"/>
    <n v="3.75"/>
    <n v="4.08"/>
  </r>
  <r>
    <x v="586"/>
    <x v="0"/>
    <x v="4"/>
    <x v="2"/>
    <n v="161"/>
    <n v="6675916.7599999998"/>
    <n v="2449681.61"/>
    <n v="4226235.16"/>
    <n v="0.51"/>
    <n v="4.58"/>
  </r>
  <r>
    <x v="587"/>
    <x v="0"/>
    <x v="0"/>
    <x v="0"/>
    <n v="183"/>
    <n v="14350635.029999999"/>
    <n v="4888438.54"/>
    <n v="9462196.4900000002"/>
    <n v="2.94"/>
    <n v="4.0199999999999996"/>
  </r>
  <r>
    <x v="588"/>
    <x v="0"/>
    <x v="1"/>
    <x v="1"/>
    <n v="175"/>
    <n v="7720326.2000000002"/>
    <n v="1712591.42"/>
    <n v="6007734.79"/>
    <n v="1.59"/>
    <n v="4.03"/>
  </r>
  <r>
    <x v="220"/>
    <x v="0"/>
    <x v="2"/>
    <x v="0"/>
    <n v="164"/>
    <n v="7745698.9699999997"/>
    <n v="2293928.14"/>
    <n v="5451770.8300000001"/>
    <n v="3.23"/>
    <n v="3.87"/>
  </r>
  <r>
    <x v="589"/>
    <x v="0"/>
    <x v="1"/>
    <x v="2"/>
    <n v="296"/>
    <n v="14327915.98"/>
    <n v="4964334.04"/>
    <n v="9363581.9399999995"/>
    <n v="2.0099999999999998"/>
    <n v="4.62"/>
  </r>
  <r>
    <x v="590"/>
    <x v="0"/>
    <x v="2"/>
    <x v="1"/>
    <n v="201"/>
    <n v="13848201.869999999"/>
    <n v="3996927.73"/>
    <n v="9851274.1400000006"/>
    <n v="2.37"/>
    <n v="4.1399999999999997"/>
  </r>
  <r>
    <x v="115"/>
    <x v="0"/>
    <x v="3"/>
    <x v="0"/>
    <n v="68"/>
    <n v="4919379.5599999996"/>
    <n v="1562528.03"/>
    <n v="3356851.54"/>
    <n v="3.89"/>
    <n v="3.81"/>
  </r>
  <r>
    <x v="591"/>
    <x v="0"/>
    <x v="3"/>
    <x v="0"/>
    <n v="403"/>
    <n v="23236051.18"/>
    <n v="5248898.6399999997"/>
    <n v="17987152.530000001"/>
    <n v="3.34"/>
    <n v="4.3"/>
  </r>
  <r>
    <x v="592"/>
    <x v="0"/>
    <x v="0"/>
    <x v="2"/>
    <n v="254"/>
    <n v="18621882.98"/>
    <n v="5602565.75"/>
    <n v="13019317.23"/>
    <n v="4.7"/>
    <n v="4.16"/>
  </r>
  <r>
    <x v="593"/>
    <x v="0"/>
    <x v="4"/>
    <x v="0"/>
    <n v="393"/>
    <n v="28714171.879999999"/>
    <n v="10301197.02"/>
    <n v="18412974.859999999"/>
    <n v="2.2599999999999998"/>
    <n v="4.84"/>
  </r>
  <r>
    <x v="594"/>
    <x v="0"/>
    <x v="3"/>
    <x v="0"/>
    <n v="56"/>
    <n v="4340799.0999999996"/>
    <n v="910315.9"/>
    <n v="3430483.2"/>
    <n v="3.99"/>
    <n v="4.42"/>
  </r>
  <r>
    <x v="595"/>
    <x v="0"/>
    <x v="0"/>
    <x v="2"/>
    <n v="220"/>
    <n v="8535455.4700000007"/>
    <n v="2604585.66"/>
    <n v="5930869.7999999998"/>
    <n v="3.02"/>
    <n v="4.4400000000000004"/>
  </r>
  <r>
    <x v="228"/>
    <x v="0"/>
    <x v="3"/>
    <x v="0"/>
    <n v="465"/>
    <n v="34551950.609999999"/>
    <n v="7728832.8499999996"/>
    <n v="26823117.75"/>
    <n v="3.79"/>
    <n v="4.55"/>
  </r>
  <r>
    <x v="28"/>
    <x v="0"/>
    <x v="0"/>
    <x v="2"/>
    <n v="361"/>
    <n v="29236117"/>
    <n v="6891605.54"/>
    <n v="22344511.449999999"/>
    <n v="4.29"/>
    <n v="4.2300000000000004"/>
  </r>
  <r>
    <x v="596"/>
    <x v="0"/>
    <x v="2"/>
    <x v="0"/>
    <n v="484"/>
    <n v="24540243.73"/>
    <n v="7207089.7199999997"/>
    <n v="17333154.010000002"/>
    <n v="2.8"/>
    <n v="4.7300000000000004"/>
  </r>
  <r>
    <x v="597"/>
    <x v="0"/>
    <x v="4"/>
    <x v="0"/>
    <n v="474"/>
    <n v="39598335.990000002"/>
    <n v="12146316.32"/>
    <n v="27452019.670000002"/>
    <n v="0.84"/>
    <n v="4.08"/>
  </r>
  <r>
    <x v="598"/>
    <x v="0"/>
    <x v="2"/>
    <x v="2"/>
    <n v="281"/>
    <n v="10074681.25"/>
    <n v="3463913.25"/>
    <n v="6610768"/>
    <n v="1.44"/>
    <n v="3.56"/>
  </r>
  <r>
    <x v="497"/>
    <x v="0"/>
    <x v="2"/>
    <x v="1"/>
    <n v="55"/>
    <n v="3102949.94"/>
    <n v="904968.55"/>
    <n v="2197981.39"/>
    <n v="4.8600000000000003"/>
    <n v="3.6"/>
  </r>
  <r>
    <x v="599"/>
    <x v="0"/>
    <x v="0"/>
    <x v="1"/>
    <n v="362"/>
    <n v="32215793.190000001"/>
    <n v="9983812.3800000008"/>
    <n v="22231980.809999999"/>
    <n v="2.81"/>
    <n v="4.9800000000000004"/>
  </r>
  <r>
    <x v="600"/>
    <x v="0"/>
    <x v="0"/>
    <x v="1"/>
    <n v="69"/>
    <n v="6199307.0300000003"/>
    <n v="1786566.78"/>
    <n v="4412740.25"/>
    <n v="1.95"/>
    <n v="3.83"/>
  </r>
  <r>
    <x v="601"/>
    <x v="0"/>
    <x v="3"/>
    <x v="2"/>
    <n v="231"/>
    <n v="17349927.41"/>
    <n v="4828800.79"/>
    <n v="12521126.619999999"/>
    <n v="3.68"/>
    <n v="4.0599999999999996"/>
  </r>
  <r>
    <x v="602"/>
    <x v="0"/>
    <x v="1"/>
    <x v="1"/>
    <n v="109"/>
    <n v="8147812.8200000003"/>
    <n v="2188943.35"/>
    <n v="5958869.4800000004"/>
    <n v="3.69"/>
    <n v="3.51"/>
  </r>
  <r>
    <x v="194"/>
    <x v="0"/>
    <x v="1"/>
    <x v="1"/>
    <n v="284"/>
    <n v="22925963.57"/>
    <n v="5308160.66"/>
    <n v="17617802.91"/>
    <n v="2.1800000000000002"/>
    <n v="4.45"/>
  </r>
  <r>
    <x v="603"/>
    <x v="0"/>
    <x v="2"/>
    <x v="2"/>
    <n v="366"/>
    <n v="14897049.83"/>
    <n v="5813848.7999999998"/>
    <n v="9083201.0299999993"/>
    <n v="3.11"/>
    <n v="4.1399999999999997"/>
  </r>
  <r>
    <x v="604"/>
    <x v="0"/>
    <x v="1"/>
    <x v="1"/>
    <n v="363"/>
    <n v="28316830.940000001"/>
    <n v="7069313.8799999999"/>
    <n v="21247517.07"/>
    <n v="4.1100000000000003"/>
    <n v="4.28"/>
  </r>
  <r>
    <x v="605"/>
    <x v="0"/>
    <x v="4"/>
    <x v="1"/>
    <n v="258"/>
    <n v="9237574.9900000002"/>
    <n v="3312146.74"/>
    <n v="5925428.25"/>
    <n v="3.71"/>
    <n v="4.08"/>
  </r>
  <r>
    <x v="606"/>
    <x v="0"/>
    <x v="3"/>
    <x v="2"/>
    <n v="141"/>
    <n v="6447032.6799999997"/>
    <n v="1430713.22"/>
    <n v="5016319.46"/>
    <n v="3.87"/>
    <n v="4.8600000000000003"/>
  </r>
  <r>
    <x v="607"/>
    <x v="0"/>
    <x v="0"/>
    <x v="2"/>
    <n v="264"/>
    <n v="18030578.719999999"/>
    <n v="5650195.1699999999"/>
    <n v="12380383.550000001"/>
    <n v="3.98"/>
    <n v="4.78"/>
  </r>
  <r>
    <x v="482"/>
    <x v="0"/>
    <x v="3"/>
    <x v="1"/>
    <n v="294"/>
    <n v="20515767.710000001"/>
    <n v="7564259.0899999999"/>
    <n v="12951508.619999999"/>
    <n v="2.63"/>
    <n v="4.57"/>
  </r>
  <r>
    <x v="234"/>
    <x v="0"/>
    <x v="0"/>
    <x v="2"/>
    <n v="103"/>
    <n v="5792890.9400000004"/>
    <n v="1635327.39"/>
    <n v="4157563.54"/>
    <n v="1.33"/>
    <n v="4.4000000000000004"/>
  </r>
  <r>
    <x v="531"/>
    <x v="0"/>
    <x v="0"/>
    <x v="2"/>
    <n v="435"/>
    <n v="25389556.420000002"/>
    <n v="5545899.1299999999"/>
    <n v="19843657.280000001"/>
    <n v="2.78"/>
    <n v="3.78"/>
  </r>
  <r>
    <x v="438"/>
    <x v="0"/>
    <x v="1"/>
    <x v="2"/>
    <n v="130"/>
    <n v="8730376.8399999999"/>
    <n v="3258786.75"/>
    <n v="5471590.0999999996"/>
    <n v="2.5"/>
    <n v="4.18"/>
  </r>
  <r>
    <x v="166"/>
    <x v="0"/>
    <x v="0"/>
    <x v="0"/>
    <n v="367"/>
    <n v="28917133.68"/>
    <n v="9994073.4800000004"/>
    <n v="18923060.199999999"/>
    <n v="3.62"/>
    <n v="3.9"/>
  </r>
  <r>
    <x v="608"/>
    <x v="0"/>
    <x v="0"/>
    <x v="0"/>
    <n v="215"/>
    <n v="16372853.23"/>
    <n v="5812225.7699999996"/>
    <n v="10560627.460000001"/>
    <n v="2.88"/>
    <n v="4.74"/>
  </r>
  <r>
    <x v="609"/>
    <x v="0"/>
    <x v="3"/>
    <x v="2"/>
    <n v="454"/>
    <n v="33235184.739999998"/>
    <n v="11840263.140000001"/>
    <n v="21394921.609999999"/>
    <n v="3.18"/>
    <n v="3.9"/>
  </r>
  <r>
    <x v="610"/>
    <x v="0"/>
    <x v="0"/>
    <x v="1"/>
    <n v="486"/>
    <n v="38793338.939999998"/>
    <n v="9480896.1799999997"/>
    <n v="29312442.760000002"/>
    <n v="3.92"/>
    <n v="3.78"/>
  </r>
  <r>
    <x v="611"/>
    <x v="0"/>
    <x v="4"/>
    <x v="0"/>
    <n v="389"/>
    <n v="30167510.579999998"/>
    <n v="7554918.6100000003"/>
    <n v="22612591.969999999"/>
    <n v="1.18"/>
    <n v="3.83"/>
  </r>
  <r>
    <x v="612"/>
    <x v="0"/>
    <x v="3"/>
    <x v="2"/>
    <n v="214"/>
    <n v="10545214.810000001"/>
    <n v="4147060.94"/>
    <n v="6398153.8700000001"/>
    <n v="4.46"/>
    <n v="3.87"/>
  </r>
  <r>
    <x v="354"/>
    <x v="0"/>
    <x v="4"/>
    <x v="0"/>
    <n v="54"/>
    <n v="3761218.44"/>
    <n v="858971.73"/>
    <n v="2902246.71"/>
    <n v="4.03"/>
    <n v="4.1399999999999997"/>
  </r>
  <r>
    <x v="613"/>
    <x v="0"/>
    <x v="4"/>
    <x v="2"/>
    <n v="415"/>
    <n v="34796297.659999996"/>
    <n v="11654737.23"/>
    <n v="23141560.43"/>
    <n v="4.55"/>
    <n v="4.99"/>
  </r>
  <r>
    <x v="614"/>
    <x v="0"/>
    <x v="3"/>
    <x v="1"/>
    <n v="279"/>
    <n v="11212454.359999999"/>
    <n v="2807587.95"/>
    <n v="8404866.4100000001"/>
    <n v="4.16"/>
    <n v="4.5599999999999996"/>
  </r>
  <r>
    <x v="615"/>
    <x v="0"/>
    <x v="1"/>
    <x v="1"/>
    <n v="87"/>
    <n v="3499182.33"/>
    <n v="700611.46"/>
    <n v="2798570.87"/>
    <n v="1.97"/>
    <n v="4.62"/>
  </r>
  <r>
    <x v="359"/>
    <x v="0"/>
    <x v="4"/>
    <x v="1"/>
    <n v="110"/>
    <n v="9041040.7899999991"/>
    <n v="1812496.69"/>
    <n v="7228544.0999999996"/>
    <n v="1.59"/>
    <n v="3.56"/>
  </r>
  <r>
    <x v="343"/>
    <x v="0"/>
    <x v="4"/>
    <x v="2"/>
    <n v="302"/>
    <n v="15853714.859999999"/>
    <n v="3293896.48"/>
    <n v="12559818.380000001"/>
    <n v="4.51"/>
    <n v="4.7699999999999996"/>
  </r>
  <r>
    <x v="616"/>
    <x v="0"/>
    <x v="4"/>
    <x v="0"/>
    <n v="487"/>
    <n v="32210149.809999999"/>
    <n v="10869134.75"/>
    <n v="21341015.07"/>
    <n v="3.44"/>
    <n v="3.85"/>
  </r>
  <r>
    <x v="617"/>
    <x v="0"/>
    <x v="4"/>
    <x v="2"/>
    <n v="215"/>
    <n v="7727796.1699999999"/>
    <n v="1674453.77"/>
    <n v="6053342.4000000004"/>
    <n v="3.68"/>
    <n v="3.96"/>
  </r>
  <r>
    <x v="77"/>
    <x v="0"/>
    <x v="4"/>
    <x v="1"/>
    <n v="232"/>
    <n v="18801646.449999999"/>
    <n v="5191036.0599999996"/>
    <n v="13610610.390000001"/>
    <n v="3.04"/>
    <n v="4.4400000000000004"/>
  </r>
  <r>
    <x v="78"/>
    <x v="0"/>
    <x v="4"/>
    <x v="1"/>
    <n v="390"/>
    <n v="22280084.789999999"/>
    <n v="7171542.1799999997"/>
    <n v="15108542.609999999"/>
    <n v="0.81"/>
    <n v="4.46"/>
  </r>
  <r>
    <x v="618"/>
    <x v="0"/>
    <x v="0"/>
    <x v="2"/>
    <n v="68"/>
    <n v="4034178.83"/>
    <n v="1042918.33"/>
    <n v="2991260.5"/>
    <n v="2.25"/>
    <n v="3.84"/>
  </r>
  <r>
    <x v="619"/>
    <x v="0"/>
    <x v="3"/>
    <x v="2"/>
    <n v="260"/>
    <n v="21518274.27"/>
    <n v="6975675.1200000001"/>
    <n v="14542599.15"/>
    <n v="2.17"/>
    <n v="4.43"/>
  </r>
  <r>
    <x v="466"/>
    <x v="0"/>
    <x v="1"/>
    <x v="1"/>
    <n v="240"/>
    <n v="11193593.859999999"/>
    <n v="2248499.4900000002"/>
    <n v="8945094.3699999992"/>
    <n v="4.92"/>
    <n v="4.47"/>
  </r>
  <r>
    <x v="120"/>
    <x v="0"/>
    <x v="1"/>
    <x v="0"/>
    <n v="162"/>
    <n v="9778997.0899999999"/>
    <n v="2073280.78"/>
    <n v="7705716.3099999996"/>
    <n v="2.77"/>
    <n v="4.92"/>
  </r>
  <r>
    <x v="620"/>
    <x v="0"/>
    <x v="4"/>
    <x v="0"/>
    <n v="238"/>
    <n v="17162952.699999999"/>
    <n v="4539492.47"/>
    <n v="12623460.220000001"/>
    <n v="2.1800000000000002"/>
    <n v="4.91"/>
  </r>
  <r>
    <x v="621"/>
    <x v="0"/>
    <x v="4"/>
    <x v="2"/>
    <n v="326"/>
    <n v="22735368.23"/>
    <n v="8846828.5500000007"/>
    <n v="13888539.67"/>
    <n v="3.4"/>
    <n v="4.96"/>
  </r>
  <r>
    <x v="622"/>
    <x v="0"/>
    <x v="2"/>
    <x v="0"/>
    <n v="231"/>
    <n v="11582536.75"/>
    <n v="4271161.04"/>
    <n v="7311375.7199999997"/>
    <n v="3.36"/>
    <n v="4.4000000000000004"/>
  </r>
  <r>
    <x v="623"/>
    <x v="0"/>
    <x v="0"/>
    <x v="0"/>
    <n v="192"/>
    <n v="8875998.8599999994"/>
    <n v="3475233.54"/>
    <n v="5400765.3200000003"/>
    <n v="3.11"/>
    <n v="4.18"/>
  </r>
  <r>
    <x v="336"/>
    <x v="0"/>
    <x v="0"/>
    <x v="0"/>
    <n v="479"/>
    <n v="21236495.449999999"/>
    <n v="8413284.1999999993"/>
    <n v="12823211.25"/>
    <n v="4.01"/>
    <n v="4.41"/>
  </r>
  <r>
    <x v="280"/>
    <x v="0"/>
    <x v="0"/>
    <x v="0"/>
    <n v="92"/>
    <n v="5515109.7400000002"/>
    <n v="1704309.61"/>
    <n v="3810800.13"/>
    <n v="3.59"/>
    <n v="4.87"/>
  </r>
  <r>
    <x v="624"/>
    <x v="0"/>
    <x v="3"/>
    <x v="1"/>
    <n v="205"/>
    <n v="12682788.26"/>
    <n v="4053705.25"/>
    <n v="8629083.0099999998"/>
    <n v="1.19"/>
    <n v="4.3600000000000003"/>
  </r>
  <r>
    <x v="625"/>
    <x v="0"/>
    <x v="1"/>
    <x v="0"/>
    <n v="279"/>
    <n v="19625353.43"/>
    <n v="7541796.3300000001"/>
    <n v="12083557.1"/>
    <n v="3.83"/>
    <n v="3.64"/>
  </r>
  <r>
    <x v="626"/>
    <x v="0"/>
    <x v="1"/>
    <x v="0"/>
    <n v="348"/>
    <n v="13175076.199999999"/>
    <n v="5186385.17"/>
    <n v="7988691.0199999996"/>
    <n v="2.41"/>
    <n v="3.63"/>
  </r>
  <r>
    <x v="627"/>
    <x v="0"/>
    <x v="0"/>
    <x v="0"/>
    <n v="177"/>
    <n v="12194821.58"/>
    <n v="4277245.82"/>
    <n v="7917575.7599999998"/>
    <n v="3.61"/>
    <n v="4.4000000000000004"/>
  </r>
  <r>
    <x v="628"/>
    <x v="0"/>
    <x v="0"/>
    <x v="2"/>
    <n v="94"/>
    <n v="8336886.6600000001"/>
    <n v="2195179.33"/>
    <n v="6141707.3300000001"/>
    <n v="2.19"/>
    <n v="4.7"/>
  </r>
  <r>
    <x v="629"/>
    <x v="0"/>
    <x v="2"/>
    <x v="0"/>
    <n v="305"/>
    <n v="24139291.239999998"/>
    <n v="4841193.28"/>
    <n v="19298097.960000001"/>
    <n v="0.64"/>
    <n v="4.8499999999999996"/>
  </r>
  <r>
    <x v="630"/>
    <x v="0"/>
    <x v="2"/>
    <x v="1"/>
    <n v="288"/>
    <n v="19632146.550000001"/>
    <n v="5422432"/>
    <n v="14209714.550000001"/>
    <n v="4.7300000000000004"/>
    <n v="4.66"/>
  </r>
  <r>
    <x v="631"/>
    <x v="0"/>
    <x v="0"/>
    <x v="0"/>
    <n v="415"/>
    <n v="22177744.32"/>
    <n v="8573842.5999999996"/>
    <n v="13603901.720000001"/>
    <n v="4.8899999999999997"/>
    <n v="4.7300000000000004"/>
  </r>
  <r>
    <x v="632"/>
    <x v="0"/>
    <x v="2"/>
    <x v="1"/>
    <n v="113"/>
    <n v="9498115.6400000006"/>
    <n v="3217863.82"/>
    <n v="6280251.8200000003"/>
    <n v="2.98"/>
    <n v="4.68"/>
  </r>
  <r>
    <x v="633"/>
    <x v="0"/>
    <x v="1"/>
    <x v="1"/>
    <n v="120"/>
    <n v="5591234.4699999997"/>
    <n v="1980006.22"/>
    <n v="3611228.25"/>
    <n v="2.61"/>
    <n v="3.9"/>
  </r>
  <r>
    <x v="634"/>
    <x v="0"/>
    <x v="0"/>
    <x v="1"/>
    <n v="443"/>
    <n v="17328018.66"/>
    <n v="5411690.2400000002"/>
    <n v="11916328.43"/>
    <n v="2.88"/>
    <n v="4.9800000000000004"/>
  </r>
  <r>
    <x v="635"/>
    <x v="0"/>
    <x v="2"/>
    <x v="1"/>
    <n v="345"/>
    <n v="14246338.07"/>
    <n v="5673729.0800000001"/>
    <n v="8572608.9800000004"/>
    <n v="1.2"/>
    <n v="3.81"/>
  </r>
  <r>
    <x v="636"/>
    <x v="0"/>
    <x v="3"/>
    <x v="0"/>
    <n v="241"/>
    <n v="12403326.619999999"/>
    <n v="4384561.09"/>
    <n v="8018765.5199999996"/>
    <n v="1.08"/>
    <n v="3.88"/>
  </r>
  <r>
    <x v="637"/>
    <x v="0"/>
    <x v="0"/>
    <x v="0"/>
    <n v="98"/>
    <n v="5336425.1399999997"/>
    <n v="1811738.72"/>
    <n v="3524686.42"/>
    <n v="4.8899999999999997"/>
    <n v="3.76"/>
  </r>
  <r>
    <x v="299"/>
    <x v="0"/>
    <x v="3"/>
    <x v="1"/>
    <n v="53"/>
    <n v="2283277.41"/>
    <n v="756840.18"/>
    <n v="1526437.23"/>
    <n v="4.3899999999999997"/>
    <n v="3.73"/>
  </r>
  <r>
    <x v="133"/>
    <x v="0"/>
    <x v="4"/>
    <x v="2"/>
    <n v="327"/>
    <n v="20159415.84"/>
    <n v="6844446.2000000002"/>
    <n v="13314969.640000001"/>
    <n v="3.04"/>
    <n v="4.71"/>
  </r>
  <r>
    <x v="290"/>
    <x v="0"/>
    <x v="1"/>
    <x v="1"/>
    <n v="241"/>
    <n v="16132166.369999999"/>
    <n v="4821876.26"/>
    <n v="11310290.1"/>
    <n v="1.1499999999999999"/>
    <n v="4.4400000000000004"/>
  </r>
  <r>
    <x v="81"/>
    <x v="0"/>
    <x v="4"/>
    <x v="2"/>
    <n v="161"/>
    <n v="7177925.3200000003"/>
    <n v="1614450.89"/>
    <n v="5563474.4299999997"/>
    <n v="2.4900000000000002"/>
    <n v="4.9800000000000004"/>
  </r>
  <r>
    <x v="638"/>
    <x v="0"/>
    <x v="4"/>
    <x v="2"/>
    <n v="362"/>
    <n v="26909362.309999999"/>
    <n v="9246492.5899999999"/>
    <n v="17662869.719999999"/>
    <n v="2.14"/>
    <n v="3.79"/>
  </r>
  <r>
    <x v="639"/>
    <x v="0"/>
    <x v="0"/>
    <x v="2"/>
    <n v="138"/>
    <n v="9188842.6899999995"/>
    <n v="2449355.2400000002"/>
    <n v="6739487.46"/>
    <n v="4"/>
    <n v="4.79"/>
  </r>
  <r>
    <x v="136"/>
    <x v="0"/>
    <x v="4"/>
    <x v="1"/>
    <n v="320"/>
    <n v="11991321.369999999"/>
    <n v="4493492.3099999996"/>
    <n v="7497829.0599999996"/>
    <n v="3.03"/>
    <n v="4.6500000000000004"/>
  </r>
  <r>
    <x v="240"/>
    <x v="0"/>
    <x v="4"/>
    <x v="1"/>
    <n v="89"/>
    <n v="4933332.25"/>
    <n v="1780768.65"/>
    <n v="3152563.61"/>
    <n v="2.7"/>
    <n v="4.6100000000000003"/>
  </r>
  <r>
    <x v="640"/>
    <x v="0"/>
    <x v="2"/>
    <x v="0"/>
    <n v="496"/>
    <n v="32625311.149999999"/>
    <n v="8567151.25"/>
    <n v="24058159.899999999"/>
    <n v="3.46"/>
    <n v="3.68"/>
  </r>
  <r>
    <x v="641"/>
    <x v="0"/>
    <x v="1"/>
    <x v="2"/>
    <n v="97"/>
    <n v="5565303.6100000003"/>
    <n v="1860778.07"/>
    <n v="3704525.55"/>
    <n v="2.54"/>
    <n v="4.6399999999999997"/>
  </r>
  <r>
    <x v="642"/>
    <x v="0"/>
    <x v="1"/>
    <x v="2"/>
    <n v="367"/>
    <n v="31078070.420000002"/>
    <n v="6900054.3399999999"/>
    <n v="24178016.079999998"/>
    <n v="4.18"/>
    <n v="4.2699999999999996"/>
  </r>
  <r>
    <x v="226"/>
    <x v="0"/>
    <x v="2"/>
    <x v="0"/>
    <n v="126"/>
    <n v="8424649.25"/>
    <n v="2544876.83"/>
    <n v="5879772.4199999999"/>
    <n v="3.4"/>
    <n v="3.84"/>
  </r>
  <r>
    <x v="643"/>
    <x v="0"/>
    <x v="0"/>
    <x v="1"/>
    <n v="88"/>
    <n v="7592442.1500000004"/>
    <n v="1910861.86"/>
    <n v="5681580.29"/>
    <n v="1.76"/>
    <n v="3.7"/>
  </r>
  <r>
    <x v="644"/>
    <x v="0"/>
    <x v="0"/>
    <x v="1"/>
    <n v="169"/>
    <n v="7637087.9500000002"/>
    <n v="2629230.87"/>
    <n v="5007857.09"/>
    <n v="1.48"/>
    <n v="3.77"/>
  </r>
  <r>
    <x v="645"/>
    <x v="0"/>
    <x v="4"/>
    <x v="0"/>
    <n v="275"/>
    <n v="23285760.530000001"/>
    <n v="6502078.3399999999"/>
    <n v="16783682.190000001"/>
    <n v="3.09"/>
    <n v="4.34"/>
  </r>
  <r>
    <x v="646"/>
    <x v="0"/>
    <x v="0"/>
    <x v="1"/>
    <n v="367"/>
    <n v="15731477.66"/>
    <n v="5114151.5999999996"/>
    <n v="10617326.060000001"/>
    <n v="4.09"/>
    <n v="4.05"/>
  </r>
  <r>
    <x v="349"/>
    <x v="0"/>
    <x v="3"/>
    <x v="2"/>
    <n v="236"/>
    <n v="12640494.630000001"/>
    <n v="3212041.28"/>
    <n v="9428453.3499999996"/>
    <n v="3.08"/>
    <n v="4.01"/>
  </r>
  <r>
    <x v="647"/>
    <x v="0"/>
    <x v="3"/>
    <x v="1"/>
    <n v="357"/>
    <n v="25704733.199999999"/>
    <n v="9148292.6300000008"/>
    <n v="16556440.57"/>
    <n v="1.48"/>
    <n v="4.8099999999999996"/>
  </r>
  <r>
    <x v="648"/>
    <x v="0"/>
    <x v="1"/>
    <x v="0"/>
    <n v="432"/>
    <n v="21374756.949999999"/>
    <n v="8547109.5700000003"/>
    <n v="12827647.390000001"/>
    <n v="4.42"/>
    <n v="4.6900000000000004"/>
  </r>
  <r>
    <x v="649"/>
    <x v="0"/>
    <x v="4"/>
    <x v="2"/>
    <n v="325"/>
    <n v="18105478.890000001"/>
    <n v="6401895.5"/>
    <n v="11703583.4"/>
    <n v="1.69"/>
    <n v="4.33"/>
  </r>
  <r>
    <x v="650"/>
    <x v="0"/>
    <x v="1"/>
    <x v="1"/>
    <n v="322"/>
    <n v="16475838.58"/>
    <n v="5809101.5499999998"/>
    <n v="10666737.02"/>
    <n v="4.7699999999999996"/>
    <n v="4.92"/>
  </r>
  <r>
    <x v="616"/>
    <x v="0"/>
    <x v="4"/>
    <x v="0"/>
    <n v="377"/>
    <n v="17498361.309999999"/>
    <n v="6165909.29"/>
    <n v="11332452.029999999"/>
    <n v="4.59"/>
    <n v="4.2"/>
  </r>
  <r>
    <x v="580"/>
    <x v="0"/>
    <x v="1"/>
    <x v="0"/>
    <n v="205"/>
    <n v="15750490.369999999"/>
    <n v="5813530.5499999998"/>
    <n v="9936959.8200000003"/>
    <n v="2.69"/>
    <n v="4.1399999999999997"/>
  </r>
  <r>
    <x v="158"/>
    <x v="0"/>
    <x v="3"/>
    <x v="1"/>
    <n v="450"/>
    <n v="33176060.969999999"/>
    <n v="7065359.1500000004"/>
    <n v="26110701.809999999"/>
    <n v="2.19"/>
    <n v="4.5599999999999996"/>
  </r>
  <r>
    <x v="651"/>
    <x v="0"/>
    <x v="0"/>
    <x v="0"/>
    <n v="387"/>
    <n v="17178527.510000002"/>
    <n v="6766746.75"/>
    <n v="10411780.76"/>
    <n v="1.42"/>
    <n v="4.01"/>
  </r>
  <r>
    <x v="178"/>
    <x v="0"/>
    <x v="2"/>
    <x v="2"/>
    <n v="473"/>
    <n v="22453671.91"/>
    <n v="5972530.6100000003"/>
    <n v="16481141.300000001"/>
    <n v="2.61"/>
    <n v="4.66"/>
  </r>
  <r>
    <x v="652"/>
    <x v="0"/>
    <x v="4"/>
    <x v="0"/>
    <n v="102"/>
    <n v="3851863.29"/>
    <n v="1513850.41"/>
    <n v="2338012.88"/>
    <n v="2.98"/>
    <n v="4.16"/>
  </r>
  <r>
    <x v="653"/>
    <x v="0"/>
    <x v="3"/>
    <x v="2"/>
    <n v="231"/>
    <n v="20744240.32"/>
    <n v="4995182.3600000003"/>
    <n v="15749057.960000001"/>
    <n v="3.89"/>
    <n v="3.82"/>
  </r>
  <r>
    <x v="654"/>
    <x v="0"/>
    <x v="0"/>
    <x v="2"/>
    <n v="337"/>
    <n v="12714602.41"/>
    <n v="3243245.14"/>
    <n v="9471357.2699999996"/>
    <n v="1"/>
    <n v="4.41"/>
  </r>
  <r>
    <x v="655"/>
    <x v="0"/>
    <x v="2"/>
    <x v="0"/>
    <n v="121"/>
    <n v="10373355.609999999"/>
    <n v="2706149.87"/>
    <n v="7667205.7400000002"/>
    <n v="3.25"/>
    <n v="3.8"/>
  </r>
  <r>
    <x v="656"/>
    <x v="0"/>
    <x v="2"/>
    <x v="2"/>
    <n v="420"/>
    <n v="32042778.899999999"/>
    <n v="12012925.630000001"/>
    <n v="20029853.27"/>
    <n v="3.98"/>
    <n v="3.86"/>
  </r>
  <r>
    <x v="43"/>
    <x v="0"/>
    <x v="2"/>
    <x v="2"/>
    <n v="270"/>
    <n v="22168927.030000001"/>
    <n v="5165067.6100000003"/>
    <n v="17003859.420000002"/>
    <n v="4.67"/>
    <n v="4.05"/>
  </r>
  <r>
    <x v="425"/>
    <x v="0"/>
    <x v="2"/>
    <x v="1"/>
    <n v="151"/>
    <n v="5444086.3099999996"/>
    <n v="1277336.6499999999"/>
    <n v="4166749.66"/>
    <n v="2.86"/>
    <n v="4.66"/>
  </r>
  <r>
    <x v="612"/>
    <x v="0"/>
    <x v="2"/>
    <x v="1"/>
    <n v="276"/>
    <n v="16014079.09"/>
    <n v="5468755.4000000004"/>
    <n v="10545323.689999999"/>
    <n v="1.99"/>
    <n v="3.94"/>
  </r>
  <r>
    <x v="657"/>
    <x v="0"/>
    <x v="1"/>
    <x v="1"/>
    <n v="153"/>
    <n v="13207920.810000001"/>
    <n v="4581837.22"/>
    <n v="8626083.5899999999"/>
    <n v="3.25"/>
    <n v="4.5199999999999996"/>
  </r>
  <r>
    <x v="658"/>
    <x v="0"/>
    <x v="2"/>
    <x v="1"/>
    <n v="77"/>
    <n v="6286742.6100000003"/>
    <n v="1323784.98"/>
    <n v="4962957.63"/>
    <n v="4.4800000000000004"/>
    <n v="4.6100000000000003"/>
  </r>
  <r>
    <x v="590"/>
    <x v="0"/>
    <x v="4"/>
    <x v="1"/>
    <n v="267"/>
    <n v="22751391.809999999"/>
    <n v="7554507.54"/>
    <n v="15196884.26"/>
    <n v="2.5499999999999998"/>
    <n v="4.5199999999999996"/>
  </r>
  <r>
    <x v="641"/>
    <x v="0"/>
    <x v="0"/>
    <x v="2"/>
    <n v="154"/>
    <n v="8328124.2199999997"/>
    <n v="2605628.9"/>
    <n v="5722495.3200000003"/>
    <n v="4.08"/>
    <n v="3.92"/>
  </r>
  <r>
    <x v="659"/>
    <x v="0"/>
    <x v="4"/>
    <x v="0"/>
    <n v="287"/>
    <n v="11291058.48"/>
    <n v="3516491.46"/>
    <n v="7774567.0199999996"/>
    <n v="1.67"/>
    <n v="4.0199999999999996"/>
  </r>
  <r>
    <x v="660"/>
    <x v="0"/>
    <x v="2"/>
    <x v="1"/>
    <n v="345"/>
    <n v="22340530.010000002"/>
    <n v="4535816.82"/>
    <n v="17804713.18"/>
    <n v="4.7300000000000004"/>
    <n v="4.18"/>
  </r>
  <r>
    <x v="253"/>
    <x v="0"/>
    <x v="4"/>
    <x v="0"/>
    <n v="471"/>
    <n v="18086148.170000002"/>
    <n v="6900370.0300000003"/>
    <n v="11185778.140000001"/>
    <n v="1.23"/>
    <n v="4.3899999999999997"/>
  </r>
  <r>
    <x v="661"/>
    <x v="0"/>
    <x v="1"/>
    <x v="1"/>
    <n v="424"/>
    <n v="37415541.219999999"/>
    <n v="11623403.32"/>
    <n v="25792137.890000001"/>
    <n v="2.76"/>
    <n v="3.87"/>
  </r>
  <r>
    <x v="662"/>
    <x v="0"/>
    <x v="1"/>
    <x v="2"/>
    <n v="167"/>
    <n v="11924676.720000001"/>
    <n v="2978361.78"/>
    <n v="8946314.9299999997"/>
    <n v="3.89"/>
    <n v="4.37"/>
  </r>
  <r>
    <x v="663"/>
    <x v="0"/>
    <x v="1"/>
    <x v="2"/>
    <n v="372"/>
    <n v="19040697.43"/>
    <n v="7179116.2599999998"/>
    <n v="11861581.17"/>
    <n v="4.74"/>
    <n v="4.68"/>
  </r>
  <r>
    <x v="664"/>
    <x v="0"/>
    <x v="3"/>
    <x v="2"/>
    <n v="212"/>
    <n v="9897135.25"/>
    <n v="2645457.5499999998"/>
    <n v="7251677.7000000002"/>
    <n v="2.35"/>
    <n v="4.0999999999999996"/>
  </r>
  <r>
    <x v="665"/>
    <x v="0"/>
    <x v="1"/>
    <x v="2"/>
    <n v="400"/>
    <n v="21848911.66"/>
    <n v="5429609.9100000001"/>
    <n v="16419301.74"/>
    <n v="1.83"/>
    <n v="3.95"/>
  </r>
  <r>
    <x v="383"/>
    <x v="0"/>
    <x v="0"/>
    <x v="1"/>
    <n v="417"/>
    <n v="20824907.010000002"/>
    <n v="7536076.4000000004"/>
    <n v="13288830.619999999"/>
    <n v="1.33"/>
    <n v="4.01"/>
  </r>
  <r>
    <x v="666"/>
    <x v="0"/>
    <x v="3"/>
    <x v="1"/>
    <n v="389"/>
    <n v="31393157.510000002"/>
    <n v="11804511.01"/>
    <n v="19588646.510000002"/>
    <n v="3.81"/>
    <n v="4.3"/>
  </r>
  <r>
    <x v="667"/>
    <x v="0"/>
    <x v="4"/>
    <x v="2"/>
    <n v="343"/>
    <n v="24873819.390000001"/>
    <n v="5224001.2"/>
    <n v="19649818.190000001"/>
    <n v="1.1200000000000001"/>
    <n v="4.5999999999999996"/>
  </r>
  <r>
    <x v="668"/>
    <x v="0"/>
    <x v="2"/>
    <x v="1"/>
    <n v="74"/>
    <n v="3259130.5"/>
    <n v="1227660.31"/>
    <n v="2031470.19"/>
    <n v="2.96"/>
    <n v="4.8499999999999996"/>
  </r>
  <r>
    <x v="197"/>
    <x v="0"/>
    <x v="1"/>
    <x v="0"/>
    <n v="161"/>
    <n v="7564581.6100000003"/>
    <n v="3002871.29"/>
    <n v="4561710.32"/>
    <n v="3.12"/>
    <n v="3.66"/>
  </r>
  <r>
    <x v="463"/>
    <x v="0"/>
    <x v="1"/>
    <x v="1"/>
    <n v="276"/>
    <n v="18261067.829999998"/>
    <n v="4904811.43"/>
    <n v="13356256.4"/>
    <n v="4.54"/>
    <n v="4.0999999999999996"/>
  </r>
  <r>
    <x v="103"/>
    <x v="0"/>
    <x v="4"/>
    <x v="2"/>
    <n v="394"/>
    <n v="34217424.359999999"/>
    <n v="13120780.6"/>
    <n v="21096643.77"/>
    <n v="1.64"/>
    <n v="4.67"/>
  </r>
  <r>
    <x v="70"/>
    <x v="0"/>
    <x v="4"/>
    <x v="0"/>
    <n v="427"/>
    <n v="28492495.600000001"/>
    <n v="8752998.9399999995"/>
    <n v="19739496.66"/>
    <n v="1.03"/>
    <n v="4.97"/>
  </r>
  <r>
    <x v="336"/>
    <x v="0"/>
    <x v="0"/>
    <x v="1"/>
    <n v="398"/>
    <n v="18883165.239999998"/>
    <n v="4170543.57"/>
    <n v="14712621.67"/>
    <n v="4.03"/>
    <n v="4.55"/>
  </r>
  <r>
    <x v="496"/>
    <x v="0"/>
    <x v="0"/>
    <x v="1"/>
    <n v="356"/>
    <n v="25357691.370000001"/>
    <n v="7443537.9299999997"/>
    <n v="17914153.440000001"/>
    <n v="0.96"/>
    <n v="3.76"/>
  </r>
  <r>
    <x v="669"/>
    <x v="0"/>
    <x v="2"/>
    <x v="0"/>
    <n v="428"/>
    <n v="32591705.850000001"/>
    <n v="9378226.3499999996"/>
    <n v="23213479.510000002"/>
    <n v="1.61"/>
    <n v="4.1399999999999997"/>
  </r>
  <r>
    <x v="670"/>
    <x v="0"/>
    <x v="4"/>
    <x v="2"/>
    <n v="143"/>
    <n v="7047311.1500000004"/>
    <n v="1452135.63"/>
    <n v="5595175.5199999996"/>
    <n v="2.44"/>
    <n v="4.0199999999999996"/>
  </r>
  <r>
    <x v="302"/>
    <x v="0"/>
    <x v="1"/>
    <x v="2"/>
    <n v="296"/>
    <n v="12243617.460000001"/>
    <n v="4830719.24"/>
    <n v="7412898.2199999997"/>
    <n v="2.86"/>
    <n v="3.83"/>
  </r>
  <r>
    <x v="18"/>
    <x v="0"/>
    <x v="2"/>
    <x v="2"/>
    <n v="150"/>
    <n v="10315255.029999999"/>
    <n v="3604442.82"/>
    <n v="6710812.21"/>
    <n v="3.1"/>
    <n v="4.04"/>
  </r>
  <r>
    <x v="671"/>
    <x v="0"/>
    <x v="3"/>
    <x v="2"/>
    <n v="454"/>
    <n v="34497132"/>
    <n v="13271461.6"/>
    <n v="21225670.390000001"/>
    <n v="4.53"/>
    <n v="4.6900000000000004"/>
  </r>
  <r>
    <x v="672"/>
    <x v="0"/>
    <x v="4"/>
    <x v="0"/>
    <n v="239"/>
    <n v="18956117.440000001"/>
    <n v="6338245.21"/>
    <n v="12617872.23"/>
    <n v="1.44"/>
    <n v="3.63"/>
  </r>
  <r>
    <x v="673"/>
    <x v="0"/>
    <x v="3"/>
    <x v="1"/>
    <n v="386"/>
    <n v="21117444.760000002"/>
    <n v="4591386.75"/>
    <n v="16526058.01"/>
    <n v="3.05"/>
    <n v="3.77"/>
  </r>
  <r>
    <x v="674"/>
    <x v="0"/>
    <x v="2"/>
    <x v="0"/>
    <n v="121"/>
    <n v="9614940.1899999995"/>
    <n v="2262157.73"/>
    <n v="7352782.4699999997"/>
    <n v="2.23"/>
    <n v="4.1900000000000004"/>
  </r>
  <r>
    <x v="675"/>
    <x v="0"/>
    <x v="0"/>
    <x v="2"/>
    <n v="294"/>
    <n v="13592670.09"/>
    <n v="5391515.4500000002"/>
    <n v="8201154.6399999997"/>
    <n v="3.56"/>
    <n v="3.61"/>
  </r>
  <r>
    <x v="526"/>
    <x v="0"/>
    <x v="3"/>
    <x v="2"/>
    <n v="456"/>
    <n v="29291829.59"/>
    <n v="11525403.109999999"/>
    <n v="17766426.48"/>
    <n v="2.64"/>
    <n v="4.1100000000000003"/>
  </r>
  <r>
    <x v="676"/>
    <x v="0"/>
    <x v="3"/>
    <x v="2"/>
    <n v="247"/>
    <n v="17531765.699999999"/>
    <n v="4841435.55"/>
    <n v="12690330.140000001"/>
    <n v="1.99"/>
    <n v="4.8899999999999997"/>
  </r>
  <r>
    <x v="677"/>
    <x v="0"/>
    <x v="2"/>
    <x v="2"/>
    <n v="62"/>
    <n v="2933780.48"/>
    <n v="1033193.85"/>
    <n v="1900586.64"/>
    <n v="2.81"/>
    <n v="4.66"/>
  </r>
  <r>
    <x v="678"/>
    <x v="0"/>
    <x v="3"/>
    <x v="0"/>
    <n v="288"/>
    <n v="20562559.280000001"/>
    <n v="7909170.2699999996"/>
    <n v="12653389.02"/>
    <n v="2.1"/>
    <n v="4.33"/>
  </r>
  <r>
    <x v="679"/>
    <x v="0"/>
    <x v="4"/>
    <x v="2"/>
    <n v="465"/>
    <n v="40320185.119999997"/>
    <n v="15750791.26"/>
    <n v="24569393.859999999"/>
    <n v="1.94"/>
    <n v="4.16"/>
  </r>
  <r>
    <x v="680"/>
    <x v="0"/>
    <x v="3"/>
    <x v="1"/>
    <n v="376"/>
    <n v="18440356.210000001"/>
    <n v="6985670.46"/>
    <n v="11454685.75"/>
    <n v="2.1"/>
    <n v="4.12"/>
  </r>
  <r>
    <x v="168"/>
    <x v="0"/>
    <x v="0"/>
    <x v="0"/>
    <n v="363"/>
    <n v="23441836.289999999"/>
    <n v="8072901.8600000003"/>
    <n v="15368934.439999999"/>
    <n v="1.48"/>
    <n v="3.93"/>
  </r>
  <r>
    <x v="681"/>
    <x v="0"/>
    <x v="3"/>
    <x v="0"/>
    <n v="345"/>
    <n v="15050521.08"/>
    <n v="3529942.74"/>
    <n v="11520578.34"/>
    <n v="0.69"/>
    <n v="4.13"/>
  </r>
  <r>
    <x v="58"/>
    <x v="0"/>
    <x v="1"/>
    <x v="1"/>
    <n v="333"/>
    <n v="21147228.170000002"/>
    <n v="5455499.4699999997"/>
    <n v="15691728.699999999"/>
    <n v="0.93"/>
    <n v="3.98"/>
  </r>
  <r>
    <x v="682"/>
    <x v="0"/>
    <x v="1"/>
    <x v="2"/>
    <n v="320"/>
    <n v="24074159.93"/>
    <n v="5016486.74"/>
    <n v="19057673.190000001"/>
    <n v="1.49"/>
    <n v="4.83"/>
  </r>
  <r>
    <x v="339"/>
    <x v="0"/>
    <x v="4"/>
    <x v="2"/>
    <n v="413"/>
    <n v="35271492.670000002"/>
    <n v="9626194.5"/>
    <n v="25645298.170000002"/>
    <n v="3.33"/>
    <n v="4.0999999999999996"/>
  </r>
  <r>
    <x v="683"/>
    <x v="0"/>
    <x v="2"/>
    <x v="1"/>
    <n v="279"/>
    <n v="17917706.710000001"/>
    <n v="4739455.3499999996"/>
    <n v="13178251.359999999"/>
    <n v="2.4300000000000002"/>
    <n v="4.5999999999999996"/>
  </r>
  <r>
    <x v="76"/>
    <x v="0"/>
    <x v="1"/>
    <x v="1"/>
    <n v="220"/>
    <n v="18512494.5"/>
    <n v="4968549.95"/>
    <n v="13543944.550000001"/>
    <n v="0.54"/>
    <n v="4.91"/>
  </r>
  <r>
    <x v="656"/>
    <x v="0"/>
    <x v="4"/>
    <x v="1"/>
    <n v="157"/>
    <n v="8768014.5899999999"/>
    <n v="1902552.67"/>
    <n v="6865461.9299999997"/>
    <n v="1.63"/>
    <n v="4.7699999999999996"/>
  </r>
  <r>
    <x v="684"/>
    <x v="0"/>
    <x v="2"/>
    <x v="0"/>
    <n v="473"/>
    <n v="30797470.809999999"/>
    <n v="10628917.949999999"/>
    <n v="20168552.859999999"/>
    <n v="4.5599999999999996"/>
    <n v="3.82"/>
  </r>
  <r>
    <x v="208"/>
    <x v="0"/>
    <x v="1"/>
    <x v="2"/>
    <n v="425"/>
    <n v="15792922.560000001"/>
    <n v="5458038.4400000004"/>
    <n v="10334884.119999999"/>
    <n v="0.53"/>
    <n v="4.97"/>
  </r>
  <r>
    <x v="685"/>
    <x v="0"/>
    <x v="4"/>
    <x v="1"/>
    <n v="437"/>
    <n v="23090651.489999998"/>
    <n v="8156094.0899999999"/>
    <n v="14934557.4"/>
    <n v="1.45"/>
    <n v="4.79"/>
  </r>
  <r>
    <x v="686"/>
    <x v="0"/>
    <x v="1"/>
    <x v="0"/>
    <n v="340"/>
    <n v="29604341.780000001"/>
    <n v="9472132.5099999998"/>
    <n v="20132209.260000002"/>
    <n v="4.0199999999999996"/>
    <n v="3.9"/>
  </r>
  <r>
    <x v="117"/>
    <x v="0"/>
    <x v="1"/>
    <x v="2"/>
    <n v="300"/>
    <n v="23373122.93"/>
    <n v="4685737"/>
    <n v="18687385.93"/>
    <n v="1.36"/>
    <n v="4.1900000000000004"/>
  </r>
  <r>
    <x v="679"/>
    <x v="0"/>
    <x v="4"/>
    <x v="1"/>
    <n v="67"/>
    <n v="2788628.23"/>
    <n v="592009.16"/>
    <n v="2196619.0699999998"/>
    <n v="1.32"/>
    <n v="4.43"/>
  </r>
  <r>
    <x v="687"/>
    <x v="0"/>
    <x v="3"/>
    <x v="1"/>
    <n v="224"/>
    <n v="13012535.960000001"/>
    <n v="3911840.22"/>
    <n v="9100695.7300000004"/>
    <n v="4.63"/>
    <n v="4.66"/>
  </r>
  <r>
    <x v="688"/>
    <x v="0"/>
    <x v="2"/>
    <x v="0"/>
    <n v="286"/>
    <n v="18904056.09"/>
    <n v="5889550.0700000003"/>
    <n v="13014506.02"/>
    <n v="4.09"/>
    <n v="4.59"/>
  </r>
  <r>
    <x v="364"/>
    <x v="0"/>
    <x v="0"/>
    <x v="1"/>
    <n v="363"/>
    <n v="19503977.640000001"/>
    <n v="4661592.1399999997"/>
    <n v="14842385.5"/>
    <n v="0.74"/>
    <n v="3.74"/>
  </r>
  <r>
    <x v="689"/>
    <x v="0"/>
    <x v="3"/>
    <x v="1"/>
    <n v="97"/>
    <n v="4264706.97"/>
    <n v="1506454.14"/>
    <n v="2758252.83"/>
    <n v="0.61"/>
    <n v="4.75"/>
  </r>
  <r>
    <x v="690"/>
    <x v="0"/>
    <x v="2"/>
    <x v="2"/>
    <n v="222"/>
    <n v="11489194.76"/>
    <n v="3987863.19"/>
    <n v="7501331.5800000001"/>
    <n v="1.76"/>
    <n v="3.92"/>
  </r>
  <r>
    <x v="647"/>
    <x v="0"/>
    <x v="4"/>
    <x v="0"/>
    <n v="170"/>
    <n v="9873516.0299999993"/>
    <n v="3849442.05"/>
    <n v="6024073.9800000004"/>
    <n v="0.68"/>
    <n v="4.3600000000000003"/>
  </r>
  <r>
    <x v="233"/>
    <x v="0"/>
    <x v="2"/>
    <x v="1"/>
    <n v="67"/>
    <n v="5506564.5099999998"/>
    <n v="1397392.79"/>
    <n v="4109171.72"/>
    <n v="4.76"/>
    <n v="4.67"/>
  </r>
  <r>
    <x v="691"/>
    <x v="0"/>
    <x v="3"/>
    <x v="0"/>
    <n v="480"/>
    <n v="23343856.670000002"/>
    <n v="6080064.7699999996"/>
    <n v="17263791.899999999"/>
    <n v="2.14"/>
    <n v="4.3499999999999996"/>
  </r>
  <r>
    <x v="692"/>
    <x v="0"/>
    <x v="2"/>
    <x v="2"/>
    <n v="295"/>
    <n v="19154623.300000001"/>
    <n v="6607428.75"/>
    <n v="12547194.550000001"/>
    <n v="3.69"/>
    <n v="3.91"/>
  </r>
  <r>
    <x v="693"/>
    <x v="0"/>
    <x v="4"/>
    <x v="1"/>
    <n v="312"/>
    <n v="13184524.880000001"/>
    <n v="3920594.93"/>
    <n v="9263929.9600000009"/>
    <n v="1.38"/>
    <n v="3.64"/>
  </r>
  <r>
    <x v="581"/>
    <x v="0"/>
    <x v="3"/>
    <x v="0"/>
    <n v="190"/>
    <n v="15348198.99"/>
    <n v="3666227.96"/>
    <n v="11681971.029999999"/>
    <n v="1.51"/>
    <n v="3.84"/>
  </r>
  <r>
    <x v="694"/>
    <x v="0"/>
    <x v="4"/>
    <x v="2"/>
    <n v="57"/>
    <n v="4911799.05"/>
    <n v="1871040.88"/>
    <n v="3040758.16"/>
    <n v="2.5299999999999998"/>
    <n v="4.01"/>
  </r>
  <r>
    <x v="178"/>
    <x v="0"/>
    <x v="0"/>
    <x v="0"/>
    <n v="125"/>
    <n v="6350371.1799999997"/>
    <n v="2184850.3199999998"/>
    <n v="4165520.85"/>
    <n v="1.99"/>
    <n v="4.49"/>
  </r>
  <r>
    <x v="312"/>
    <x v="0"/>
    <x v="3"/>
    <x v="2"/>
    <n v="229"/>
    <n v="14218483.119999999"/>
    <n v="4430174.97"/>
    <n v="9788308.1500000004"/>
    <n v="2"/>
    <n v="4.09"/>
  </r>
  <r>
    <x v="556"/>
    <x v="0"/>
    <x v="2"/>
    <x v="2"/>
    <n v="479"/>
    <n v="31327524.59"/>
    <n v="11176091.09"/>
    <n v="20151433.5"/>
    <n v="1.44"/>
    <n v="3.94"/>
  </r>
  <r>
    <x v="57"/>
    <x v="0"/>
    <x v="0"/>
    <x v="0"/>
    <n v="360"/>
    <n v="15647218.109999999"/>
    <n v="5791819.4400000004"/>
    <n v="9855398.6699999999"/>
    <n v="1.71"/>
    <n v="4.04"/>
  </r>
  <r>
    <x v="695"/>
    <x v="0"/>
    <x v="0"/>
    <x v="1"/>
    <n v="455"/>
    <n v="19067278.609999999"/>
    <n v="6973685.71"/>
    <n v="12093592.9"/>
    <n v="4.22"/>
    <n v="4.38"/>
  </r>
  <r>
    <x v="225"/>
    <x v="0"/>
    <x v="0"/>
    <x v="1"/>
    <n v="324"/>
    <n v="23763456.989999998"/>
    <n v="8586044.3100000005"/>
    <n v="15177412.689999999"/>
    <n v="3.39"/>
    <n v="3.89"/>
  </r>
  <r>
    <x v="253"/>
    <x v="0"/>
    <x v="3"/>
    <x v="2"/>
    <n v="71"/>
    <n v="3802199.28"/>
    <n v="1283689.47"/>
    <n v="2518509.81"/>
    <n v="1.05"/>
    <n v="3.67"/>
  </r>
  <r>
    <x v="696"/>
    <x v="0"/>
    <x v="4"/>
    <x v="1"/>
    <n v="87"/>
    <n v="4195943.6399999997"/>
    <n v="1114120.51"/>
    <n v="3081823.12"/>
    <n v="4.22"/>
    <n v="4.51"/>
  </r>
  <r>
    <x v="697"/>
    <x v="0"/>
    <x v="2"/>
    <x v="0"/>
    <n v="437"/>
    <n v="17832892.809999999"/>
    <n v="6971610.2199999997"/>
    <n v="10861282.59"/>
    <n v="3.45"/>
    <n v="4.3"/>
  </r>
  <r>
    <x v="698"/>
    <x v="0"/>
    <x v="4"/>
    <x v="1"/>
    <n v="327"/>
    <n v="23517805.789999999"/>
    <n v="8134131.9800000004"/>
    <n v="15383673.810000001"/>
    <n v="0.87"/>
    <n v="4.99"/>
  </r>
  <r>
    <x v="699"/>
    <x v="0"/>
    <x v="2"/>
    <x v="0"/>
    <n v="155"/>
    <n v="9726877.1799999997"/>
    <n v="3662596.96"/>
    <n v="6064280.2300000004"/>
    <n v="1.26"/>
    <n v="4.03"/>
  </r>
  <r>
    <x v="700"/>
    <x v="0"/>
    <x v="1"/>
    <x v="1"/>
    <n v="212"/>
    <n v="14157230.210000001"/>
    <n v="3210572.29"/>
    <n v="10946657.92"/>
    <n v="1.8"/>
    <n v="4.2"/>
  </r>
  <r>
    <x v="246"/>
    <x v="0"/>
    <x v="0"/>
    <x v="0"/>
    <n v="371"/>
    <n v="21848146.370000001"/>
    <n v="6788472.8600000003"/>
    <n v="15059673.51"/>
    <n v="3.28"/>
    <n v="4.5"/>
  </r>
  <r>
    <x v="355"/>
    <x v="0"/>
    <x v="2"/>
    <x v="0"/>
    <n v="401"/>
    <n v="32794421.219999999"/>
    <n v="11795967.18"/>
    <n v="20998454.030000001"/>
    <n v="4.7"/>
    <n v="4.53"/>
  </r>
  <r>
    <x v="701"/>
    <x v="0"/>
    <x v="3"/>
    <x v="1"/>
    <n v="178"/>
    <n v="7494617.8200000003"/>
    <n v="2848634.51"/>
    <n v="4645983.3099999996"/>
    <n v="3.21"/>
    <n v="4.29"/>
  </r>
  <r>
    <x v="702"/>
    <x v="0"/>
    <x v="0"/>
    <x v="0"/>
    <n v="445"/>
    <n v="16557398.58"/>
    <n v="3676029.34"/>
    <n v="12881369.24"/>
    <n v="4.96"/>
    <n v="3.94"/>
  </r>
  <r>
    <x v="703"/>
    <x v="0"/>
    <x v="3"/>
    <x v="1"/>
    <n v="230"/>
    <n v="17731846.550000001"/>
    <n v="6195413.7699999996"/>
    <n v="11536432.779999999"/>
    <n v="4.4000000000000004"/>
    <n v="3.65"/>
  </r>
  <r>
    <x v="423"/>
    <x v="0"/>
    <x v="2"/>
    <x v="0"/>
    <n v="459"/>
    <n v="23331301.140000001"/>
    <n v="8897291.6099999994"/>
    <n v="14434009.529999999"/>
    <n v="4.84"/>
    <n v="3.7"/>
  </r>
  <r>
    <x v="704"/>
    <x v="0"/>
    <x v="1"/>
    <x v="0"/>
    <n v="244"/>
    <n v="17618411.920000002"/>
    <n v="4953445.3099999996"/>
    <n v="12664966.609999999"/>
    <n v="3.21"/>
    <n v="4.5199999999999996"/>
  </r>
  <r>
    <x v="594"/>
    <x v="0"/>
    <x v="0"/>
    <x v="1"/>
    <n v="365"/>
    <n v="12802026.390000001"/>
    <n v="4152719.35"/>
    <n v="8649307.0399999991"/>
    <n v="1.1499999999999999"/>
    <n v="3.53"/>
  </r>
  <r>
    <x v="705"/>
    <x v="0"/>
    <x v="1"/>
    <x v="0"/>
    <n v="315"/>
    <n v="23020038.350000001"/>
    <n v="8133749.2400000002"/>
    <n v="14886289.119999999"/>
    <n v="3.31"/>
    <n v="4.62"/>
  </r>
  <r>
    <x v="706"/>
    <x v="0"/>
    <x v="4"/>
    <x v="0"/>
    <n v="91"/>
    <n v="4441655.92"/>
    <n v="1198869.3400000001"/>
    <n v="3242786.58"/>
    <n v="1.46"/>
    <n v="3.68"/>
  </r>
  <r>
    <x v="707"/>
    <x v="0"/>
    <x v="0"/>
    <x v="2"/>
    <n v="291"/>
    <n v="10905174.119999999"/>
    <n v="2760860.19"/>
    <n v="8144313.9400000004"/>
    <n v="2.04"/>
    <n v="4.22"/>
  </r>
  <r>
    <x v="708"/>
    <x v="0"/>
    <x v="3"/>
    <x v="0"/>
    <n v="371"/>
    <n v="21379098.129999999"/>
    <n v="8011233.71"/>
    <n v="13367864.42"/>
    <n v="0.63"/>
    <n v="4.43"/>
  </r>
  <r>
    <x v="709"/>
    <x v="0"/>
    <x v="4"/>
    <x v="2"/>
    <n v="275"/>
    <n v="22360486.879999999"/>
    <n v="6785453.0999999996"/>
    <n v="15575033.779999999"/>
    <n v="4"/>
    <n v="4.51"/>
  </r>
  <r>
    <x v="710"/>
    <x v="0"/>
    <x v="2"/>
    <x v="2"/>
    <n v="213"/>
    <n v="9500991.7799999993"/>
    <n v="3238067.16"/>
    <n v="6262924.6299999999"/>
    <n v="3.49"/>
    <n v="4.95"/>
  </r>
  <r>
    <x v="601"/>
    <x v="0"/>
    <x v="1"/>
    <x v="1"/>
    <n v="334"/>
    <n v="26495832.41"/>
    <n v="7461137.1500000004"/>
    <n v="19034695.260000002"/>
    <n v="1.25"/>
    <n v="3.54"/>
  </r>
  <r>
    <x v="711"/>
    <x v="0"/>
    <x v="3"/>
    <x v="1"/>
    <n v="454"/>
    <n v="17622770.329999998"/>
    <n v="6732332.3099999996"/>
    <n v="10890438.02"/>
    <n v="3.2"/>
    <n v="4.01"/>
  </r>
  <r>
    <x v="712"/>
    <x v="0"/>
    <x v="2"/>
    <x v="1"/>
    <n v="177"/>
    <n v="14596393.060000001"/>
    <n v="5398658.4699999997"/>
    <n v="9197734.5999999996"/>
    <n v="4.33"/>
    <n v="4.99"/>
  </r>
  <r>
    <x v="84"/>
    <x v="0"/>
    <x v="4"/>
    <x v="1"/>
    <n v="71"/>
    <n v="4536961.55"/>
    <n v="1181576.52"/>
    <n v="3355385.03"/>
    <n v="4.55"/>
    <n v="4.6900000000000004"/>
  </r>
  <r>
    <x v="196"/>
    <x v="0"/>
    <x v="2"/>
    <x v="2"/>
    <n v="466"/>
    <n v="37775915.280000001"/>
    <n v="10467813.58"/>
    <n v="27308101.699999999"/>
    <n v="3.12"/>
    <n v="3.88"/>
  </r>
  <r>
    <x v="15"/>
    <x v="0"/>
    <x v="4"/>
    <x v="2"/>
    <n v="414"/>
    <n v="20682405.32"/>
    <n v="7371658.5599999996"/>
    <n v="13310746.76"/>
    <n v="3.48"/>
    <n v="4.45"/>
  </r>
  <r>
    <x v="713"/>
    <x v="0"/>
    <x v="2"/>
    <x v="0"/>
    <n v="280"/>
    <n v="10050149.029999999"/>
    <n v="2555194"/>
    <n v="7494955.0300000003"/>
    <n v="1.96"/>
    <n v="4.5"/>
  </r>
  <r>
    <x v="23"/>
    <x v="0"/>
    <x v="1"/>
    <x v="0"/>
    <n v="191"/>
    <n v="8023016.3200000003"/>
    <n v="3006591.45"/>
    <n v="5016424.87"/>
    <n v="4.16"/>
    <n v="4.8899999999999997"/>
  </r>
  <r>
    <x v="679"/>
    <x v="0"/>
    <x v="4"/>
    <x v="0"/>
    <n v="359"/>
    <n v="30698759.469999999"/>
    <n v="8289966.4000000004"/>
    <n v="22408793.07"/>
    <n v="0.97"/>
    <n v="4.0999999999999996"/>
  </r>
  <r>
    <x v="714"/>
    <x v="0"/>
    <x v="3"/>
    <x v="1"/>
    <n v="153"/>
    <n v="7780637.0199999996"/>
    <n v="2647310.6"/>
    <n v="5133326.43"/>
    <n v="4.51"/>
    <n v="3.52"/>
  </r>
  <r>
    <x v="715"/>
    <x v="0"/>
    <x v="0"/>
    <x v="1"/>
    <n v="404"/>
    <n v="22063567.030000001"/>
    <n v="7702473.6299999999"/>
    <n v="14361093.4"/>
    <n v="0.56000000000000005"/>
    <n v="4.3099999999999996"/>
  </r>
  <r>
    <x v="716"/>
    <x v="0"/>
    <x v="0"/>
    <x v="0"/>
    <n v="473"/>
    <n v="39822930.170000002"/>
    <n v="9369487.8699999992"/>
    <n v="30453442.300000001"/>
    <n v="4.54"/>
    <n v="4.33"/>
  </r>
  <r>
    <x v="717"/>
    <x v="0"/>
    <x v="1"/>
    <x v="2"/>
    <n v="458"/>
    <n v="25704034.059999999"/>
    <n v="6856459.2599999998"/>
    <n v="18847574.800000001"/>
    <n v="4.95"/>
    <n v="3.84"/>
  </r>
  <r>
    <x v="718"/>
    <x v="0"/>
    <x v="4"/>
    <x v="1"/>
    <n v="121"/>
    <n v="4866993.91"/>
    <n v="1640256.33"/>
    <n v="3226737.57"/>
    <n v="0.93"/>
    <n v="3.77"/>
  </r>
  <r>
    <x v="719"/>
    <x v="0"/>
    <x v="1"/>
    <x v="1"/>
    <n v="103"/>
    <n v="6120846.6500000004"/>
    <n v="1797237.56"/>
    <n v="4323609.09"/>
    <n v="4.43"/>
    <n v="4.99"/>
  </r>
  <r>
    <x v="720"/>
    <x v="0"/>
    <x v="2"/>
    <x v="2"/>
    <n v="95"/>
    <n v="5748429.4500000002"/>
    <n v="1931440.89"/>
    <n v="3816988.56"/>
    <n v="2.64"/>
    <n v="3.98"/>
  </r>
  <r>
    <x v="683"/>
    <x v="0"/>
    <x v="3"/>
    <x v="1"/>
    <n v="243"/>
    <n v="17493059.57"/>
    <n v="4610499.8600000003"/>
    <n v="12882559.710000001"/>
    <n v="1.92"/>
    <n v="3.7"/>
  </r>
  <r>
    <x v="721"/>
    <x v="0"/>
    <x v="3"/>
    <x v="1"/>
    <n v="180"/>
    <n v="13611208.199999999"/>
    <n v="3629790.49"/>
    <n v="9981417.6999999993"/>
    <n v="1.04"/>
    <n v="4.3600000000000003"/>
  </r>
  <r>
    <x v="722"/>
    <x v="0"/>
    <x v="0"/>
    <x v="2"/>
    <n v="325"/>
    <n v="24843313.98"/>
    <n v="5600381.46"/>
    <n v="19242932.52"/>
    <n v="2.75"/>
    <n v="4.5999999999999996"/>
  </r>
  <r>
    <x v="723"/>
    <x v="0"/>
    <x v="3"/>
    <x v="2"/>
    <n v="222"/>
    <n v="17298047.399999999"/>
    <n v="4588474.0599999996"/>
    <n v="12709573.35"/>
    <n v="3.95"/>
    <n v="3.96"/>
  </r>
  <r>
    <x v="369"/>
    <x v="0"/>
    <x v="0"/>
    <x v="2"/>
    <n v="160"/>
    <n v="11030532.310000001"/>
    <n v="2537112.15"/>
    <n v="8493420.1600000001"/>
    <n v="1.38"/>
    <n v="3.69"/>
  </r>
  <r>
    <x v="291"/>
    <x v="0"/>
    <x v="4"/>
    <x v="0"/>
    <n v="347"/>
    <n v="22137210.920000002"/>
    <n v="7605183.5999999996"/>
    <n v="14532027.32"/>
    <n v="1.84"/>
    <n v="3.92"/>
  </r>
  <r>
    <x v="182"/>
    <x v="0"/>
    <x v="2"/>
    <x v="0"/>
    <n v="186"/>
    <n v="7390108.9699999997"/>
    <n v="2871756.56"/>
    <n v="4518352.4000000004"/>
    <n v="0.97"/>
    <n v="4.38"/>
  </r>
  <r>
    <x v="724"/>
    <x v="0"/>
    <x v="3"/>
    <x v="2"/>
    <n v="488"/>
    <n v="23353602.859999999"/>
    <n v="6362576.3399999999"/>
    <n v="16991026.52"/>
    <n v="4.1900000000000004"/>
    <n v="3.56"/>
  </r>
  <r>
    <x v="725"/>
    <x v="0"/>
    <x v="3"/>
    <x v="0"/>
    <n v="476"/>
    <n v="23775370.989999998"/>
    <n v="7612080.6699999999"/>
    <n v="16163290.32"/>
    <n v="3.19"/>
    <n v="4.4800000000000004"/>
  </r>
  <r>
    <x v="671"/>
    <x v="0"/>
    <x v="0"/>
    <x v="0"/>
    <n v="269"/>
    <n v="22699952.670000002"/>
    <n v="5402931.8700000001"/>
    <n v="17297020.800000001"/>
    <n v="3.12"/>
    <n v="4.5999999999999996"/>
  </r>
  <r>
    <x v="726"/>
    <x v="0"/>
    <x v="0"/>
    <x v="2"/>
    <n v="425"/>
    <n v="16619673.33"/>
    <n v="3630616.06"/>
    <n v="12989057.27"/>
    <n v="4.9800000000000004"/>
    <n v="4.55"/>
  </r>
  <r>
    <x v="727"/>
    <x v="0"/>
    <x v="1"/>
    <x v="0"/>
    <n v="407"/>
    <n v="26701460.91"/>
    <n v="8765440.3300000001"/>
    <n v="17936020.57"/>
    <n v="4.5999999999999996"/>
    <n v="3.53"/>
  </r>
  <r>
    <x v="728"/>
    <x v="0"/>
    <x v="2"/>
    <x v="2"/>
    <n v="137"/>
    <n v="11758151.640000001"/>
    <n v="2409997.85"/>
    <n v="9348153.7899999991"/>
    <n v="4.25"/>
    <n v="3.95"/>
  </r>
  <r>
    <x v="729"/>
    <x v="0"/>
    <x v="2"/>
    <x v="2"/>
    <n v="165"/>
    <n v="11906640.84"/>
    <n v="3819799.87"/>
    <n v="8086840.9699999997"/>
    <n v="3.9"/>
    <n v="4.18"/>
  </r>
  <r>
    <x v="730"/>
    <x v="0"/>
    <x v="1"/>
    <x v="2"/>
    <n v="60"/>
    <n v="3321080.93"/>
    <n v="962800.11"/>
    <n v="2358280.8199999998"/>
    <n v="4.0599999999999996"/>
    <n v="3.98"/>
  </r>
  <r>
    <x v="688"/>
    <x v="0"/>
    <x v="2"/>
    <x v="1"/>
    <n v="284"/>
    <n v="25080806.710000001"/>
    <n v="8137020.2300000004"/>
    <n v="16943786.48"/>
    <n v="0.78"/>
    <n v="4.01"/>
  </r>
  <r>
    <x v="237"/>
    <x v="0"/>
    <x v="3"/>
    <x v="1"/>
    <n v="213"/>
    <n v="9400305.2899999991"/>
    <n v="3645241.61"/>
    <n v="5755063.6799999997"/>
    <n v="2.75"/>
    <n v="3.66"/>
  </r>
  <r>
    <x v="731"/>
    <x v="0"/>
    <x v="4"/>
    <x v="2"/>
    <n v="287"/>
    <n v="15644390.27"/>
    <n v="5004001.63"/>
    <n v="10640388.630000001"/>
    <n v="1.02"/>
    <n v="4.82"/>
  </r>
  <r>
    <x v="732"/>
    <x v="0"/>
    <x v="2"/>
    <x v="1"/>
    <n v="484"/>
    <n v="16944965.379999999"/>
    <n v="4697214.03"/>
    <n v="12247751.35"/>
    <n v="3.27"/>
    <n v="4.1900000000000004"/>
  </r>
  <r>
    <x v="733"/>
    <x v="0"/>
    <x v="4"/>
    <x v="1"/>
    <n v="471"/>
    <n v="28281700.120000001"/>
    <n v="8965522.7300000004"/>
    <n v="19316177.399999999"/>
    <n v="3.79"/>
    <n v="3.7"/>
  </r>
  <r>
    <x v="406"/>
    <x v="0"/>
    <x v="2"/>
    <x v="1"/>
    <n v="218"/>
    <n v="9794413.5600000005"/>
    <n v="3403616.33"/>
    <n v="6390797.2300000004"/>
    <n v="2.86"/>
    <n v="3.67"/>
  </r>
  <r>
    <x v="393"/>
    <x v="0"/>
    <x v="1"/>
    <x v="1"/>
    <n v="357"/>
    <n v="18333693.670000002"/>
    <n v="6737493.1299999999"/>
    <n v="11596200.529999999"/>
    <n v="3.54"/>
    <n v="3.56"/>
  </r>
  <r>
    <x v="734"/>
    <x v="0"/>
    <x v="3"/>
    <x v="0"/>
    <n v="181"/>
    <n v="8413911.9600000009"/>
    <n v="3267012.12"/>
    <n v="5146899.84"/>
    <n v="2.99"/>
    <n v="4.3899999999999997"/>
  </r>
  <r>
    <x v="661"/>
    <x v="0"/>
    <x v="3"/>
    <x v="2"/>
    <n v="238"/>
    <n v="15882689.310000001"/>
    <n v="5255642.71"/>
    <n v="10627046.6"/>
    <n v="4.1100000000000003"/>
    <n v="4.3099999999999996"/>
  </r>
  <r>
    <x v="652"/>
    <x v="0"/>
    <x v="2"/>
    <x v="2"/>
    <n v="172"/>
    <n v="12437587.24"/>
    <n v="3500506.84"/>
    <n v="8937080.4000000004"/>
    <n v="1.17"/>
    <n v="3.76"/>
  </r>
  <r>
    <x v="309"/>
    <x v="0"/>
    <x v="2"/>
    <x v="0"/>
    <n v="462"/>
    <n v="19815558.899999999"/>
    <n v="7326028.0300000003"/>
    <n v="12489530.869999999"/>
    <n v="2.4500000000000002"/>
    <n v="4.3899999999999997"/>
  </r>
  <r>
    <x v="735"/>
    <x v="0"/>
    <x v="0"/>
    <x v="1"/>
    <n v="66"/>
    <n v="4210898.2"/>
    <n v="1415599.97"/>
    <n v="2795298.23"/>
    <n v="2.61"/>
    <n v="4.25"/>
  </r>
  <r>
    <x v="100"/>
    <x v="0"/>
    <x v="1"/>
    <x v="1"/>
    <n v="79"/>
    <n v="3113411.46"/>
    <n v="948445.46"/>
    <n v="2164966"/>
    <n v="3.34"/>
    <n v="4.74"/>
  </r>
  <r>
    <x v="736"/>
    <x v="0"/>
    <x v="0"/>
    <x v="2"/>
    <n v="67"/>
    <n v="3476192.86"/>
    <n v="1254768.55"/>
    <n v="2221424.31"/>
    <n v="3.55"/>
    <n v="3.98"/>
  </r>
  <r>
    <x v="737"/>
    <x v="0"/>
    <x v="2"/>
    <x v="2"/>
    <n v="395"/>
    <n v="34918676.920000002"/>
    <n v="12730277.439999999"/>
    <n v="22188399.48"/>
    <n v="3.75"/>
    <n v="3.56"/>
  </r>
  <r>
    <x v="376"/>
    <x v="0"/>
    <x v="3"/>
    <x v="0"/>
    <n v="135"/>
    <n v="8211176.0899999999"/>
    <n v="2590369.81"/>
    <n v="5620806.2800000003"/>
    <n v="4.9800000000000004"/>
    <n v="3.52"/>
  </r>
  <r>
    <x v="738"/>
    <x v="0"/>
    <x v="0"/>
    <x v="2"/>
    <n v="475"/>
    <n v="29198386.48"/>
    <n v="6951113.6600000001"/>
    <n v="22247272.809999999"/>
    <n v="4.78"/>
    <n v="3.53"/>
  </r>
  <r>
    <x v="739"/>
    <x v="0"/>
    <x v="3"/>
    <x v="0"/>
    <n v="442"/>
    <n v="36713900.170000002"/>
    <n v="14590785.130000001"/>
    <n v="22123115.039999999"/>
    <n v="1.52"/>
    <n v="4.3499999999999996"/>
  </r>
  <r>
    <x v="188"/>
    <x v="0"/>
    <x v="3"/>
    <x v="2"/>
    <n v="166"/>
    <n v="9825881.9900000002"/>
    <n v="2664864.52"/>
    <n v="7161017.4699999997"/>
    <n v="2.21"/>
    <n v="3.58"/>
  </r>
  <r>
    <x v="740"/>
    <x v="0"/>
    <x v="1"/>
    <x v="1"/>
    <n v="308"/>
    <n v="13986464.960000001"/>
    <n v="4309701.3600000003"/>
    <n v="9676763.5999999996"/>
    <n v="3.88"/>
    <n v="4.8600000000000003"/>
  </r>
  <r>
    <x v="741"/>
    <x v="0"/>
    <x v="0"/>
    <x v="1"/>
    <n v="413"/>
    <n v="15553558.98"/>
    <n v="3669123.18"/>
    <n v="11884435.800000001"/>
    <n v="4.22"/>
    <n v="4.38"/>
  </r>
  <r>
    <x v="742"/>
    <x v="0"/>
    <x v="4"/>
    <x v="1"/>
    <n v="418"/>
    <n v="26206545.100000001"/>
    <n v="10125637.6"/>
    <n v="16080907.51"/>
    <n v="1.48"/>
    <n v="4.9000000000000004"/>
  </r>
  <r>
    <x v="139"/>
    <x v="0"/>
    <x v="2"/>
    <x v="2"/>
    <n v="475"/>
    <n v="37117592.990000002"/>
    <n v="10403593.68"/>
    <n v="26713999.300000001"/>
    <n v="2.36"/>
    <n v="4.9400000000000004"/>
  </r>
  <r>
    <x v="281"/>
    <x v="0"/>
    <x v="4"/>
    <x v="0"/>
    <n v="447"/>
    <n v="19692389.91"/>
    <n v="6241995.5300000003"/>
    <n v="13450394.380000001"/>
    <n v="0.56000000000000005"/>
    <n v="4.22"/>
  </r>
  <r>
    <x v="743"/>
    <x v="0"/>
    <x v="4"/>
    <x v="0"/>
    <n v="491"/>
    <n v="22176560.940000001"/>
    <n v="8606337"/>
    <n v="13570223.939999999"/>
    <n v="3.22"/>
    <n v="4.6500000000000004"/>
  </r>
  <r>
    <x v="744"/>
    <x v="0"/>
    <x v="2"/>
    <x v="2"/>
    <n v="492"/>
    <n v="23356467.239999998"/>
    <n v="6229067.1500000004"/>
    <n v="17127400.09"/>
    <n v="0.86"/>
    <n v="4.16"/>
  </r>
  <r>
    <x v="528"/>
    <x v="0"/>
    <x v="4"/>
    <x v="1"/>
    <n v="416"/>
    <n v="17830944.879999999"/>
    <n v="4485218.92"/>
    <n v="13345725.960000001"/>
    <n v="1.6"/>
    <n v="4.4000000000000004"/>
  </r>
  <r>
    <x v="745"/>
    <x v="0"/>
    <x v="4"/>
    <x v="0"/>
    <n v="445"/>
    <n v="25310994.469999999"/>
    <n v="7534032.9100000001"/>
    <n v="17776961.550000001"/>
    <n v="2.67"/>
    <n v="4.07"/>
  </r>
  <r>
    <x v="171"/>
    <x v="0"/>
    <x v="2"/>
    <x v="1"/>
    <n v="171"/>
    <n v="7351797.54"/>
    <n v="2197163"/>
    <n v="5154634.54"/>
    <n v="0.78"/>
    <n v="3.61"/>
  </r>
  <r>
    <x v="746"/>
    <x v="0"/>
    <x v="2"/>
    <x v="1"/>
    <n v="392"/>
    <n v="24940889.149999999"/>
    <n v="5015203.83"/>
    <n v="19925685.32"/>
    <n v="1.41"/>
    <n v="3.89"/>
  </r>
  <r>
    <x v="231"/>
    <x v="0"/>
    <x v="1"/>
    <x v="2"/>
    <n v="376"/>
    <n v="15186798.92"/>
    <n v="5940875.6900000004"/>
    <n v="9245923.2300000004"/>
    <n v="1.33"/>
    <n v="4.3099999999999996"/>
  </r>
  <r>
    <x v="345"/>
    <x v="0"/>
    <x v="2"/>
    <x v="2"/>
    <n v="477"/>
    <n v="17890926.620000001"/>
    <n v="3771511.49"/>
    <n v="14119415.130000001"/>
    <n v="4.29"/>
    <n v="3.94"/>
  </r>
  <r>
    <x v="397"/>
    <x v="0"/>
    <x v="2"/>
    <x v="1"/>
    <n v="355"/>
    <n v="15742045.1"/>
    <n v="5897145.0999999996"/>
    <n v="9844900"/>
    <n v="1.05"/>
    <n v="4.28"/>
  </r>
  <r>
    <x v="747"/>
    <x v="0"/>
    <x v="3"/>
    <x v="1"/>
    <n v="474"/>
    <n v="20919571.399999999"/>
    <n v="8120534.8700000001"/>
    <n v="12799036.529999999"/>
    <n v="3.61"/>
    <n v="4.59"/>
  </r>
  <r>
    <x v="748"/>
    <x v="0"/>
    <x v="1"/>
    <x v="2"/>
    <n v="74"/>
    <n v="3170205.18"/>
    <n v="1025789.96"/>
    <n v="2144415.2200000002"/>
    <n v="3"/>
    <n v="3.62"/>
  </r>
  <r>
    <x v="749"/>
    <x v="0"/>
    <x v="2"/>
    <x v="2"/>
    <n v="493"/>
    <n v="21861095.399999999"/>
    <n v="8502147.75"/>
    <n v="13358947.640000001"/>
    <n v="1.99"/>
    <n v="4.6500000000000004"/>
  </r>
  <r>
    <x v="750"/>
    <x v="0"/>
    <x v="2"/>
    <x v="1"/>
    <n v="186"/>
    <n v="10759981.9"/>
    <n v="4252333.99"/>
    <n v="6507647.9100000001"/>
    <n v="2.0099999999999998"/>
    <n v="3.77"/>
  </r>
  <r>
    <x v="751"/>
    <x v="0"/>
    <x v="1"/>
    <x v="0"/>
    <n v="372"/>
    <n v="32821244.010000002"/>
    <n v="9519052.3300000001"/>
    <n v="23302191.68"/>
    <n v="4.83"/>
    <n v="3.67"/>
  </r>
  <r>
    <x v="752"/>
    <x v="0"/>
    <x v="2"/>
    <x v="1"/>
    <n v="478"/>
    <n v="22958731.800000001"/>
    <n v="8738250.9499999993"/>
    <n v="14220480.85"/>
    <n v="1.31"/>
    <n v="4.7"/>
  </r>
  <r>
    <x v="753"/>
    <x v="0"/>
    <x v="1"/>
    <x v="1"/>
    <n v="115"/>
    <n v="7742183.6399999997"/>
    <n v="2922884.17"/>
    <n v="4819299.4800000004"/>
    <n v="1.99"/>
    <n v="4.67"/>
  </r>
  <r>
    <x v="754"/>
    <x v="0"/>
    <x v="3"/>
    <x v="2"/>
    <n v="163"/>
    <n v="11332737.640000001"/>
    <n v="3065600.86"/>
    <n v="8267136.7800000003"/>
    <n v="4.3"/>
    <n v="3.99"/>
  </r>
  <r>
    <x v="198"/>
    <x v="0"/>
    <x v="0"/>
    <x v="0"/>
    <n v="75"/>
    <n v="6231517.75"/>
    <n v="1457399.01"/>
    <n v="4774118.75"/>
    <n v="1.51"/>
    <n v="4.0999999999999996"/>
  </r>
  <r>
    <x v="755"/>
    <x v="0"/>
    <x v="3"/>
    <x v="1"/>
    <n v="100"/>
    <n v="7568255.9400000004"/>
    <n v="2100530.44"/>
    <n v="5467725.5"/>
    <n v="0.57999999999999996"/>
    <n v="3.79"/>
  </r>
  <r>
    <x v="425"/>
    <x v="0"/>
    <x v="0"/>
    <x v="0"/>
    <n v="125"/>
    <n v="9399733.6300000008"/>
    <n v="2970295.14"/>
    <n v="6429438.4900000002"/>
    <n v="3.1"/>
    <n v="4.75"/>
  </r>
  <r>
    <x v="756"/>
    <x v="0"/>
    <x v="4"/>
    <x v="1"/>
    <n v="428"/>
    <n v="16580091.48"/>
    <n v="6031089.3200000003"/>
    <n v="10549002.16"/>
    <n v="4.8099999999999996"/>
    <n v="4.84"/>
  </r>
  <r>
    <x v="757"/>
    <x v="0"/>
    <x v="3"/>
    <x v="2"/>
    <n v="176"/>
    <n v="10185123.74"/>
    <n v="2956561.32"/>
    <n v="7228562.4199999999"/>
    <n v="2.31"/>
    <n v="4.28"/>
  </r>
  <r>
    <x v="758"/>
    <x v="0"/>
    <x v="4"/>
    <x v="1"/>
    <n v="359"/>
    <n v="13733451.279999999"/>
    <n v="3755267.75"/>
    <n v="9978183.5399999991"/>
    <n v="3.96"/>
    <n v="4.99"/>
  </r>
  <r>
    <x v="759"/>
    <x v="0"/>
    <x v="2"/>
    <x v="1"/>
    <n v="377"/>
    <n v="16486406.789999999"/>
    <n v="3464542.2"/>
    <n v="13021864.59"/>
    <n v="4.46"/>
    <n v="4.8600000000000003"/>
  </r>
  <r>
    <x v="760"/>
    <x v="0"/>
    <x v="2"/>
    <x v="0"/>
    <n v="458"/>
    <n v="26334854.890000001"/>
    <n v="8667447.6199999992"/>
    <n v="17667407.27"/>
    <n v="1.86"/>
    <n v="4.5999999999999996"/>
  </r>
  <r>
    <x v="761"/>
    <x v="0"/>
    <x v="4"/>
    <x v="0"/>
    <n v="412"/>
    <n v="23900706.829999998"/>
    <n v="7849894.3799999999"/>
    <n v="16050812.449999999"/>
    <n v="3.17"/>
    <n v="4.3600000000000003"/>
  </r>
  <r>
    <x v="643"/>
    <x v="0"/>
    <x v="2"/>
    <x v="1"/>
    <n v="274"/>
    <n v="19474462.93"/>
    <n v="7015425.7599999998"/>
    <n v="12459037.17"/>
    <n v="1.92"/>
    <n v="3.84"/>
  </r>
  <r>
    <x v="354"/>
    <x v="0"/>
    <x v="0"/>
    <x v="2"/>
    <n v="137"/>
    <n v="10388014.939999999"/>
    <n v="4102852.26"/>
    <n v="6285162.6799999997"/>
    <n v="2.1"/>
    <n v="4.67"/>
  </r>
  <r>
    <x v="762"/>
    <x v="0"/>
    <x v="4"/>
    <x v="2"/>
    <n v="389"/>
    <n v="28577367.879999999"/>
    <n v="9541634.4800000004"/>
    <n v="19035733.399999999"/>
    <n v="3.85"/>
    <n v="4.12"/>
  </r>
  <r>
    <x v="304"/>
    <x v="0"/>
    <x v="4"/>
    <x v="2"/>
    <n v="70"/>
    <n v="5279846.97"/>
    <n v="1467683.49"/>
    <n v="3812163.47"/>
    <n v="2.7"/>
    <n v="3.7"/>
  </r>
  <r>
    <x v="204"/>
    <x v="0"/>
    <x v="3"/>
    <x v="2"/>
    <n v="150"/>
    <n v="12773666.57"/>
    <n v="4953809.99"/>
    <n v="7819856.5800000001"/>
    <n v="3.62"/>
    <n v="3.77"/>
  </r>
  <r>
    <x v="595"/>
    <x v="0"/>
    <x v="2"/>
    <x v="1"/>
    <n v="107"/>
    <n v="3783042.75"/>
    <n v="1137758.26"/>
    <n v="2645284.4900000002"/>
    <n v="1.79"/>
    <n v="4.5999999999999996"/>
  </r>
  <r>
    <x v="763"/>
    <x v="0"/>
    <x v="0"/>
    <x v="0"/>
    <n v="478"/>
    <n v="25108349.690000001"/>
    <n v="9517691.6999999993"/>
    <n v="15590657.99"/>
    <n v="1.08"/>
    <n v="4.3600000000000003"/>
  </r>
  <r>
    <x v="764"/>
    <x v="0"/>
    <x v="2"/>
    <x v="2"/>
    <n v="274"/>
    <n v="10967729.42"/>
    <n v="3014629.78"/>
    <n v="7953099.6299999999"/>
    <n v="2.98"/>
    <n v="4.1100000000000003"/>
  </r>
  <r>
    <x v="765"/>
    <x v="0"/>
    <x v="4"/>
    <x v="2"/>
    <n v="286"/>
    <n v="13999328.890000001"/>
    <n v="3801975.52"/>
    <n v="10197353.369999999"/>
    <n v="1.74"/>
    <n v="4.24"/>
  </r>
  <r>
    <x v="766"/>
    <x v="0"/>
    <x v="2"/>
    <x v="0"/>
    <n v="175"/>
    <n v="11679751.92"/>
    <n v="2591366.81"/>
    <n v="9088385.1099999994"/>
    <n v="3.19"/>
    <n v="4.72"/>
  </r>
  <r>
    <x v="554"/>
    <x v="0"/>
    <x v="0"/>
    <x v="2"/>
    <n v="260"/>
    <n v="17846543.800000001"/>
    <n v="6083003.1500000004"/>
    <n v="11763540.640000001"/>
    <n v="1.65"/>
    <n v="3.99"/>
  </r>
  <r>
    <x v="767"/>
    <x v="0"/>
    <x v="4"/>
    <x v="1"/>
    <n v="467"/>
    <n v="20998398.989999998"/>
    <n v="5078710.1500000004"/>
    <n v="15919688.84"/>
    <n v="2.23"/>
    <n v="4.1500000000000004"/>
  </r>
  <r>
    <x v="768"/>
    <x v="0"/>
    <x v="1"/>
    <x v="0"/>
    <n v="94"/>
    <n v="6329916.7199999997"/>
    <n v="1992025.11"/>
    <n v="4337891.6100000003"/>
    <n v="3.27"/>
    <n v="3.62"/>
  </r>
  <r>
    <x v="769"/>
    <x v="0"/>
    <x v="4"/>
    <x v="0"/>
    <n v="88"/>
    <n v="6579666.7199999997"/>
    <n v="1615083.17"/>
    <n v="4964583.55"/>
    <n v="3.72"/>
    <n v="4.37"/>
  </r>
  <r>
    <x v="770"/>
    <x v="0"/>
    <x v="3"/>
    <x v="1"/>
    <n v="137"/>
    <n v="7811357.2199999997"/>
    <n v="1856187.63"/>
    <n v="5955169.5899999999"/>
    <n v="0.56000000000000005"/>
    <n v="4.47"/>
  </r>
  <r>
    <x v="771"/>
    <x v="0"/>
    <x v="2"/>
    <x v="1"/>
    <n v="58"/>
    <n v="3015079.26"/>
    <n v="1029025.57"/>
    <n v="1986053.69"/>
    <n v="1.7"/>
    <n v="4"/>
  </r>
  <r>
    <x v="68"/>
    <x v="0"/>
    <x v="0"/>
    <x v="0"/>
    <n v="426"/>
    <n v="35672993.420000002"/>
    <n v="10997851.439999999"/>
    <n v="24675141.98"/>
    <n v="3.04"/>
    <n v="4.49"/>
  </r>
  <r>
    <x v="772"/>
    <x v="0"/>
    <x v="3"/>
    <x v="2"/>
    <n v="307"/>
    <n v="24524494.629999999"/>
    <n v="9716872.5600000005"/>
    <n v="14807622.07"/>
    <n v="3.81"/>
    <n v="3.81"/>
  </r>
  <r>
    <x v="310"/>
    <x v="0"/>
    <x v="3"/>
    <x v="0"/>
    <n v="154"/>
    <n v="12841502.85"/>
    <n v="5010187.04"/>
    <n v="7831315.8099999996"/>
    <n v="1.54"/>
    <n v="4.8499999999999996"/>
  </r>
  <r>
    <x v="773"/>
    <x v="0"/>
    <x v="0"/>
    <x v="0"/>
    <n v="166"/>
    <n v="5818485.5800000001"/>
    <n v="1276315.5"/>
    <n v="4542170.08"/>
    <n v="0.61"/>
    <n v="3.81"/>
  </r>
  <r>
    <x v="774"/>
    <x v="0"/>
    <x v="1"/>
    <x v="0"/>
    <n v="190"/>
    <n v="13702633.970000001"/>
    <n v="4825885.76"/>
    <n v="8876748.2100000009"/>
    <n v="3.91"/>
    <n v="4.6399999999999997"/>
  </r>
  <r>
    <x v="775"/>
    <x v="0"/>
    <x v="2"/>
    <x v="2"/>
    <n v="179"/>
    <n v="12964320.310000001"/>
    <n v="2769961.93"/>
    <n v="10194358.380000001"/>
    <n v="3.29"/>
    <n v="4.71"/>
  </r>
  <r>
    <x v="776"/>
    <x v="0"/>
    <x v="1"/>
    <x v="2"/>
    <n v="390"/>
    <n v="33695966.240000002"/>
    <n v="11433812.689999999"/>
    <n v="22262153.550000001"/>
    <n v="4.0199999999999996"/>
    <n v="4.6500000000000004"/>
  </r>
  <r>
    <x v="777"/>
    <x v="0"/>
    <x v="1"/>
    <x v="1"/>
    <n v="138"/>
    <n v="5982816.0499999998"/>
    <n v="1999985.82"/>
    <n v="3982830.22"/>
    <n v="0.75"/>
    <n v="3.77"/>
  </r>
  <r>
    <x v="528"/>
    <x v="0"/>
    <x v="3"/>
    <x v="0"/>
    <n v="202"/>
    <n v="15172631.880000001"/>
    <n v="4324016.2699999996"/>
    <n v="10848615.609999999"/>
    <n v="1.43"/>
    <n v="4.26"/>
  </r>
  <r>
    <x v="519"/>
    <x v="0"/>
    <x v="3"/>
    <x v="0"/>
    <n v="235"/>
    <n v="10127909.939999999"/>
    <n v="3632717.19"/>
    <n v="6495192.75"/>
    <n v="1.91"/>
    <n v="4.45"/>
  </r>
  <r>
    <x v="495"/>
    <x v="0"/>
    <x v="1"/>
    <x v="0"/>
    <n v="263"/>
    <n v="15068031.34"/>
    <n v="5216065.54"/>
    <n v="9851965.8000000007"/>
    <n v="1.39"/>
    <n v="4.68"/>
  </r>
  <r>
    <x v="778"/>
    <x v="0"/>
    <x v="0"/>
    <x v="1"/>
    <n v="265"/>
    <n v="21302455.739999998"/>
    <n v="5133644.6500000004"/>
    <n v="16168811.09"/>
    <n v="1.96"/>
    <n v="4.6500000000000004"/>
  </r>
  <r>
    <x v="779"/>
    <x v="0"/>
    <x v="0"/>
    <x v="0"/>
    <n v="319"/>
    <n v="14372460.9"/>
    <n v="3000130.83"/>
    <n v="11372330.08"/>
    <n v="2.2000000000000002"/>
    <n v="4.01"/>
  </r>
  <r>
    <x v="780"/>
    <x v="0"/>
    <x v="0"/>
    <x v="0"/>
    <n v="193"/>
    <n v="11915733.34"/>
    <n v="4506497.9000000004"/>
    <n v="7409235.4400000004"/>
    <n v="1.62"/>
    <n v="3.98"/>
  </r>
  <r>
    <x v="771"/>
    <x v="0"/>
    <x v="4"/>
    <x v="0"/>
    <n v="132"/>
    <n v="10976047.6"/>
    <n v="3726442.1"/>
    <n v="7249605.5"/>
    <n v="4.3600000000000003"/>
    <n v="4.79"/>
  </r>
  <r>
    <x v="781"/>
    <x v="0"/>
    <x v="2"/>
    <x v="2"/>
    <n v="83"/>
    <n v="4154433.46"/>
    <n v="904155.42"/>
    <n v="3250278.04"/>
    <n v="0.94"/>
    <n v="4.78"/>
  </r>
  <r>
    <x v="670"/>
    <x v="0"/>
    <x v="2"/>
    <x v="1"/>
    <n v="175"/>
    <n v="9316812.1699999999"/>
    <n v="2793964.17"/>
    <n v="6522848"/>
    <n v="3.41"/>
    <n v="4.2699999999999996"/>
  </r>
  <r>
    <x v="782"/>
    <x v="0"/>
    <x v="2"/>
    <x v="1"/>
    <n v="164"/>
    <n v="8500545.4399999995"/>
    <n v="3291947.12"/>
    <n v="5208598.32"/>
    <n v="1.3"/>
    <n v="3.51"/>
  </r>
  <r>
    <x v="783"/>
    <x v="0"/>
    <x v="0"/>
    <x v="1"/>
    <n v="484"/>
    <n v="42292535.350000001"/>
    <n v="14135665.699999999"/>
    <n v="28156869.649999999"/>
    <n v="3.48"/>
    <n v="4.63"/>
  </r>
  <r>
    <x v="784"/>
    <x v="0"/>
    <x v="0"/>
    <x v="0"/>
    <n v="377"/>
    <n v="31260402.489999998"/>
    <n v="10694553.220000001"/>
    <n v="20565849.27"/>
    <n v="4.0199999999999996"/>
    <n v="4.7"/>
  </r>
  <r>
    <x v="493"/>
    <x v="0"/>
    <x v="2"/>
    <x v="1"/>
    <n v="158"/>
    <n v="11656805.48"/>
    <n v="2932904.18"/>
    <n v="8723901.3000000007"/>
    <n v="3.55"/>
    <n v="3.88"/>
  </r>
  <r>
    <x v="785"/>
    <x v="0"/>
    <x v="3"/>
    <x v="0"/>
    <n v="428"/>
    <n v="30006772.59"/>
    <n v="10159419.109999999"/>
    <n v="19847353.48"/>
    <n v="4.37"/>
    <n v="4.9400000000000004"/>
  </r>
  <r>
    <x v="716"/>
    <x v="0"/>
    <x v="2"/>
    <x v="1"/>
    <n v="279"/>
    <n v="11117694.869999999"/>
    <n v="4014521.72"/>
    <n v="7103173.1500000004"/>
    <n v="4.1900000000000004"/>
    <n v="4.51"/>
  </r>
  <r>
    <x v="675"/>
    <x v="0"/>
    <x v="3"/>
    <x v="1"/>
    <n v="466"/>
    <n v="21159088.16"/>
    <n v="5415101.5599999996"/>
    <n v="15743986.6"/>
    <n v="2.8"/>
    <n v="4.41"/>
  </r>
  <r>
    <x v="786"/>
    <x v="0"/>
    <x v="4"/>
    <x v="0"/>
    <n v="276"/>
    <n v="21698696.77"/>
    <n v="4421145.93"/>
    <n v="17277550.84"/>
    <n v="4.7"/>
    <n v="4.9000000000000004"/>
  </r>
  <r>
    <x v="787"/>
    <x v="0"/>
    <x v="4"/>
    <x v="2"/>
    <n v="148"/>
    <n v="12008270.439999999"/>
    <n v="3191767.11"/>
    <n v="8816503.3300000001"/>
    <n v="3.64"/>
    <n v="4.04"/>
  </r>
  <r>
    <x v="405"/>
    <x v="0"/>
    <x v="4"/>
    <x v="0"/>
    <n v="322"/>
    <n v="16658123.41"/>
    <n v="6199331.1399999997"/>
    <n v="10458792.27"/>
    <n v="3.25"/>
    <n v="3.96"/>
  </r>
  <r>
    <x v="18"/>
    <x v="0"/>
    <x v="2"/>
    <x v="2"/>
    <n v="384"/>
    <n v="14937745.060000001"/>
    <n v="4930065.1500000004"/>
    <n v="10007679.92"/>
    <n v="4.38"/>
    <n v="3.85"/>
  </r>
  <r>
    <x v="788"/>
    <x v="0"/>
    <x v="2"/>
    <x v="2"/>
    <n v="128"/>
    <n v="6231494.1900000004"/>
    <n v="1318511.6100000001"/>
    <n v="4912982.58"/>
    <n v="1.84"/>
    <n v="4.66"/>
  </r>
  <r>
    <x v="789"/>
    <x v="0"/>
    <x v="1"/>
    <x v="0"/>
    <n v="401"/>
    <n v="26884874.789999999"/>
    <n v="5401310.3300000001"/>
    <n v="21483564.460000001"/>
    <n v="4.5999999999999996"/>
    <n v="3.83"/>
  </r>
  <r>
    <x v="594"/>
    <x v="0"/>
    <x v="3"/>
    <x v="1"/>
    <n v="83"/>
    <n v="4590106.72"/>
    <n v="1508132.5"/>
    <n v="3081974.22"/>
    <n v="2.0499999999999998"/>
    <n v="4.28"/>
  </r>
  <r>
    <x v="790"/>
    <x v="0"/>
    <x v="3"/>
    <x v="1"/>
    <n v="464"/>
    <n v="19350583.870000001"/>
    <n v="6130801.5999999996"/>
    <n v="13219782.26"/>
    <n v="0.78"/>
    <n v="4.0999999999999996"/>
  </r>
  <r>
    <x v="791"/>
    <x v="0"/>
    <x v="1"/>
    <x v="2"/>
    <n v="435"/>
    <n v="16980235.309999999"/>
    <n v="4540018.25"/>
    <n v="12440217.060000001"/>
    <n v="3.18"/>
    <n v="4.12"/>
  </r>
  <r>
    <x v="792"/>
    <x v="0"/>
    <x v="4"/>
    <x v="1"/>
    <n v="134"/>
    <n v="7716927.1399999997"/>
    <n v="1824862.85"/>
    <n v="5892064.29"/>
    <n v="4.53"/>
    <n v="4.78"/>
  </r>
  <r>
    <x v="164"/>
    <x v="0"/>
    <x v="2"/>
    <x v="2"/>
    <n v="177"/>
    <n v="10273670.75"/>
    <n v="3168341.26"/>
    <n v="7105329.4900000002"/>
    <n v="1.65"/>
    <n v="4.63"/>
  </r>
  <r>
    <x v="738"/>
    <x v="0"/>
    <x v="3"/>
    <x v="1"/>
    <n v="134"/>
    <n v="9560085.1600000001"/>
    <n v="2396975.52"/>
    <n v="7163109.6500000004"/>
    <n v="1.9"/>
    <n v="4.7699999999999996"/>
  </r>
  <r>
    <x v="208"/>
    <x v="0"/>
    <x v="3"/>
    <x v="0"/>
    <n v="118"/>
    <n v="10105287.189999999"/>
    <n v="3344816.03"/>
    <n v="6760471.1699999999"/>
    <n v="0.75"/>
    <n v="3.81"/>
  </r>
  <r>
    <x v="793"/>
    <x v="0"/>
    <x v="0"/>
    <x v="1"/>
    <n v="246"/>
    <n v="20273890.210000001"/>
    <n v="7682161.04"/>
    <n v="12591729.16"/>
    <n v="2.99"/>
    <n v="4.2699999999999996"/>
  </r>
  <r>
    <x v="794"/>
    <x v="0"/>
    <x v="3"/>
    <x v="0"/>
    <n v="263"/>
    <n v="19942257.129999999"/>
    <n v="7307582.4900000002"/>
    <n v="12634674.640000001"/>
    <n v="1.04"/>
    <n v="3.6"/>
  </r>
  <r>
    <x v="795"/>
    <x v="0"/>
    <x v="0"/>
    <x v="0"/>
    <n v="67"/>
    <n v="5008461.25"/>
    <n v="1771150.88"/>
    <n v="3237310.38"/>
    <n v="3.68"/>
    <n v="3.96"/>
  </r>
  <r>
    <x v="796"/>
    <x v="0"/>
    <x v="2"/>
    <x v="2"/>
    <n v="174"/>
    <n v="9428321.3499999996"/>
    <n v="3064534.57"/>
    <n v="6363786.7800000003"/>
    <n v="3.3"/>
    <n v="4.58"/>
  </r>
  <r>
    <x v="797"/>
    <x v="0"/>
    <x v="0"/>
    <x v="0"/>
    <n v="154"/>
    <n v="11737240.27"/>
    <n v="2540312.31"/>
    <n v="9196927.9600000009"/>
    <n v="0.99"/>
    <n v="3.85"/>
  </r>
  <r>
    <x v="798"/>
    <x v="0"/>
    <x v="1"/>
    <x v="2"/>
    <n v="419"/>
    <n v="19040676.960000001"/>
    <n v="7467914.0300000003"/>
    <n v="11572762.93"/>
    <n v="2.2599999999999998"/>
    <n v="4.7"/>
  </r>
  <r>
    <x v="799"/>
    <x v="0"/>
    <x v="0"/>
    <x v="2"/>
    <n v="162"/>
    <n v="9627674.1600000001"/>
    <n v="2550203.7999999998"/>
    <n v="7077470.3600000003"/>
    <n v="2.79"/>
    <n v="4.79"/>
  </r>
  <r>
    <x v="800"/>
    <x v="0"/>
    <x v="1"/>
    <x v="2"/>
    <n v="456"/>
    <n v="32803420.59"/>
    <n v="12913246.99"/>
    <n v="19890173.600000001"/>
    <n v="2.91"/>
    <n v="3.56"/>
  </r>
  <r>
    <x v="801"/>
    <x v="0"/>
    <x v="3"/>
    <x v="2"/>
    <n v="120"/>
    <n v="7389331.7000000002"/>
    <n v="1497232.38"/>
    <n v="5892099.3200000003"/>
    <n v="3.9"/>
    <n v="3.87"/>
  </r>
  <r>
    <x v="416"/>
    <x v="0"/>
    <x v="3"/>
    <x v="2"/>
    <n v="242"/>
    <n v="20269348.629999999"/>
    <n v="6491694.71"/>
    <n v="13777653.92"/>
    <n v="4.38"/>
    <n v="3.9"/>
  </r>
  <r>
    <x v="311"/>
    <x v="0"/>
    <x v="3"/>
    <x v="2"/>
    <n v="383"/>
    <n v="31494809.52"/>
    <n v="10545209.65"/>
    <n v="20949599.870000001"/>
    <n v="4.79"/>
    <n v="3.68"/>
  </r>
  <r>
    <x v="796"/>
    <x v="0"/>
    <x v="3"/>
    <x v="2"/>
    <n v="247"/>
    <n v="13227636.32"/>
    <n v="3101818.03"/>
    <n v="10125818.289999999"/>
    <n v="0.5"/>
    <n v="3.96"/>
  </r>
  <r>
    <x v="643"/>
    <x v="0"/>
    <x v="3"/>
    <x v="0"/>
    <n v="290"/>
    <n v="12335483.52"/>
    <n v="3607920.15"/>
    <n v="8727563.3699999992"/>
    <n v="1.33"/>
    <n v="4.1399999999999997"/>
  </r>
  <r>
    <x v="319"/>
    <x v="0"/>
    <x v="1"/>
    <x v="2"/>
    <n v="234"/>
    <n v="11939817.01"/>
    <n v="3779203.34"/>
    <n v="8160613.6699999999"/>
    <n v="2.2000000000000002"/>
    <n v="4.8099999999999996"/>
  </r>
  <r>
    <x v="802"/>
    <x v="0"/>
    <x v="0"/>
    <x v="2"/>
    <n v="261"/>
    <n v="20731911.34"/>
    <n v="5235181.0199999996"/>
    <n v="15496730.32"/>
    <n v="2.92"/>
    <n v="4.76"/>
  </r>
  <r>
    <x v="803"/>
    <x v="0"/>
    <x v="1"/>
    <x v="2"/>
    <n v="207"/>
    <n v="7930683.7699999996"/>
    <n v="2700159.46"/>
    <n v="5230524.3099999996"/>
    <n v="1.84"/>
    <n v="3.98"/>
  </r>
  <r>
    <x v="804"/>
    <x v="0"/>
    <x v="2"/>
    <x v="2"/>
    <n v="256"/>
    <n v="19986912.949999999"/>
    <n v="7505094.3600000003"/>
    <n v="12481818.59"/>
    <n v="3.36"/>
    <n v="3.69"/>
  </r>
  <r>
    <x v="805"/>
    <x v="0"/>
    <x v="3"/>
    <x v="2"/>
    <n v="477"/>
    <n v="17239586.969999999"/>
    <n v="4272362.79"/>
    <n v="12967224.18"/>
    <n v="0.69"/>
    <n v="4.8"/>
  </r>
  <r>
    <x v="197"/>
    <x v="0"/>
    <x v="1"/>
    <x v="2"/>
    <n v="247"/>
    <n v="9702680.8200000003"/>
    <n v="2026990.56"/>
    <n v="7675690.2599999998"/>
    <n v="1.61"/>
    <n v="4.79"/>
  </r>
  <r>
    <x v="806"/>
    <x v="0"/>
    <x v="0"/>
    <x v="1"/>
    <n v="428"/>
    <n v="35081815.450000003"/>
    <n v="13939908.02"/>
    <n v="21141907.420000002"/>
    <n v="2.8"/>
    <n v="4.6500000000000004"/>
  </r>
  <r>
    <x v="807"/>
    <x v="0"/>
    <x v="1"/>
    <x v="2"/>
    <n v="123"/>
    <n v="7704180.1200000001"/>
    <n v="3059512.92"/>
    <n v="4644667.2"/>
    <n v="4.1100000000000003"/>
    <n v="4.97"/>
  </r>
  <r>
    <x v="808"/>
    <x v="0"/>
    <x v="4"/>
    <x v="1"/>
    <n v="230"/>
    <n v="11644931.34"/>
    <n v="3984968.81"/>
    <n v="7659962.5300000003"/>
    <n v="2.2000000000000002"/>
    <n v="4.09"/>
  </r>
  <r>
    <x v="489"/>
    <x v="0"/>
    <x v="4"/>
    <x v="1"/>
    <n v="127"/>
    <n v="7556488.71"/>
    <n v="2127572.62"/>
    <n v="5428916.0899999999"/>
    <n v="3.65"/>
    <n v="3.79"/>
  </r>
  <r>
    <x v="809"/>
    <x v="0"/>
    <x v="2"/>
    <x v="2"/>
    <n v="130"/>
    <n v="8148917.6799999997"/>
    <n v="1961541.36"/>
    <n v="6187376.3300000001"/>
    <n v="3.83"/>
    <n v="4.47"/>
  </r>
  <r>
    <x v="495"/>
    <x v="0"/>
    <x v="0"/>
    <x v="0"/>
    <n v="487"/>
    <n v="20211587.309999999"/>
    <n v="6461654.1200000001"/>
    <n v="13749933.189999999"/>
    <n v="4.07"/>
    <n v="3.83"/>
  </r>
  <r>
    <x v="363"/>
    <x v="0"/>
    <x v="2"/>
    <x v="0"/>
    <n v="146"/>
    <n v="5429685.8600000003"/>
    <n v="1874340.48"/>
    <n v="3555345.38"/>
    <n v="4.8"/>
    <n v="4.93"/>
  </r>
  <r>
    <x v="810"/>
    <x v="0"/>
    <x v="3"/>
    <x v="2"/>
    <n v="331"/>
    <n v="24960369.52"/>
    <n v="6491710.21"/>
    <n v="18468659.309999999"/>
    <n v="4.34"/>
    <n v="3.67"/>
  </r>
  <r>
    <x v="48"/>
    <x v="0"/>
    <x v="4"/>
    <x v="0"/>
    <n v="118"/>
    <n v="5046381.92"/>
    <n v="1247954.26"/>
    <n v="3798427.66"/>
    <n v="0.99"/>
    <n v="4.97"/>
  </r>
  <r>
    <x v="811"/>
    <x v="0"/>
    <x v="4"/>
    <x v="1"/>
    <n v="168"/>
    <n v="10294337.25"/>
    <n v="3133269.06"/>
    <n v="7161068.1900000004"/>
    <n v="3.96"/>
    <n v="4.4400000000000004"/>
  </r>
  <r>
    <x v="812"/>
    <x v="0"/>
    <x v="0"/>
    <x v="2"/>
    <n v="462"/>
    <n v="19880394.100000001"/>
    <n v="4222340.68"/>
    <n v="15658053.42"/>
    <n v="4.63"/>
    <n v="4.83"/>
  </r>
  <r>
    <x v="813"/>
    <x v="0"/>
    <x v="1"/>
    <x v="1"/>
    <n v="81"/>
    <n v="5938181.0499999998"/>
    <n v="1277809.8799999999"/>
    <n v="4660371.17"/>
    <n v="4.1900000000000004"/>
    <n v="4.34"/>
  </r>
  <r>
    <x v="814"/>
    <x v="0"/>
    <x v="3"/>
    <x v="1"/>
    <n v="229"/>
    <n v="16020952.83"/>
    <n v="5267824.59"/>
    <n v="10753128.24"/>
    <n v="1.17"/>
    <n v="4.3899999999999997"/>
  </r>
  <r>
    <x v="815"/>
    <x v="0"/>
    <x v="2"/>
    <x v="2"/>
    <n v="277"/>
    <n v="18103750.460000001"/>
    <n v="6365864.5199999996"/>
    <n v="11737885.939999999"/>
    <n v="2.42"/>
    <n v="4.95"/>
  </r>
  <r>
    <x v="108"/>
    <x v="0"/>
    <x v="4"/>
    <x v="2"/>
    <n v="219"/>
    <n v="14463142.359999999"/>
    <n v="3086560.05"/>
    <n v="11376582.310000001"/>
    <n v="3.14"/>
    <n v="4.29"/>
  </r>
  <r>
    <x v="816"/>
    <x v="0"/>
    <x v="2"/>
    <x v="0"/>
    <n v="111"/>
    <n v="8915505.6600000001"/>
    <n v="3202293.33"/>
    <n v="5713212.3399999999"/>
    <n v="2.61"/>
    <n v="4.7"/>
  </r>
  <r>
    <x v="663"/>
    <x v="0"/>
    <x v="1"/>
    <x v="2"/>
    <n v="179"/>
    <n v="9988620.3499999996"/>
    <n v="2962038.5"/>
    <n v="7026581.8499999996"/>
    <n v="2.36"/>
    <n v="3.8"/>
  </r>
  <r>
    <x v="817"/>
    <x v="0"/>
    <x v="4"/>
    <x v="0"/>
    <n v="493"/>
    <n v="17942327.399999999"/>
    <n v="4700721.5199999996"/>
    <n v="13241605.880000001"/>
    <n v="1.92"/>
    <n v="3.58"/>
  </r>
  <r>
    <x v="818"/>
    <x v="0"/>
    <x v="3"/>
    <x v="1"/>
    <n v="150"/>
    <n v="8223250.8300000001"/>
    <n v="3146098.66"/>
    <n v="5077152.17"/>
    <n v="1.41"/>
    <n v="4.32"/>
  </r>
  <r>
    <x v="65"/>
    <x v="0"/>
    <x v="3"/>
    <x v="0"/>
    <n v="415"/>
    <n v="21326330.399999999"/>
    <n v="8147684.0099999998"/>
    <n v="13178646.390000001"/>
    <n v="4.5999999999999996"/>
    <n v="3.51"/>
  </r>
  <r>
    <x v="819"/>
    <x v="0"/>
    <x v="3"/>
    <x v="1"/>
    <n v="426"/>
    <n v="20663251.170000002"/>
    <n v="4908240.49"/>
    <n v="15755010.68"/>
    <n v="2.04"/>
    <n v="3.67"/>
  </r>
  <r>
    <x v="296"/>
    <x v="0"/>
    <x v="4"/>
    <x v="0"/>
    <n v="355"/>
    <n v="31282876.039999999"/>
    <n v="11225582.42"/>
    <n v="20057293.620000001"/>
    <n v="3.84"/>
    <n v="4.32"/>
  </r>
  <r>
    <x v="820"/>
    <x v="0"/>
    <x v="1"/>
    <x v="1"/>
    <n v="232"/>
    <n v="11723014.65"/>
    <n v="4499401.49"/>
    <n v="7223613.1600000001"/>
    <n v="4.4400000000000004"/>
    <n v="4.59"/>
  </r>
  <r>
    <x v="821"/>
    <x v="0"/>
    <x v="2"/>
    <x v="2"/>
    <n v="261"/>
    <n v="22291201.760000002"/>
    <n v="7454899.2199999997"/>
    <n v="14836302.550000001"/>
    <n v="2.17"/>
    <n v="4.6399999999999997"/>
  </r>
  <r>
    <x v="822"/>
    <x v="0"/>
    <x v="4"/>
    <x v="0"/>
    <n v="272"/>
    <n v="9577403.6999999993"/>
    <n v="2869374.44"/>
    <n v="6708029.25"/>
    <n v="3.12"/>
    <n v="4.37"/>
  </r>
  <r>
    <x v="823"/>
    <x v="0"/>
    <x v="3"/>
    <x v="1"/>
    <n v="157"/>
    <n v="5923347.0199999996"/>
    <n v="2064804.5"/>
    <n v="3858542.52"/>
    <n v="2.59"/>
    <n v="3.84"/>
  </r>
  <r>
    <x v="501"/>
    <x v="0"/>
    <x v="2"/>
    <x v="0"/>
    <n v="68"/>
    <n v="2705788.74"/>
    <n v="818563.63"/>
    <n v="1887225.11"/>
    <n v="3.61"/>
    <n v="3.89"/>
  </r>
  <r>
    <x v="540"/>
    <x v="0"/>
    <x v="1"/>
    <x v="0"/>
    <n v="482"/>
    <n v="28663037.989999998"/>
    <n v="8661692.6199999992"/>
    <n v="20001345.370000001"/>
    <n v="2.08"/>
    <n v="4.8600000000000003"/>
  </r>
  <r>
    <x v="582"/>
    <x v="0"/>
    <x v="4"/>
    <x v="1"/>
    <n v="322"/>
    <n v="16569398.800000001"/>
    <n v="5199947"/>
    <n v="11369451.800000001"/>
    <n v="1.9"/>
    <n v="4.59"/>
  </r>
  <r>
    <x v="402"/>
    <x v="0"/>
    <x v="3"/>
    <x v="0"/>
    <n v="98"/>
    <n v="8003262.8600000003"/>
    <n v="2619859.5299999998"/>
    <n v="5383403.3300000001"/>
    <n v="4.07"/>
    <n v="4.91"/>
  </r>
  <r>
    <x v="824"/>
    <x v="0"/>
    <x v="4"/>
    <x v="1"/>
    <n v="312"/>
    <n v="16741020.32"/>
    <n v="4872991.43"/>
    <n v="11868028.890000001"/>
    <n v="0.68"/>
    <n v="4.62"/>
  </r>
  <r>
    <x v="825"/>
    <x v="0"/>
    <x v="2"/>
    <x v="0"/>
    <n v="178"/>
    <n v="6731869.2699999996"/>
    <n v="2151672"/>
    <n v="4580197.26"/>
    <n v="3.53"/>
    <n v="4.18"/>
  </r>
  <r>
    <x v="826"/>
    <x v="0"/>
    <x v="4"/>
    <x v="2"/>
    <n v="206"/>
    <n v="12469430.74"/>
    <n v="3443547.23"/>
    <n v="9025883.5099999998"/>
    <n v="2.66"/>
    <n v="4.49"/>
  </r>
  <r>
    <x v="827"/>
    <x v="0"/>
    <x v="3"/>
    <x v="0"/>
    <n v="383"/>
    <n v="24900085.579999998"/>
    <n v="8943790.0899999999"/>
    <n v="15956295.5"/>
    <n v="1.81"/>
    <n v="4.62"/>
  </r>
  <r>
    <x v="520"/>
    <x v="0"/>
    <x v="3"/>
    <x v="2"/>
    <n v="350"/>
    <n v="19574276.300000001"/>
    <n v="7414244.21"/>
    <n v="12160032.08"/>
    <n v="2.89"/>
    <n v="4.09"/>
  </r>
  <r>
    <x v="828"/>
    <x v="0"/>
    <x v="3"/>
    <x v="1"/>
    <n v="51"/>
    <n v="2983029.65"/>
    <n v="909764.18"/>
    <n v="2073265.47"/>
    <n v="4.54"/>
    <n v="4.29"/>
  </r>
  <r>
    <x v="567"/>
    <x v="0"/>
    <x v="3"/>
    <x v="1"/>
    <n v="318"/>
    <n v="21943906.07"/>
    <n v="5790240.2999999998"/>
    <n v="16153665.77"/>
    <n v="3.5"/>
    <n v="4.2699999999999996"/>
  </r>
  <r>
    <x v="615"/>
    <x v="0"/>
    <x v="0"/>
    <x v="1"/>
    <n v="353"/>
    <n v="12373316.41"/>
    <n v="4852158.78"/>
    <n v="7521157.6299999999"/>
    <n v="4.9000000000000004"/>
    <n v="3.86"/>
  </r>
  <r>
    <x v="829"/>
    <x v="0"/>
    <x v="1"/>
    <x v="2"/>
    <n v="328"/>
    <n v="18474020.59"/>
    <n v="6878364.8399999999"/>
    <n v="11595655.75"/>
    <n v="3.82"/>
    <n v="4.79"/>
  </r>
  <r>
    <x v="172"/>
    <x v="0"/>
    <x v="2"/>
    <x v="0"/>
    <n v="95"/>
    <n v="6461313.6200000001"/>
    <n v="1639557.57"/>
    <n v="4821756.05"/>
    <n v="3.96"/>
    <n v="4.96"/>
  </r>
  <r>
    <x v="830"/>
    <x v="0"/>
    <x v="4"/>
    <x v="2"/>
    <n v="321"/>
    <n v="16697682.890000001"/>
    <n v="3550847.24"/>
    <n v="13146835.65"/>
    <n v="2.82"/>
    <n v="4.25"/>
  </r>
  <r>
    <x v="796"/>
    <x v="0"/>
    <x v="1"/>
    <x v="2"/>
    <n v="405"/>
    <n v="16834212.030000001"/>
    <n v="5629889.6399999997"/>
    <n v="11204322.390000001"/>
    <n v="4.17"/>
    <n v="4.4000000000000004"/>
  </r>
  <r>
    <x v="103"/>
    <x v="0"/>
    <x v="0"/>
    <x v="1"/>
    <n v="100"/>
    <n v="4554549.2"/>
    <n v="1315811.74"/>
    <n v="3238737.46"/>
    <n v="3.13"/>
    <n v="3.81"/>
  </r>
  <r>
    <x v="831"/>
    <x v="0"/>
    <x v="3"/>
    <x v="1"/>
    <n v="102"/>
    <n v="4064434.16"/>
    <n v="994324.44"/>
    <n v="3070109.72"/>
    <n v="4.3099999999999996"/>
    <n v="3.77"/>
  </r>
  <r>
    <x v="832"/>
    <x v="0"/>
    <x v="1"/>
    <x v="2"/>
    <n v="241"/>
    <n v="19405834.710000001"/>
    <n v="4890783.33"/>
    <n v="14515051.369999999"/>
    <n v="4.05"/>
    <n v="3.68"/>
  </r>
  <r>
    <x v="36"/>
    <x v="0"/>
    <x v="2"/>
    <x v="1"/>
    <n v="436"/>
    <n v="19971757.469999999"/>
    <n v="7142915.5899999999"/>
    <n v="12828841.880000001"/>
    <n v="0.69"/>
    <n v="3.98"/>
  </r>
  <r>
    <x v="421"/>
    <x v="0"/>
    <x v="3"/>
    <x v="2"/>
    <n v="316"/>
    <n v="23301347.789999999"/>
    <n v="4993027.34"/>
    <n v="18308320.449999999"/>
    <n v="3.82"/>
    <n v="3.96"/>
  </r>
  <r>
    <x v="833"/>
    <x v="0"/>
    <x v="4"/>
    <x v="2"/>
    <n v="63"/>
    <n v="4617306.84"/>
    <n v="1668814.22"/>
    <n v="2948492.62"/>
    <n v="0.92"/>
    <n v="4.3"/>
  </r>
  <r>
    <x v="834"/>
    <x v="0"/>
    <x v="3"/>
    <x v="0"/>
    <n v="59"/>
    <n v="4421145.34"/>
    <n v="1661198.5"/>
    <n v="2759946.84"/>
    <n v="1.86"/>
    <n v="4.3"/>
  </r>
  <r>
    <x v="835"/>
    <x v="1"/>
    <x v="5"/>
    <x v="1"/>
    <n v="152"/>
    <n v="11979099.369999999"/>
    <n v="4352163.03"/>
    <n v="7626936.3399999999"/>
    <n v="4.01"/>
    <n v="4.4000000000000004"/>
  </r>
  <r>
    <x v="151"/>
    <x v="1"/>
    <x v="6"/>
    <x v="1"/>
    <n v="171"/>
    <n v="7452128.46"/>
    <n v="2894282.08"/>
    <n v="4557846.3899999997"/>
    <n v="4.4000000000000004"/>
    <n v="4.4000000000000004"/>
  </r>
  <r>
    <x v="836"/>
    <x v="1"/>
    <x v="7"/>
    <x v="2"/>
    <n v="201"/>
    <n v="14230572.07"/>
    <n v="5531675.0199999996"/>
    <n v="8698897.0500000007"/>
    <n v="3.75"/>
    <n v="4.91"/>
  </r>
  <r>
    <x v="783"/>
    <x v="1"/>
    <x v="6"/>
    <x v="1"/>
    <n v="435"/>
    <n v="19575162.34"/>
    <n v="7112030.3300000001"/>
    <n v="12463132.02"/>
    <n v="1.87"/>
    <n v="4.29"/>
  </r>
  <r>
    <x v="29"/>
    <x v="1"/>
    <x v="6"/>
    <x v="2"/>
    <n v="285"/>
    <n v="10336503.51"/>
    <n v="3049734.38"/>
    <n v="7286769.1299999999"/>
    <n v="2.2999999999999998"/>
    <n v="3.57"/>
  </r>
  <r>
    <x v="530"/>
    <x v="1"/>
    <x v="5"/>
    <x v="2"/>
    <n v="237"/>
    <n v="13070526.630000001"/>
    <n v="4035995.68"/>
    <n v="9034530.9499999993"/>
    <n v="4.03"/>
    <n v="3.8"/>
  </r>
  <r>
    <x v="837"/>
    <x v="1"/>
    <x v="7"/>
    <x v="0"/>
    <n v="104"/>
    <n v="9264080.6699999999"/>
    <n v="2840806.45"/>
    <n v="6423274.2199999997"/>
    <n v="4.37"/>
    <n v="4.5199999999999996"/>
  </r>
  <r>
    <x v="401"/>
    <x v="1"/>
    <x v="5"/>
    <x v="2"/>
    <n v="378"/>
    <n v="14582422.619999999"/>
    <n v="3065559.06"/>
    <n v="11516863.550000001"/>
    <n v="4.8499999999999996"/>
    <n v="4.71"/>
  </r>
  <r>
    <x v="838"/>
    <x v="1"/>
    <x v="5"/>
    <x v="0"/>
    <n v="314"/>
    <n v="11265737.18"/>
    <n v="3986057.04"/>
    <n v="7279680.1399999997"/>
    <n v="1.58"/>
    <n v="4.5199999999999996"/>
  </r>
  <r>
    <x v="839"/>
    <x v="1"/>
    <x v="6"/>
    <x v="0"/>
    <n v="477"/>
    <n v="29685966.239999998"/>
    <n v="11670215.199999999"/>
    <n v="18015751.039999999"/>
    <n v="4.59"/>
    <n v="3.89"/>
  </r>
  <r>
    <x v="788"/>
    <x v="1"/>
    <x v="7"/>
    <x v="2"/>
    <n v="409"/>
    <n v="31306854.93"/>
    <n v="9860683.3100000005"/>
    <n v="21446171.609999999"/>
    <n v="1.44"/>
    <n v="4.3499999999999996"/>
  </r>
  <r>
    <x v="155"/>
    <x v="1"/>
    <x v="8"/>
    <x v="0"/>
    <n v="240"/>
    <n v="19518159.02"/>
    <n v="6051589.0700000003"/>
    <n v="13466569.949999999"/>
    <n v="2.2799999999999998"/>
    <n v="4.8899999999999997"/>
  </r>
  <r>
    <x v="389"/>
    <x v="1"/>
    <x v="7"/>
    <x v="2"/>
    <n v="400"/>
    <n v="34281233.170000002"/>
    <n v="13105766.85"/>
    <n v="21175466.32"/>
    <n v="1.38"/>
    <n v="3.57"/>
  </r>
  <r>
    <x v="840"/>
    <x v="1"/>
    <x v="9"/>
    <x v="2"/>
    <n v="345"/>
    <n v="28100029.780000001"/>
    <n v="7040068.4400000004"/>
    <n v="21059961.34"/>
    <n v="2.93"/>
    <n v="4.38"/>
  </r>
  <r>
    <x v="637"/>
    <x v="1"/>
    <x v="7"/>
    <x v="2"/>
    <n v="266"/>
    <n v="13420071.880000001"/>
    <n v="3911424.66"/>
    <n v="9508647.2100000009"/>
    <n v="1.1299999999999999"/>
    <n v="4.7"/>
  </r>
  <r>
    <x v="841"/>
    <x v="1"/>
    <x v="7"/>
    <x v="1"/>
    <n v="114"/>
    <n v="4088040.27"/>
    <n v="1289039.6499999999"/>
    <n v="2799000.62"/>
    <n v="2.2799999999999998"/>
    <n v="3.94"/>
  </r>
  <r>
    <x v="842"/>
    <x v="1"/>
    <x v="5"/>
    <x v="1"/>
    <n v="112"/>
    <n v="8943242.4000000004"/>
    <n v="2312977.65"/>
    <n v="6630264.75"/>
    <n v="3.78"/>
    <n v="4.66"/>
  </r>
  <r>
    <x v="66"/>
    <x v="1"/>
    <x v="9"/>
    <x v="1"/>
    <n v="310"/>
    <n v="26643429.98"/>
    <n v="7187986.96"/>
    <n v="19455443.02"/>
    <n v="4.62"/>
    <n v="4.78"/>
  </r>
  <r>
    <x v="843"/>
    <x v="1"/>
    <x v="8"/>
    <x v="1"/>
    <n v="317"/>
    <n v="16864207.059999999"/>
    <n v="6531310.5899999999"/>
    <n v="10332896.470000001"/>
    <n v="1.9"/>
    <n v="3.99"/>
  </r>
  <r>
    <x v="844"/>
    <x v="1"/>
    <x v="6"/>
    <x v="0"/>
    <n v="148"/>
    <n v="9993163.9900000002"/>
    <n v="3448197.61"/>
    <n v="6544966.3799999999"/>
    <n v="3.03"/>
    <n v="4.07"/>
  </r>
  <r>
    <x v="447"/>
    <x v="1"/>
    <x v="9"/>
    <x v="0"/>
    <n v="480"/>
    <n v="35629662.380000003"/>
    <n v="8830562.0700000003"/>
    <n v="26799100.32"/>
    <n v="3.03"/>
    <n v="4.66"/>
  </r>
  <r>
    <x v="806"/>
    <x v="1"/>
    <x v="7"/>
    <x v="0"/>
    <n v="408"/>
    <n v="15187329.75"/>
    <n v="3916317.57"/>
    <n v="11271012.18"/>
    <n v="1"/>
    <n v="4.16"/>
  </r>
  <r>
    <x v="845"/>
    <x v="1"/>
    <x v="8"/>
    <x v="0"/>
    <n v="228"/>
    <n v="8374121.9900000002"/>
    <n v="2283773.11"/>
    <n v="6090348.8799999999"/>
    <n v="1.91"/>
    <n v="4.26"/>
  </r>
  <r>
    <x v="642"/>
    <x v="1"/>
    <x v="8"/>
    <x v="0"/>
    <n v="271"/>
    <n v="11561735.33"/>
    <n v="3227071.38"/>
    <n v="8334663.9500000002"/>
    <n v="2.93"/>
    <n v="3.8"/>
  </r>
  <r>
    <x v="758"/>
    <x v="1"/>
    <x v="7"/>
    <x v="0"/>
    <n v="62"/>
    <n v="2432501.4900000002"/>
    <n v="832036.43"/>
    <n v="1600465.06"/>
    <n v="1.23"/>
    <n v="4.8899999999999997"/>
  </r>
  <r>
    <x v="238"/>
    <x v="1"/>
    <x v="5"/>
    <x v="2"/>
    <n v="94"/>
    <n v="4818426.16"/>
    <n v="1825707.2"/>
    <n v="2992718.95"/>
    <n v="2.5499999999999998"/>
    <n v="3.83"/>
  </r>
  <r>
    <x v="783"/>
    <x v="1"/>
    <x v="8"/>
    <x v="1"/>
    <n v="389"/>
    <n v="32711299.77"/>
    <n v="9556002.7599999998"/>
    <n v="23155297.010000002"/>
    <n v="4.13"/>
    <n v="4.84"/>
  </r>
  <r>
    <x v="846"/>
    <x v="1"/>
    <x v="6"/>
    <x v="0"/>
    <n v="280"/>
    <n v="23765158"/>
    <n v="8212610.0199999996"/>
    <n v="15552547.98"/>
    <n v="3.41"/>
    <n v="3.5"/>
  </r>
  <r>
    <x v="843"/>
    <x v="1"/>
    <x v="9"/>
    <x v="1"/>
    <n v="282"/>
    <n v="14597157.310000001"/>
    <n v="5358161.45"/>
    <n v="9238995.8699999992"/>
    <n v="2.9"/>
    <n v="4.2300000000000004"/>
  </r>
  <r>
    <x v="847"/>
    <x v="1"/>
    <x v="6"/>
    <x v="0"/>
    <n v="274"/>
    <n v="11396371.09"/>
    <n v="3789030.88"/>
    <n v="7607340.21"/>
    <n v="4.74"/>
    <n v="3.98"/>
  </r>
  <r>
    <x v="350"/>
    <x v="1"/>
    <x v="8"/>
    <x v="2"/>
    <n v="145"/>
    <n v="9525863.4700000007"/>
    <n v="3040967.74"/>
    <n v="6484895.7300000004"/>
    <n v="0.79"/>
    <n v="3.88"/>
  </r>
  <r>
    <x v="848"/>
    <x v="1"/>
    <x v="8"/>
    <x v="1"/>
    <n v="317"/>
    <n v="15484824.33"/>
    <n v="4653968.58"/>
    <n v="10830855.75"/>
    <n v="1.85"/>
    <n v="3.93"/>
  </r>
  <r>
    <x v="445"/>
    <x v="1"/>
    <x v="8"/>
    <x v="0"/>
    <n v="130"/>
    <n v="6457484.25"/>
    <n v="1321698.56"/>
    <n v="5135785.6900000004"/>
    <n v="2.35"/>
    <n v="3.55"/>
  </r>
  <r>
    <x v="849"/>
    <x v="1"/>
    <x v="5"/>
    <x v="1"/>
    <n v="273"/>
    <n v="23192612.280000001"/>
    <n v="8165831.7000000002"/>
    <n v="15026780.58"/>
    <n v="1.1499999999999999"/>
    <n v="4.2300000000000004"/>
  </r>
  <r>
    <x v="850"/>
    <x v="1"/>
    <x v="5"/>
    <x v="1"/>
    <n v="209"/>
    <n v="13670506.060000001"/>
    <n v="3847709.59"/>
    <n v="9822796.4700000007"/>
    <n v="0.86"/>
    <n v="4.05"/>
  </r>
  <r>
    <x v="851"/>
    <x v="1"/>
    <x v="7"/>
    <x v="1"/>
    <n v="450"/>
    <n v="33773354.630000003"/>
    <n v="11025087.82"/>
    <n v="22748266.809999999"/>
    <n v="3.35"/>
    <n v="4.45"/>
  </r>
  <r>
    <x v="827"/>
    <x v="1"/>
    <x v="6"/>
    <x v="2"/>
    <n v="444"/>
    <n v="35477266.340000004"/>
    <n v="8526286.0099999998"/>
    <n v="26950980.329999998"/>
    <n v="1.18"/>
    <n v="4.26"/>
  </r>
  <r>
    <x v="852"/>
    <x v="1"/>
    <x v="9"/>
    <x v="2"/>
    <n v="398"/>
    <n v="32719474.239999998"/>
    <n v="10954748.890000001"/>
    <n v="21764725.34"/>
    <n v="1.49"/>
    <n v="4.57"/>
  </r>
  <r>
    <x v="853"/>
    <x v="1"/>
    <x v="8"/>
    <x v="1"/>
    <n v="196"/>
    <n v="10618619.34"/>
    <n v="4043195.3"/>
    <n v="6575424.04"/>
    <n v="4.7300000000000004"/>
    <n v="4.0999999999999996"/>
  </r>
  <r>
    <x v="854"/>
    <x v="1"/>
    <x v="5"/>
    <x v="0"/>
    <n v="88"/>
    <n v="7613773.1500000004"/>
    <n v="2836098.6"/>
    <n v="4777674.54"/>
    <n v="2.0299999999999998"/>
    <n v="3.67"/>
  </r>
  <r>
    <x v="855"/>
    <x v="1"/>
    <x v="6"/>
    <x v="1"/>
    <n v="200"/>
    <n v="12955927.710000001"/>
    <n v="3379464.61"/>
    <n v="9576463.0999999996"/>
    <n v="1.53"/>
    <n v="3.76"/>
  </r>
  <r>
    <x v="856"/>
    <x v="1"/>
    <x v="7"/>
    <x v="1"/>
    <n v="161"/>
    <n v="10551303.189999999"/>
    <n v="3102820.51"/>
    <n v="7448482.6799999997"/>
    <n v="1.59"/>
    <n v="3.64"/>
  </r>
  <r>
    <x v="857"/>
    <x v="1"/>
    <x v="9"/>
    <x v="2"/>
    <n v="189"/>
    <n v="12418460.449999999"/>
    <n v="2775187.28"/>
    <n v="9643273.1699999999"/>
    <n v="1.35"/>
    <n v="3.92"/>
  </r>
  <r>
    <x v="671"/>
    <x v="1"/>
    <x v="9"/>
    <x v="0"/>
    <n v="196"/>
    <n v="14685802.220000001"/>
    <n v="3239364.12"/>
    <n v="11446438.1"/>
    <n v="4.49"/>
    <n v="4.67"/>
  </r>
  <r>
    <x v="234"/>
    <x v="1"/>
    <x v="5"/>
    <x v="1"/>
    <n v="457"/>
    <n v="37383086.560000002"/>
    <n v="7957849.8300000001"/>
    <n v="29425236.73"/>
    <n v="4.03"/>
    <n v="4.5"/>
  </r>
  <r>
    <x v="369"/>
    <x v="1"/>
    <x v="9"/>
    <x v="1"/>
    <n v="303"/>
    <n v="10758268.869999999"/>
    <n v="4084975.92"/>
    <n v="6673292.9500000002"/>
    <n v="3.49"/>
    <n v="3.51"/>
  </r>
  <r>
    <x v="298"/>
    <x v="1"/>
    <x v="7"/>
    <x v="1"/>
    <n v="433"/>
    <n v="22427240.329999998"/>
    <n v="6792700.8600000003"/>
    <n v="15634539.470000001"/>
    <n v="2.52"/>
    <n v="4.99"/>
  </r>
  <r>
    <x v="858"/>
    <x v="1"/>
    <x v="6"/>
    <x v="2"/>
    <n v="210"/>
    <n v="7558770.4500000002"/>
    <n v="2276862.34"/>
    <n v="5281908.1100000003"/>
    <n v="1.3"/>
    <n v="4.05"/>
  </r>
  <r>
    <x v="859"/>
    <x v="1"/>
    <x v="5"/>
    <x v="1"/>
    <n v="441"/>
    <n v="36032913.82"/>
    <n v="9674023.7899999991"/>
    <n v="26358890.030000001"/>
    <n v="3.06"/>
    <n v="3.64"/>
  </r>
  <r>
    <x v="617"/>
    <x v="1"/>
    <x v="7"/>
    <x v="1"/>
    <n v="420"/>
    <n v="29399283.48"/>
    <n v="10287033.789999999"/>
    <n v="19112249.690000001"/>
    <n v="3.15"/>
    <n v="4.97"/>
  </r>
  <r>
    <x v="860"/>
    <x v="1"/>
    <x v="9"/>
    <x v="0"/>
    <n v="100"/>
    <n v="8406256.0500000007"/>
    <n v="2301399.84"/>
    <n v="6104856.21"/>
    <n v="4.08"/>
    <n v="4.25"/>
  </r>
  <r>
    <x v="239"/>
    <x v="1"/>
    <x v="7"/>
    <x v="1"/>
    <n v="333"/>
    <n v="23906344.149999999"/>
    <n v="5430720.2199999997"/>
    <n v="18475623.93"/>
    <n v="1.54"/>
    <n v="4.25"/>
  </r>
  <r>
    <x v="861"/>
    <x v="1"/>
    <x v="6"/>
    <x v="0"/>
    <n v="53"/>
    <n v="1925881.04"/>
    <n v="521731.85"/>
    <n v="1404149.2"/>
    <n v="1.3"/>
    <n v="4.91"/>
  </r>
  <r>
    <x v="62"/>
    <x v="1"/>
    <x v="8"/>
    <x v="0"/>
    <n v="95"/>
    <n v="8105166.4400000004"/>
    <n v="2642027"/>
    <n v="5463139.4400000004"/>
    <n v="0.56999999999999995"/>
    <n v="4.8899999999999997"/>
  </r>
  <r>
    <x v="862"/>
    <x v="1"/>
    <x v="9"/>
    <x v="1"/>
    <n v="351"/>
    <n v="30946271.280000001"/>
    <n v="6414419.4699999997"/>
    <n v="24531851.809999999"/>
    <n v="4.34"/>
    <n v="3.94"/>
  </r>
  <r>
    <x v="863"/>
    <x v="1"/>
    <x v="9"/>
    <x v="1"/>
    <n v="465"/>
    <n v="38042820.369999997"/>
    <n v="12805806.77"/>
    <n v="25237013.609999999"/>
    <n v="1.26"/>
    <n v="4.34"/>
  </r>
  <r>
    <x v="864"/>
    <x v="1"/>
    <x v="9"/>
    <x v="2"/>
    <n v="272"/>
    <n v="22149428.59"/>
    <n v="4739903.1399999997"/>
    <n v="17409525.440000001"/>
    <n v="0.82"/>
    <n v="3.81"/>
  </r>
  <r>
    <x v="3"/>
    <x v="1"/>
    <x v="6"/>
    <x v="2"/>
    <n v="480"/>
    <n v="42937421.640000001"/>
    <n v="15971999.369999999"/>
    <n v="26965422.27"/>
    <n v="2.83"/>
    <n v="4.82"/>
  </r>
  <r>
    <x v="865"/>
    <x v="1"/>
    <x v="9"/>
    <x v="1"/>
    <n v="322"/>
    <n v="26299942.07"/>
    <n v="9801350.2100000009"/>
    <n v="16498591.859999999"/>
    <n v="3.69"/>
    <n v="4.33"/>
  </r>
  <r>
    <x v="721"/>
    <x v="1"/>
    <x v="5"/>
    <x v="1"/>
    <n v="219"/>
    <n v="17413755.120000001"/>
    <n v="4144078.79"/>
    <n v="13269676.33"/>
    <n v="4.4000000000000004"/>
    <n v="4.87"/>
  </r>
  <r>
    <x v="51"/>
    <x v="1"/>
    <x v="8"/>
    <x v="0"/>
    <n v="440"/>
    <n v="27536694.329999998"/>
    <n v="6618195.6699999999"/>
    <n v="20918498.66"/>
    <n v="3.42"/>
    <n v="4.55"/>
  </r>
  <r>
    <x v="866"/>
    <x v="1"/>
    <x v="5"/>
    <x v="2"/>
    <n v="449"/>
    <n v="16968728.870000001"/>
    <n v="3778538.35"/>
    <n v="13190190.529999999"/>
    <n v="0.62"/>
    <n v="4.37"/>
  </r>
  <r>
    <x v="867"/>
    <x v="1"/>
    <x v="5"/>
    <x v="0"/>
    <n v="337"/>
    <n v="22513422.41"/>
    <n v="8843532.25"/>
    <n v="13669890.17"/>
    <n v="2.6"/>
    <n v="4.3099999999999996"/>
  </r>
  <r>
    <x v="34"/>
    <x v="1"/>
    <x v="9"/>
    <x v="0"/>
    <n v="174"/>
    <n v="14118593.609999999"/>
    <n v="3217896.82"/>
    <n v="10900696.800000001"/>
    <n v="1.63"/>
    <n v="3.56"/>
  </r>
  <r>
    <x v="868"/>
    <x v="1"/>
    <x v="9"/>
    <x v="0"/>
    <n v="320"/>
    <n v="17539355.289999999"/>
    <n v="6570030.2199999997"/>
    <n v="10969325.07"/>
    <n v="2.85"/>
    <n v="4.6500000000000004"/>
  </r>
  <r>
    <x v="869"/>
    <x v="1"/>
    <x v="7"/>
    <x v="2"/>
    <n v="157"/>
    <n v="10873659.26"/>
    <n v="4163855.85"/>
    <n v="6709803.4100000001"/>
    <n v="0.73"/>
    <n v="4.3"/>
  </r>
  <r>
    <x v="595"/>
    <x v="1"/>
    <x v="9"/>
    <x v="1"/>
    <n v="96"/>
    <n v="7053424.4699999997"/>
    <n v="2626197.17"/>
    <n v="4427227.3"/>
    <n v="1.1000000000000001"/>
    <n v="4.95"/>
  </r>
  <r>
    <x v="82"/>
    <x v="1"/>
    <x v="5"/>
    <x v="2"/>
    <n v="155"/>
    <n v="8178203.9299999997"/>
    <n v="1970642.6"/>
    <n v="6207561.3300000001"/>
    <n v="1.72"/>
    <n v="4.16"/>
  </r>
  <r>
    <x v="229"/>
    <x v="1"/>
    <x v="9"/>
    <x v="2"/>
    <n v="488"/>
    <n v="23813096.550000001"/>
    <n v="8647327.5"/>
    <n v="15165769.050000001"/>
    <n v="0.86"/>
    <n v="4.1399999999999997"/>
  </r>
  <r>
    <x v="870"/>
    <x v="1"/>
    <x v="9"/>
    <x v="1"/>
    <n v="445"/>
    <n v="25584123.309999999"/>
    <n v="9346932.6699999999"/>
    <n v="16237190.640000001"/>
    <n v="1.2"/>
    <n v="3.88"/>
  </r>
  <r>
    <x v="655"/>
    <x v="1"/>
    <x v="8"/>
    <x v="0"/>
    <n v="175"/>
    <n v="7028530.4199999999"/>
    <n v="2554356.3199999998"/>
    <n v="4474174.09"/>
    <n v="4.71"/>
    <n v="4.46"/>
  </r>
  <r>
    <x v="871"/>
    <x v="1"/>
    <x v="7"/>
    <x v="2"/>
    <n v="238"/>
    <n v="17989070.640000001"/>
    <n v="5201165.41"/>
    <n v="12787905.23"/>
    <n v="3.25"/>
    <n v="4.13"/>
  </r>
  <r>
    <x v="1"/>
    <x v="1"/>
    <x v="5"/>
    <x v="0"/>
    <n v="125"/>
    <n v="8266505.8200000003"/>
    <n v="3044311.97"/>
    <n v="5222193.8499999996"/>
    <n v="1.04"/>
    <n v="4.01"/>
  </r>
  <r>
    <x v="872"/>
    <x v="1"/>
    <x v="7"/>
    <x v="1"/>
    <n v="269"/>
    <n v="10095609.09"/>
    <n v="3956007.22"/>
    <n v="6139601.8700000001"/>
    <n v="4.3499999999999996"/>
    <n v="4.5599999999999996"/>
  </r>
  <r>
    <x v="412"/>
    <x v="1"/>
    <x v="5"/>
    <x v="0"/>
    <n v="253"/>
    <n v="9093796.7300000004"/>
    <n v="2249142.5099999998"/>
    <n v="6844654.2199999997"/>
    <n v="4.13"/>
    <n v="4.0199999999999996"/>
  </r>
  <r>
    <x v="323"/>
    <x v="1"/>
    <x v="8"/>
    <x v="2"/>
    <n v="303"/>
    <n v="17835137.73"/>
    <n v="5712577.7300000004"/>
    <n v="12122560.01"/>
    <n v="3.27"/>
    <n v="4.45"/>
  </r>
  <r>
    <x v="179"/>
    <x v="1"/>
    <x v="7"/>
    <x v="2"/>
    <n v="339"/>
    <n v="16729361.609999999"/>
    <n v="6640537.6100000003"/>
    <n v="10088824"/>
    <n v="4.7"/>
    <n v="4.25"/>
  </r>
  <r>
    <x v="873"/>
    <x v="1"/>
    <x v="7"/>
    <x v="1"/>
    <n v="374"/>
    <n v="27159134.739999998"/>
    <n v="7518456.9400000004"/>
    <n v="19640677.789999999"/>
    <n v="4.75"/>
    <n v="4.92"/>
  </r>
  <r>
    <x v="383"/>
    <x v="1"/>
    <x v="9"/>
    <x v="2"/>
    <n v="433"/>
    <n v="30310951.670000002"/>
    <n v="7268873.5999999996"/>
    <n v="23042078.079999998"/>
    <n v="3.55"/>
    <n v="4.3600000000000003"/>
  </r>
  <r>
    <x v="874"/>
    <x v="1"/>
    <x v="6"/>
    <x v="0"/>
    <n v="82"/>
    <n v="4936720.54"/>
    <n v="1435976.69"/>
    <n v="3500743.84"/>
    <n v="4.74"/>
    <n v="4.08"/>
  </r>
  <r>
    <x v="443"/>
    <x v="1"/>
    <x v="9"/>
    <x v="0"/>
    <n v="466"/>
    <n v="33007554.699999999"/>
    <n v="11838592.82"/>
    <n v="21168961.879999999"/>
    <n v="1.73"/>
    <n v="3.82"/>
  </r>
  <r>
    <x v="875"/>
    <x v="1"/>
    <x v="6"/>
    <x v="1"/>
    <n v="351"/>
    <n v="12636772.34"/>
    <n v="4816018.0999999996"/>
    <n v="7820754.25"/>
    <n v="3.57"/>
    <n v="3.61"/>
  </r>
  <r>
    <x v="876"/>
    <x v="1"/>
    <x v="7"/>
    <x v="2"/>
    <n v="313"/>
    <n v="17589602.829999998"/>
    <n v="4637978.3899999997"/>
    <n v="12951624.439999999"/>
    <n v="2.0299999999999998"/>
    <n v="3.89"/>
  </r>
  <r>
    <x v="10"/>
    <x v="1"/>
    <x v="7"/>
    <x v="0"/>
    <n v="440"/>
    <n v="18259588.829999998"/>
    <n v="4759408.7"/>
    <n v="13500180.130000001"/>
    <n v="3.33"/>
    <n v="4.82"/>
  </r>
  <r>
    <x v="372"/>
    <x v="1"/>
    <x v="6"/>
    <x v="1"/>
    <n v="469"/>
    <n v="27195917.890000001"/>
    <n v="5615518.9100000001"/>
    <n v="21580398.98"/>
    <n v="2.97"/>
    <n v="4.1399999999999997"/>
  </r>
  <r>
    <x v="877"/>
    <x v="1"/>
    <x v="8"/>
    <x v="1"/>
    <n v="457"/>
    <n v="36274791.170000002"/>
    <n v="7323843.0300000003"/>
    <n v="28950948.140000001"/>
    <n v="2.36"/>
    <n v="4.0599999999999996"/>
  </r>
  <r>
    <x v="59"/>
    <x v="1"/>
    <x v="7"/>
    <x v="0"/>
    <n v="145"/>
    <n v="7792908.2300000004"/>
    <n v="1666502.01"/>
    <n v="6126406.2300000004"/>
    <n v="4.3600000000000003"/>
    <n v="4.1399999999999997"/>
  </r>
  <r>
    <x v="878"/>
    <x v="1"/>
    <x v="8"/>
    <x v="2"/>
    <n v="62"/>
    <n v="4693088.87"/>
    <n v="1653622.86"/>
    <n v="3039466.01"/>
    <n v="2.2000000000000002"/>
    <n v="4.3"/>
  </r>
  <r>
    <x v="879"/>
    <x v="1"/>
    <x v="6"/>
    <x v="2"/>
    <n v="133"/>
    <n v="10700536.359999999"/>
    <n v="3595274.07"/>
    <n v="7105262.2999999998"/>
    <n v="4.53"/>
    <n v="4.08"/>
  </r>
  <r>
    <x v="63"/>
    <x v="1"/>
    <x v="7"/>
    <x v="2"/>
    <n v="445"/>
    <n v="39035303.140000001"/>
    <n v="9000423.3699999992"/>
    <n v="30034879.77"/>
    <n v="2.1"/>
    <n v="4.9400000000000004"/>
  </r>
  <r>
    <x v="800"/>
    <x v="1"/>
    <x v="9"/>
    <x v="0"/>
    <n v="272"/>
    <n v="23741082.920000002"/>
    <n v="6773625.8799999999"/>
    <n v="16967457.039999999"/>
    <n v="3.34"/>
    <n v="4.17"/>
  </r>
  <r>
    <x v="880"/>
    <x v="1"/>
    <x v="9"/>
    <x v="1"/>
    <n v="148"/>
    <n v="10083869.140000001"/>
    <n v="2916853.83"/>
    <n v="7167015.3099999996"/>
    <n v="1.46"/>
    <n v="4.92"/>
  </r>
  <r>
    <x v="881"/>
    <x v="1"/>
    <x v="8"/>
    <x v="0"/>
    <n v="193"/>
    <n v="15136796.59"/>
    <n v="5778604.9900000002"/>
    <n v="9358191.5999999996"/>
    <n v="2.72"/>
    <n v="3.59"/>
  </r>
  <r>
    <x v="46"/>
    <x v="1"/>
    <x v="5"/>
    <x v="1"/>
    <n v="272"/>
    <n v="10355832.470000001"/>
    <n v="2615809.64"/>
    <n v="7740022.8399999999"/>
    <n v="2.96"/>
    <n v="4.5599999999999996"/>
  </r>
  <r>
    <x v="882"/>
    <x v="1"/>
    <x v="9"/>
    <x v="1"/>
    <n v="288"/>
    <n v="12344988.24"/>
    <n v="3057827.34"/>
    <n v="9287160.9100000001"/>
    <n v="3.28"/>
    <n v="3.65"/>
  </r>
  <r>
    <x v="883"/>
    <x v="1"/>
    <x v="8"/>
    <x v="2"/>
    <n v="56"/>
    <n v="3272361.74"/>
    <n v="1163274.5900000001"/>
    <n v="2109087.16"/>
    <n v="2.2799999999999998"/>
    <n v="4.84"/>
  </r>
  <r>
    <x v="271"/>
    <x v="1"/>
    <x v="9"/>
    <x v="2"/>
    <n v="243"/>
    <n v="9592226.4499999993"/>
    <n v="3674134.07"/>
    <n v="5918092.3899999997"/>
    <n v="4.9400000000000004"/>
    <n v="4.0599999999999996"/>
  </r>
  <r>
    <x v="514"/>
    <x v="1"/>
    <x v="5"/>
    <x v="2"/>
    <n v="370"/>
    <n v="30865325.359999999"/>
    <n v="10885057.039999999"/>
    <n v="19980268.32"/>
    <n v="4.58"/>
    <n v="4.3899999999999997"/>
  </r>
  <r>
    <x v="884"/>
    <x v="1"/>
    <x v="6"/>
    <x v="1"/>
    <n v="341"/>
    <n v="18991748.530000001"/>
    <n v="7279534.4900000002"/>
    <n v="11712214.039999999"/>
    <n v="4"/>
    <n v="4.34"/>
  </r>
  <r>
    <x v="381"/>
    <x v="1"/>
    <x v="5"/>
    <x v="1"/>
    <n v="140"/>
    <n v="6815175.9900000002"/>
    <n v="2275924.5699999998"/>
    <n v="4539251.41"/>
    <n v="2.46"/>
    <n v="3.88"/>
  </r>
  <r>
    <x v="885"/>
    <x v="1"/>
    <x v="5"/>
    <x v="0"/>
    <n v="291"/>
    <n v="17685913.579999998"/>
    <n v="6875210.46"/>
    <n v="10810703.119999999"/>
    <n v="1.03"/>
    <n v="3.68"/>
  </r>
  <r>
    <x v="96"/>
    <x v="1"/>
    <x v="8"/>
    <x v="0"/>
    <n v="410"/>
    <n v="31131972.859999999"/>
    <n v="8212368.9500000002"/>
    <n v="22919603.91"/>
    <n v="1.57"/>
    <n v="4.0999999999999996"/>
  </r>
  <r>
    <x v="280"/>
    <x v="1"/>
    <x v="6"/>
    <x v="2"/>
    <n v="418"/>
    <n v="16535671.49"/>
    <n v="4866877.6399999997"/>
    <n v="11668793.84"/>
    <n v="2.46"/>
    <n v="4.7"/>
  </r>
  <r>
    <x v="568"/>
    <x v="1"/>
    <x v="5"/>
    <x v="1"/>
    <n v="222"/>
    <n v="19612220.469999999"/>
    <n v="7675595.8499999996"/>
    <n v="11936624.630000001"/>
    <n v="4.51"/>
    <n v="4.29"/>
  </r>
  <r>
    <x v="886"/>
    <x v="1"/>
    <x v="7"/>
    <x v="0"/>
    <n v="252"/>
    <n v="21558943.809999999"/>
    <n v="7532737.3600000003"/>
    <n v="14026206.449999999"/>
    <n v="3.63"/>
    <n v="3.61"/>
  </r>
  <r>
    <x v="887"/>
    <x v="1"/>
    <x v="5"/>
    <x v="0"/>
    <n v="96"/>
    <n v="6683224.8099999996"/>
    <n v="1743320.94"/>
    <n v="4939903.87"/>
    <n v="2.5499999999999998"/>
    <n v="4.4400000000000004"/>
  </r>
  <r>
    <x v="400"/>
    <x v="1"/>
    <x v="9"/>
    <x v="2"/>
    <n v="423"/>
    <n v="23743455.609999999"/>
    <n v="5997118.6699999999"/>
    <n v="17746336.940000001"/>
    <n v="4.62"/>
    <n v="4.9400000000000004"/>
  </r>
  <r>
    <x v="888"/>
    <x v="1"/>
    <x v="6"/>
    <x v="1"/>
    <n v="321"/>
    <n v="26952607.100000001"/>
    <n v="8324815.3600000003"/>
    <n v="18627791.75"/>
    <n v="3.29"/>
    <n v="3.92"/>
  </r>
  <r>
    <x v="889"/>
    <x v="1"/>
    <x v="6"/>
    <x v="1"/>
    <n v="397"/>
    <n v="28018933.98"/>
    <n v="9031800.3499999996"/>
    <n v="18987133.629999999"/>
    <n v="1.53"/>
    <n v="3.9"/>
  </r>
  <r>
    <x v="890"/>
    <x v="1"/>
    <x v="6"/>
    <x v="0"/>
    <n v="406"/>
    <n v="35968236.060000002"/>
    <n v="7292842.25"/>
    <n v="28675393.800000001"/>
    <n v="3.64"/>
    <n v="4.3"/>
  </r>
  <r>
    <x v="891"/>
    <x v="1"/>
    <x v="7"/>
    <x v="0"/>
    <n v="466"/>
    <n v="26849228.260000002"/>
    <n v="7502845.6299999999"/>
    <n v="19346382.620000001"/>
    <n v="1.72"/>
    <n v="3.7"/>
  </r>
  <r>
    <x v="171"/>
    <x v="1"/>
    <x v="9"/>
    <x v="2"/>
    <n v="84"/>
    <n v="6740122.0599999996"/>
    <n v="1415695.35"/>
    <n v="5324426.71"/>
    <n v="3.77"/>
    <n v="4.42"/>
  </r>
  <r>
    <x v="285"/>
    <x v="1"/>
    <x v="5"/>
    <x v="2"/>
    <n v="499"/>
    <n v="19736030.390000001"/>
    <n v="4434048.6100000003"/>
    <n v="15301981.779999999"/>
    <n v="2.98"/>
    <n v="3.75"/>
  </r>
  <r>
    <x v="892"/>
    <x v="1"/>
    <x v="6"/>
    <x v="2"/>
    <n v="338"/>
    <n v="26285626.449999999"/>
    <n v="7988884.8799999999"/>
    <n v="18296741.579999998"/>
    <n v="4.93"/>
    <n v="4.07"/>
  </r>
  <r>
    <x v="53"/>
    <x v="1"/>
    <x v="7"/>
    <x v="0"/>
    <n v="331"/>
    <n v="18519118.039999999"/>
    <n v="3815255.37"/>
    <n v="14703862.67"/>
    <n v="4.29"/>
    <n v="4.76"/>
  </r>
  <r>
    <x v="893"/>
    <x v="1"/>
    <x v="7"/>
    <x v="0"/>
    <n v="147"/>
    <n v="5442704.7999999998"/>
    <n v="2031378.41"/>
    <n v="3411326.39"/>
    <n v="0.56000000000000005"/>
    <n v="3.61"/>
  </r>
  <r>
    <x v="894"/>
    <x v="1"/>
    <x v="7"/>
    <x v="1"/>
    <n v="246"/>
    <n v="22136180.120000001"/>
    <n v="4442125.54"/>
    <n v="17694054.579999998"/>
    <n v="3"/>
    <n v="4.6500000000000004"/>
  </r>
  <r>
    <x v="895"/>
    <x v="1"/>
    <x v="6"/>
    <x v="1"/>
    <n v="214"/>
    <n v="16400845.75"/>
    <n v="5320924.58"/>
    <n v="11079921.16"/>
    <n v="1.58"/>
    <n v="3.81"/>
  </r>
  <r>
    <x v="644"/>
    <x v="1"/>
    <x v="8"/>
    <x v="1"/>
    <n v="50"/>
    <n v="4373640.32"/>
    <n v="1219218.1599999999"/>
    <n v="3154422.16"/>
    <n v="1.53"/>
    <n v="4.51"/>
  </r>
  <r>
    <x v="896"/>
    <x v="1"/>
    <x v="6"/>
    <x v="2"/>
    <n v="337"/>
    <n v="12664226.029999999"/>
    <n v="4385184.5999999996"/>
    <n v="8279041.4299999997"/>
    <n v="0.6"/>
    <n v="4.25"/>
  </r>
  <r>
    <x v="330"/>
    <x v="1"/>
    <x v="8"/>
    <x v="2"/>
    <n v="487"/>
    <n v="37731548.119999997"/>
    <n v="11167304.41"/>
    <n v="26564243.710000001"/>
    <n v="4.33"/>
    <n v="4.33"/>
  </r>
  <r>
    <x v="661"/>
    <x v="1"/>
    <x v="8"/>
    <x v="1"/>
    <n v="438"/>
    <n v="17459754.100000001"/>
    <n v="4218912.6900000004"/>
    <n v="13240841.41"/>
    <n v="3.15"/>
    <n v="4.22"/>
  </r>
  <r>
    <x v="897"/>
    <x v="1"/>
    <x v="7"/>
    <x v="1"/>
    <n v="456"/>
    <n v="34898842.369999997"/>
    <n v="9629919.9000000004"/>
    <n v="25268922.469999999"/>
    <n v="3.67"/>
    <n v="3.82"/>
  </r>
  <r>
    <x v="711"/>
    <x v="1"/>
    <x v="5"/>
    <x v="0"/>
    <n v="471"/>
    <n v="32475216.460000001"/>
    <n v="6621938.7400000002"/>
    <n v="25853277.719999999"/>
    <n v="3.24"/>
    <n v="4.45"/>
  </r>
  <r>
    <x v="244"/>
    <x v="1"/>
    <x v="7"/>
    <x v="1"/>
    <n v="384"/>
    <n v="22679470.350000001"/>
    <n v="4970620.08"/>
    <n v="17708850.27"/>
    <n v="2.0699999999999998"/>
    <n v="4.2699999999999996"/>
  </r>
  <r>
    <x v="168"/>
    <x v="1"/>
    <x v="9"/>
    <x v="2"/>
    <n v="384"/>
    <n v="21814983.559999999"/>
    <n v="6011831.2000000002"/>
    <n v="15803152.369999999"/>
    <n v="4.38"/>
    <n v="4.92"/>
  </r>
  <r>
    <x v="898"/>
    <x v="1"/>
    <x v="5"/>
    <x v="0"/>
    <n v="437"/>
    <n v="26335400.530000001"/>
    <n v="6098797.2699999996"/>
    <n v="20236603.260000002"/>
    <n v="3.96"/>
    <n v="3.6"/>
  </r>
  <r>
    <x v="632"/>
    <x v="1"/>
    <x v="9"/>
    <x v="0"/>
    <n v="118"/>
    <n v="10490411.41"/>
    <n v="3162611.27"/>
    <n v="7327800.1399999997"/>
    <n v="1.98"/>
    <n v="4.45"/>
  </r>
  <r>
    <x v="594"/>
    <x v="1"/>
    <x v="8"/>
    <x v="1"/>
    <n v="289"/>
    <n v="15544147.23"/>
    <n v="4547398.5599999996"/>
    <n v="10996748.67"/>
    <n v="2.57"/>
    <n v="4.38"/>
  </r>
  <r>
    <x v="850"/>
    <x v="1"/>
    <x v="7"/>
    <x v="1"/>
    <n v="423"/>
    <n v="31036236.100000001"/>
    <n v="11296772.369999999"/>
    <n v="19739463.739999998"/>
    <n v="3.63"/>
    <n v="4.12"/>
  </r>
  <r>
    <x v="899"/>
    <x v="1"/>
    <x v="8"/>
    <x v="0"/>
    <n v="401"/>
    <n v="24488223.98"/>
    <n v="6525828.9100000001"/>
    <n v="17962395.07"/>
    <n v="1.28"/>
    <n v="3.79"/>
  </r>
  <r>
    <x v="570"/>
    <x v="1"/>
    <x v="9"/>
    <x v="2"/>
    <n v="452"/>
    <n v="36249715.229999997"/>
    <n v="11998056.689999999"/>
    <n v="24251658.539999999"/>
    <n v="2.06"/>
    <n v="3.55"/>
  </r>
  <r>
    <x v="452"/>
    <x v="1"/>
    <x v="7"/>
    <x v="1"/>
    <n v="375"/>
    <n v="15613114.84"/>
    <n v="4806407.57"/>
    <n v="10806707.27"/>
    <n v="1.43"/>
    <n v="4.05"/>
  </r>
  <r>
    <x v="645"/>
    <x v="1"/>
    <x v="8"/>
    <x v="2"/>
    <n v="127"/>
    <n v="6750745.0999999996"/>
    <n v="2266113.39"/>
    <n v="4484631.71"/>
    <n v="0.92"/>
    <n v="4.22"/>
  </r>
  <r>
    <x v="143"/>
    <x v="1"/>
    <x v="6"/>
    <x v="1"/>
    <n v="263"/>
    <n v="10387644.4"/>
    <n v="2340172.94"/>
    <n v="8047471.46"/>
    <n v="4.6399999999999997"/>
    <n v="3.59"/>
  </r>
  <r>
    <x v="320"/>
    <x v="1"/>
    <x v="6"/>
    <x v="0"/>
    <n v="75"/>
    <n v="6206742.0700000003"/>
    <n v="2377781.77"/>
    <n v="3828960.29"/>
    <n v="3.19"/>
    <n v="4.9800000000000004"/>
  </r>
  <r>
    <x v="900"/>
    <x v="1"/>
    <x v="8"/>
    <x v="2"/>
    <n v="352"/>
    <n v="19492339.91"/>
    <n v="5908038.6200000001"/>
    <n v="13584301.289999999"/>
    <n v="3.28"/>
    <n v="4.05"/>
  </r>
  <r>
    <x v="901"/>
    <x v="1"/>
    <x v="5"/>
    <x v="0"/>
    <n v="265"/>
    <n v="19776521.59"/>
    <n v="7664029.5800000001"/>
    <n v="12112492.02"/>
    <n v="1.1599999999999999"/>
    <n v="3.7"/>
  </r>
  <r>
    <x v="902"/>
    <x v="1"/>
    <x v="8"/>
    <x v="0"/>
    <n v="52"/>
    <n v="4380291.5599999996"/>
    <n v="1303857.3500000001"/>
    <n v="3076434.21"/>
    <n v="2.89"/>
    <n v="3.66"/>
  </r>
  <r>
    <x v="903"/>
    <x v="1"/>
    <x v="6"/>
    <x v="0"/>
    <n v="343"/>
    <n v="22052824.73"/>
    <n v="7751697.9900000002"/>
    <n v="14301126.74"/>
    <n v="1.71"/>
    <n v="4.07"/>
  </r>
  <r>
    <x v="904"/>
    <x v="1"/>
    <x v="5"/>
    <x v="2"/>
    <n v="251"/>
    <n v="16570538.1"/>
    <n v="3842011.87"/>
    <n v="12728526.23"/>
    <n v="0.9"/>
    <n v="4.3"/>
  </r>
  <r>
    <x v="845"/>
    <x v="1"/>
    <x v="7"/>
    <x v="0"/>
    <n v="74"/>
    <n v="6214446.0300000003"/>
    <n v="1748008.76"/>
    <n v="4466437.2699999996"/>
    <n v="3.56"/>
    <n v="4.68"/>
  </r>
  <r>
    <x v="496"/>
    <x v="1"/>
    <x v="8"/>
    <x v="1"/>
    <n v="158"/>
    <n v="9697568.4600000009"/>
    <n v="2745964.49"/>
    <n v="6951603.9800000004"/>
    <n v="3.82"/>
    <n v="4.34"/>
  </r>
  <r>
    <x v="82"/>
    <x v="1"/>
    <x v="9"/>
    <x v="0"/>
    <n v="473"/>
    <n v="27784623.100000001"/>
    <n v="10404895.109999999"/>
    <n v="17379727.98"/>
    <n v="1.78"/>
    <n v="4.04"/>
  </r>
  <r>
    <x v="905"/>
    <x v="1"/>
    <x v="9"/>
    <x v="1"/>
    <n v="331"/>
    <n v="22645542.82"/>
    <n v="7951515.1600000001"/>
    <n v="14694027.66"/>
    <n v="2.74"/>
    <n v="4"/>
  </r>
  <r>
    <x v="906"/>
    <x v="1"/>
    <x v="5"/>
    <x v="1"/>
    <n v="426"/>
    <n v="20468223.73"/>
    <n v="7770628.21"/>
    <n v="12697595.52"/>
    <n v="1.19"/>
    <n v="3.87"/>
  </r>
  <r>
    <x v="379"/>
    <x v="1"/>
    <x v="8"/>
    <x v="0"/>
    <n v="53"/>
    <n v="4335133.0599999996"/>
    <n v="1657852.32"/>
    <n v="2677280.75"/>
    <n v="4.13"/>
    <n v="3.58"/>
  </r>
  <r>
    <x v="474"/>
    <x v="1"/>
    <x v="8"/>
    <x v="1"/>
    <n v="186"/>
    <n v="7330791.2199999997"/>
    <n v="2163299.79"/>
    <n v="5167491.43"/>
    <n v="2.35"/>
    <n v="4.97"/>
  </r>
  <r>
    <x v="317"/>
    <x v="1"/>
    <x v="9"/>
    <x v="1"/>
    <n v="272"/>
    <n v="22933289.530000001"/>
    <n v="6531408.1200000001"/>
    <n v="16401881.42"/>
    <n v="4.63"/>
    <n v="3.51"/>
  </r>
  <r>
    <x v="95"/>
    <x v="1"/>
    <x v="5"/>
    <x v="2"/>
    <n v="167"/>
    <n v="8213837.4699999997"/>
    <n v="3004806.41"/>
    <n v="5209031.05"/>
    <n v="3.51"/>
    <n v="4.8899999999999997"/>
  </r>
  <r>
    <x v="408"/>
    <x v="1"/>
    <x v="7"/>
    <x v="0"/>
    <n v="384"/>
    <n v="24739975.780000001"/>
    <n v="7537679.4100000001"/>
    <n v="17202296.370000001"/>
    <n v="4.2699999999999996"/>
    <n v="3.81"/>
  </r>
  <r>
    <x v="796"/>
    <x v="1"/>
    <x v="7"/>
    <x v="2"/>
    <n v="459"/>
    <n v="24236282.32"/>
    <n v="7632313.4000000004"/>
    <n v="16603968.92"/>
    <n v="2.78"/>
    <n v="3.86"/>
  </r>
  <r>
    <x v="466"/>
    <x v="1"/>
    <x v="7"/>
    <x v="1"/>
    <n v="96"/>
    <n v="7094174.9100000001"/>
    <n v="1748317.55"/>
    <n v="5345857.3600000003"/>
    <n v="0.89"/>
    <n v="4.26"/>
  </r>
  <r>
    <x v="907"/>
    <x v="1"/>
    <x v="6"/>
    <x v="1"/>
    <n v="405"/>
    <n v="21317304.829999998"/>
    <n v="5994924.5300000003"/>
    <n v="15322380.300000001"/>
    <n v="2.16"/>
    <n v="4.18"/>
  </r>
  <r>
    <x v="908"/>
    <x v="1"/>
    <x v="7"/>
    <x v="0"/>
    <n v="310"/>
    <n v="11930543.25"/>
    <n v="2410064.63"/>
    <n v="9520478.6199999992"/>
    <n v="1.95"/>
    <n v="4.71"/>
  </r>
  <r>
    <x v="909"/>
    <x v="1"/>
    <x v="7"/>
    <x v="0"/>
    <n v="370"/>
    <n v="15775084.140000001"/>
    <n v="6301480.7199999997"/>
    <n v="9473603.4199999999"/>
    <n v="1.03"/>
    <n v="4.21"/>
  </r>
  <r>
    <x v="184"/>
    <x v="1"/>
    <x v="5"/>
    <x v="0"/>
    <n v="87"/>
    <n v="5015658.7699999996"/>
    <n v="1656302.67"/>
    <n v="3359356.1"/>
    <n v="4.68"/>
    <n v="4.75"/>
  </r>
  <r>
    <x v="798"/>
    <x v="1"/>
    <x v="6"/>
    <x v="1"/>
    <n v="285"/>
    <n v="16378524.24"/>
    <n v="3495379.95"/>
    <n v="12883144.289999999"/>
    <n v="4.96"/>
    <n v="3.81"/>
  </r>
  <r>
    <x v="910"/>
    <x v="1"/>
    <x v="9"/>
    <x v="0"/>
    <n v="84"/>
    <n v="7220196.3399999999"/>
    <n v="1846064.78"/>
    <n v="5374131.5599999996"/>
    <n v="0.72"/>
    <n v="4.67"/>
  </r>
  <r>
    <x v="911"/>
    <x v="1"/>
    <x v="6"/>
    <x v="1"/>
    <n v="316"/>
    <n v="24881745.879999999"/>
    <n v="8949330.4000000004"/>
    <n v="15932415.48"/>
    <n v="1.24"/>
    <n v="3.75"/>
  </r>
  <r>
    <x v="843"/>
    <x v="1"/>
    <x v="8"/>
    <x v="1"/>
    <n v="54"/>
    <n v="2590004.4900000002"/>
    <n v="707714.29"/>
    <n v="1882290.2"/>
    <n v="4.59"/>
    <n v="3.97"/>
  </r>
  <r>
    <x v="733"/>
    <x v="1"/>
    <x v="6"/>
    <x v="2"/>
    <n v="91"/>
    <n v="5149187.76"/>
    <n v="1218710.3400000001"/>
    <n v="3930477.43"/>
    <n v="2.48"/>
    <n v="4.07"/>
  </r>
  <r>
    <x v="491"/>
    <x v="1"/>
    <x v="6"/>
    <x v="1"/>
    <n v="228"/>
    <n v="15806233.359999999"/>
    <n v="4616112.26"/>
    <n v="11190121.1"/>
    <n v="2.4700000000000002"/>
    <n v="4.37"/>
  </r>
  <r>
    <x v="855"/>
    <x v="1"/>
    <x v="7"/>
    <x v="0"/>
    <n v="194"/>
    <n v="16388460.699999999"/>
    <n v="5297107.04"/>
    <n v="11091353.66"/>
    <n v="2.95"/>
    <n v="4.8600000000000003"/>
  </r>
  <r>
    <x v="586"/>
    <x v="1"/>
    <x v="7"/>
    <x v="2"/>
    <n v="484"/>
    <n v="31390648.649999999"/>
    <n v="9847069.7899999991"/>
    <n v="21543578.850000001"/>
    <n v="2"/>
    <n v="4.5999999999999996"/>
  </r>
  <r>
    <x v="641"/>
    <x v="1"/>
    <x v="5"/>
    <x v="2"/>
    <n v="91"/>
    <n v="3882056.72"/>
    <n v="936332.52"/>
    <n v="2945724.2"/>
    <n v="3.29"/>
    <n v="4.3"/>
  </r>
  <r>
    <x v="154"/>
    <x v="1"/>
    <x v="8"/>
    <x v="1"/>
    <n v="280"/>
    <n v="18626523.079999998"/>
    <n v="3733900.32"/>
    <n v="14892622.75"/>
    <n v="3.89"/>
    <n v="4.5599999999999996"/>
  </r>
  <r>
    <x v="912"/>
    <x v="1"/>
    <x v="9"/>
    <x v="2"/>
    <n v="460"/>
    <n v="34921841.200000003"/>
    <n v="13734533.609999999"/>
    <n v="21187307.59"/>
    <n v="3.06"/>
    <n v="4.6399999999999997"/>
  </r>
  <r>
    <x v="913"/>
    <x v="1"/>
    <x v="8"/>
    <x v="2"/>
    <n v="172"/>
    <n v="13158849.859999999"/>
    <n v="4992688.63"/>
    <n v="8166161.2400000002"/>
    <n v="2.91"/>
    <n v="4.07"/>
  </r>
  <r>
    <x v="753"/>
    <x v="1"/>
    <x v="8"/>
    <x v="2"/>
    <n v="414"/>
    <n v="17392916.84"/>
    <n v="5575169.7800000003"/>
    <n v="11817747.07"/>
    <n v="4.09"/>
    <n v="3.72"/>
  </r>
  <r>
    <x v="914"/>
    <x v="1"/>
    <x v="8"/>
    <x v="2"/>
    <n v="96"/>
    <n v="5519283.3399999999"/>
    <n v="1355666.26"/>
    <n v="4163617.07"/>
    <n v="0.55000000000000004"/>
    <n v="4.4000000000000004"/>
  </r>
  <r>
    <x v="915"/>
    <x v="1"/>
    <x v="5"/>
    <x v="2"/>
    <n v="469"/>
    <n v="30414577.02"/>
    <n v="10634158.43"/>
    <n v="19780418.579999998"/>
    <n v="2.06"/>
    <n v="3.77"/>
  </r>
  <r>
    <x v="62"/>
    <x v="1"/>
    <x v="8"/>
    <x v="2"/>
    <n v="379"/>
    <n v="20404918.140000001"/>
    <n v="7234151.6200000001"/>
    <n v="13170766.52"/>
    <n v="2.41"/>
    <n v="3.93"/>
  </r>
  <r>
    <x v="410"/>
    <x v="1"/>
    <x v="6"/>
    <x v="1"/>
    <n v="412"/>
    <n v="17894942.789999999"/>
    <n v="5059867.26"/>
    <n v="12835075.539999999"/>
    <n v="2.78"/>
    <n v="4.42"/>
  </r>
  <r>
    <x v="869"/>
    <x v="1"/>
    <x v="5"/>
    <x v="2"/>
    <n v="160"/>
    <n v="11989641.16"/>
    <n v="3373973.97"/>
    <n v="8615667.1899999995"/>
    <n v="0.96"/>
    <n v="4.88"/>
  </r>
  <r>
    <x v="129"/>
    <x v="1"/>
    <x v="9"/>
    <x v="0"/>
    <n v="182"/>
    <n v="15604218.810000001"/>
    <n v="4034506.24"/>
    <n v="11569712.560000001"/>
    <n v="1.19"/>
    <n v="4.3600000000000003"/>
  </r>
  <r>
    <x v="916"/>
    <x v="1"/>
    <x v="8"/>
    <x v="1"/>
    <n v="427"/>
    <n v="16563622.35"/>
    <n v="6369305.5599999996"/>
    <n v="10194316.800000001"/>
    <n v="0.97"/>
    <n v="4.76"/>
  </r>
  <r>
    <x v="917"/>
    <x v="1"/>
    <x v="8"/>
    <x v="2"/>
    <n v="316"/>
    <n v="18895588.280000001"/>
    <n v="7130295.4100000001"/>
    <n v="11765292.859999999"/>
    <n v="4.93"/>
    <n v="4.76"/>
  </r>
  <r>
    <x v="918"/>
    <x v="1"/>
    <x v="6"/>
    <x v="1"/>
    <n v="231"/>
    <n v="18725320.469999999"/>
    <n v="6246218.5899999999"/>
    <n v="12479101.890000001"/>
    <n v="1.9"/>
    <n v="3.84"/>
  </r>
  <r>
    <x v="545"/>
    <x v="1"/>
    <x v="6"/>
    <x v="1"/>
    <n v="448"/>
    <n v="25511426.620000001"/>
    <n v="9925161.1400000006"/>
    <n v="15586265.48"/>
    <n v="2.0099999999999998"/>
    <n v="4.7"/>
  </r>
  <r>
    <x v="622"/>
    <x v="1"/>
    <x v="6"/>
    <x v="1"/>
    <n v="166"/>
    <n v="11321977.58"/>
    <n v="4270044.67"/>
    <n v="7051932.9100000001"/>
    <n v="2.37"/>
    <n v="4.8"/>
  </r>
  <r>
    <x v="919"/>
    <x v="1"/>
    <x v="9"/>
    <x v="1"/>
    <n v="343"/>
    <n v="18538817.18"/>
    <n v="6129106.4800000004"/>
    <n v="12409710.710000001"/>
    <n v="3.82"/>
    <n v="4.18"/>
  </r>
  <r>
    <x v="171"/>
    <x v="1"/>
    <x v="5"/>
    <x v="0"/>
    <n v="476"/>
    <n v="17519925.829999998"/>
    <n v="3809709.75"/>
    <n v="13710216.07"/>
    <n v="1.62"/>
    <n v="4.37"/>
  </r>
  <r>
    <x v="40"/>
    <x v="1"/>
    <x v="6"/>
    <x v="1"/>
    <n v="229"/>
    <n v="13291366.039999999"/>
    <n v="2884636.07"/>
    <n v="10406729.970000001"/>
    <n v="2.13"/>
    <n v="4.37"/>
  </r>
  <r>
    <x v="920"/>
    <x v="1"/>
    <x v="6"/>
    <x v="0"/>
    <n v="199"/>
    <n v="9373964.0099999998"/>
    <n v="3350853.2"/>
    <n v="6023110.8099999996"/>
    <n v="2.82"/>
    <n v="4.96"/>
  </r>
  <r>
    <x v="516"/>
    <x v="1"/>
    <x v="8"/>
    <x v="0"/>
    <n v="410"/>
    <n v="17702344.510000002"/>
    <n v="5612973.9900000002"/>
    <n v="12089370.52"/>
    <n v="0.88"/>
    <n v="5"/>
  </r>
  <r>
    <x v="433"/>
    <x v="1"/>
    <x v="7"/>
    <x v="2"/>
    <n v="98"/>
    <n v="5044821.96"/>
    <n v="1705213.46"/>
    <n v="3339608.5"/>
    <n v="2.29"/>
    <n v="4.1399999999999997"/>
  </r>
  <r>
    <x v="75"/>
    <x v="1"/>
    <x v="6"/>
    <x v="2"/>
    <n v="489"/>
    <n v="41268170.109999999"/>
    <n v="14814120.529999999"/>
    <n v="26454049.579999998"/>
    <n v="1.36"/>
    <n v="3.55"/>
  </r>
  <r>
    <x v="921"/>
    <x v="1"/>
    <x v="8"/>
    <x v="2"/>
    <n v="335"/>
    <n v="27138706.68"/>
    <n v="7666936.46"/>
    <n v="19471770.219999999"/>
    <n v="1.82"/>
    <n v="4.57"/>
  </r>
  <r>
    <x v="922"/>
    <x v="1"/>
    <x v="5"/>
    <x v="1"/>
    <n v="243"/>
    <n v="15648002.99"/>
    <n v="4753588.0599999996"/>
    <n v="10894414.92"/>
    <n v="2.74"/>
    <n v="4.6500000000000004"/>
  </r>
  <r>
    <x v="803"/>
    <x v="1"/>
    <x v="7"/>
    <x v="0"/>
    <n v="181"/>
    <n v="8146094.54"/>
    <n v="1854400.39"/>
    <n v="6291694.1500000004"/>
    <n v="4.76"/>
    <n v="4.0599999999999996"/>
  </r>
  <r>
    <x v="923"/>
    <x v="1"/>
    <x v="5"/>
    <x v="2"/>
    <n v="415"/>
    <n v="26544153.5"/>
    <n v="6366616.4299999997"/>
    <n v="20177537.07"/>
    <n v="4.91"/>
    <n v="4.76"/>
  </r>
  <r>
    <x v="924"/>
    <x v="1"/>
    <x v="5"/>
    <x v="0"/>
    <n v="440"/>
    <n v="31345959.390000001"/>
    <n v="12368513.779999999"/>
    <n v="18977445.609999999"/>
    <n v="1.5"/>
    <n v="3.85"/>
  </r>
  <r>
    <x v="2"/>
    <x v="1"/>
    <x v="9"/>
    <x v="2"/>
    <n v="492"/>
    <n v="30899043.210000001"/>
    <n v="8682328.4600000009"/>
    <n v="22216714.75"/>
    <n v="2.0299999999999998"/>
    <n v="4.3499999999999996"/>
  </r>
  <r>
    <x v="925"/>
    <x v="1"/>
    <x v="8"/>
    <x v="1"/>
    <n v="100"/>
    <n v="7090103.5899999999"/>
    <n v="2498293.3199999998"/>
    <n v="4591810.2699999996"/>
    <n v="0.95"/>
    <n v="3.86"/>
  </r>
  <r>
    <x v="577"/>
    <x v="1"/>
    <x v="5"/>
    <x v="2"/>
    <n v="127"/>
    <n v="8658333.8499999996"/>
    <n v="2066137.95"/>
    <n v="6592195.9000000004"/>
    <n v="4.83"/>
    <n v="4.92"/>
  </r>
  <r>
    <x v="926"/>
    <x v="1"/>
    <x v="6"/>
    <x v="1"/>
    <n v="231"/>
    <n v="10689325.470000001"/>
    <n v="3649019.89"/>
    <n v="7040305.5800000001"/>
    <n v="4.53"/>
    <n v="3.52"/>
  </r>
  <r>
    <x v="678"/>
    <x v="1"/>
    <x v="5"/>
    <x v="1"/>
    <n v="312"/>
    <n v="23548123.16"/>
    <n v="5424884.2999999998"/>
    <n v="18123238.870000001"/>
    <n v="1.05"/>
    <n v="4.8099999999999996"/>
  </r>
  <r>
    <x v="927"/>
    <x v="1"/>
    <x v="5"/>
    <x v="2"/>
    <n v="334"/>
    <n v="19431568.989999998"/>
    <n v="4303425.21"/>
    <n v="15128143.789999999"/>
    <n v="4.18"/>
    <n v="4.01"/>
  </r>
  <r>
    <x v="882"/>
    <x v="1"/>
    <x v="9"/>
    <x v="2"/>
    <n v="283"/>
    <n v="22747795.609999999"/>
    <n v="7447358.8899999997"/>
    <n v="15300436.720000001"/>
    <n v="0.65"/>
    <n v="4.75"/>
  </r>
  <r>
    <x v="928"/>
    <x v="1"/>
    <x v="5"/>
    <x v="2"/>
    <n v="342"/>
    <n v="19671033.18"/>
    <n v="5696545.5899999999"/>
    <n v="13974487.59"/>
    <n v="2.46"/>
    <n v="3.94"/>
  </r>
  <r>
    <x v="925"/>
    <x v="1"/>
    <x v="5"/>
    <x v="0"/>
    <n v="391"/>
    <n v="30453712.449999999"/>
    <n v="11485691.189999999"/>
    <n v="18968021.260000002"/>
    <n v="3.05"/>
    <n v="4.9800000000000004"/>
  </r>
  <r>
    <x v="929"/>
    <x v="1"/>
    <x v="8"/>
    <x v="0"/>
    <n v="264"/>
    <n v="20853898.32"/>
    <n v="6568087.4900000002"/>
    <n v="14285810.83"/>
    <n v="0.6"/>
    <n v="3.9"/>
  </r>
  <r>
    <x v="930"/>
    <x v="1"/>
    <x v="6"/>
    <x v="2"/>
    <n v="89"/>
    <n v="6535850.4500000002"/>
    <n v="2088138.8"/>
    <n v="4447711.6500000004"/>
    <n v="1.48"/>
    <n v="4.47"/>
  </r>
  <r>
    <x v="596"/>
    <x v="1"/>
    <x v="5"/>
    <x v="0"/>
    <n v="53"/>
    <n v="2240585.16"/>
    <n v="492672.28"/>
    <n v="1747912.88"/>
    <n v="3.61"/>
    <n v="4.5199999999999996"/>
  </r>
  <r>
    <x v="195"/>
    <x v="1"/>
    <x v="8"/>
    <x v="1"/>
    <n v="375"/>
    <n v="31982412.890000001"/>
    <n v="12039772.4"/>
    <n v="19942640.48"/>
    <n v="3.09"/>
    <n v="3.91"/>
  </r>
  <r>
    <x v="70"/>
    <x v="1"/>
    <x v="6"/>
    <x v="0"/>
    <n v="66"/>
    <n v="3781050.56"/>
    <n v="1136232.24"/>
    <n v="2644818.3199999998"/>
    <n v="3.74"/>
    <n v="3.66"/>
  </r>
  <r>
    <x v="931"/>
    <x v="1"/>
    <x v="6"/>
    <x v="0"/>
    <n v="391"/>
    <n v="16628725.470000001"/>
    <n v="3658257.61"/>
    <n v="12970467.869999999"/>
    <n v="4.43"/>
    <n v="4.4000000000000004"/>
  </r>
  <r>
    <x v="157"/>
    <x v="1"/>
    <x v="6"/>
    <x v="0"/>
    <n v="317"/>
    <n v="22133064.73"/>
    <n v="6665266.8700000001"/>
    <n v="15467797.869999999"/>
    <n v="3.08"/>
    <n v="4.76"/>
  </r>
  <r>
    <x v="932"/>
    <x v="1"/>
    <x v="9"/>
    <x v="0"/>
    <n v="239"/>
    <n v="15186173.24"/>
    <n v="5931822.6299999999"/>
    <n v="9254350.5999999996"/>
    <n v="1.25"/>
    <n v="4.6100000000000003"/>
  </r>
  <r>
    <x v="289"/>
    <x v="1"/>
    <x v="5"/>
    <x v="0"/>
    <n v="356"/>
    <n v="14228797.689999999"/>
    <n v="3497478.52"/>
    <n v="10731319.16"/>
    <n v="0.81"/>
    <n v="4.76"/>
  </r>
  <r>
    <x v="933"/>
    <x v="1"/>
    <x v="5"/>
    <x v="1"/>
    <n v="60"/>
    <n v="3273719.96"/>
    <n v="838697"/>
    <n v="2435022.9700000002"/>
    <n v="1.84"/>
    <n v="4.3499999999999996"/>
  </r>
  <r>
    <x v="934"/>
    <x v="1"/>
    <x v="6"/>
    <x v="2"/>
    <n v="147"/>
    <n v="8351910.1799999997"/>
    <n v="1747074.39"/>
    <n v="6604835.79"/>
    <n v="1.1100000000000001"/>
    <n v="4.2300000000000004"/>
  </r>
  <r>
    <x v="153"/>
    <x v="1"/>
    <x v="6"/>
    <x v="2"/>
    <n v="299"/>
    <n v="10977806.66"/>
    <n v="3815305.87"/>
    <n v="7162500.79"/>
    <n v="3.18"/>
    <n v="3.58"/>
  </r>
  <r>
    <x v="935"/>
    <x v="1"/>
    <x v="5"/>
    <x v="2"/>
    <n v="495"/>
    <n v="43331308.609999999"/>
    <n v="15992094.189999999"/>
    <n v="27339214.420000002"/>
    <n v="3.3"/>
    <n v="4.21"/>
  </r>
  <r>
    <x v="113"/>
    <x v="1"/>
    <x v="6"/>
    <x v="2"/>
    <n v="122"/>
    <n v="4774174.5199999996"/>
    <n v="1214369.77"/>
    <n v="3559804.75"/>
    <n v="2.73"/>
    <n v="4.53"/>
  </r>
  <r>
    <x v="936"/>
    <x v="1"/>
    <x v="9"/>
    <x v="2"/>
    <n v="91"/>
    <n v="5485705.9699999997"/>
    <n v="2110972.7200000002"/>
    <n v="3374733.26"/>
    <n v="0.85"/>
    <n v="3.5"/>
  </r>
  <r>
    <x v="937"/>
    <x v="1"/>
    <x v="9"/>
    <x v="0"/>
    <n v="484"/>
    <n v="24184503.550000001"/>
    <n v="6818914.29"/>
    <n v="17365589.260000002"/>
    <n v="2.12"/>
    <n v="3.64"/>
  </r>
  <r>
    <x v="366"/>
    <x v="1"/>
    <x v="6"/>
    <x v="1"/>
    <n v="354"/>
    <n v="15053858.74"/>
    <n v="3160595.72"/>
    <n v="11893263.029999999"/>
    <n v="2.5099999999999998"/>
    <n v="3.78"/>
  </r>
  <r>
    <x v="692"/>
    <x v="1"/>
    <x v="8"/>
    <x v="0"/>
    <n v="367"/>
    <n v="32185677.460000001"/>
    <n v="7992396.2599999998"/>
    <n v="24193281.199999999"/>
    <n v="3.38"/>
    <n v="4.6399999999999997"/>
  </r>
  <r>
    <x v="906"/>
    <x v="1"/>
    <x v="5"/>
    <x v="2"/>
    <n v="423"/>
    <n v="29630192.699999999"/>
    <n v="6041141.1699999999"/>
    <n v="23589051.530000001"/>
    <n v="4.57"/>
    <n v="4.47"/>
  </r>
  <r>
    <x v="434"/>
    <x v="1"/>
    <x v="8"/>
    <x v="0"/>
    <n v="108"/>
    <n v="9646747.9700000007"/>
    <n v="2037278.68"/>
    <n v="7609469.2800000003"/>
    <n v="0.68"/>
    <n v="4.5599999999999996"/>
  </r>
  <r>
    <x v="938"/>
    <x v="1"/>
    <x v="7"/>
    <x v="1"/>
    <n v="248"/>
    <n v="22311181.73"/>
    <n v="6444332.3600000003"/>
    <n v="15866849.369999999"/>
    <n v="2.63"/>
    <n v="3.97"/>
  </r>
  <r>
    <x v="739"/>
    <x v="1"/>
    <x v="8"/>
    <x v="2"/>
    <n v="384"/>
    <n v="28169516.039999999"/>
    <n v="9592570.8900000006"/>
    <n v="18576945.149999999"/>
    <n v="4.66"/>
    <n v="4.96"/>
  </r>
  <r>
    <x v="939"/>
    <x v="1"/>
    <x v="7"/>
    <x v="0"/>
    <n v="264"/>
    <n v="20788363.489999998"/>
    <n v="5217610.87"/>
    <n v="15570752.619999999"/>
    <n v="0.75"/>
    <n v="4.18"/>
  </r>
  <r>
    <x v="940"/>
    <x v="1"/>
    <x v="5"/>
    <x v="1"/>
    <n v="492"/>
    <n v="39650452.729999997"/>
    <n v="15566707.199999999"/>
    <n v="24083745.530000001"/>
    <n v="3.18"/>
    <n v="3.85"/>
  </r>
  <r>
    <x v="941"/>
    <x v="1"/>
    <x v="9"/>
    <x v="2"/>
    <n v="237"/>
    <n v="14565641.66"/>
    <n v="3248142.88"/>
    <n v="11317498.779999999"/>
    <n v="2.89"/>
    <n v="4.16"/>
  </r>
  <r>
    <x v="942"/>
    <x v="1"/>
    <x v="7"/>
    <x v="2"/>
    <n v="413"/>
    <n v="27457696.559999999"/>
    <n v="6568007.4299999997"/>
    <n v="20889689.120000001"/>
    <n v="2.92"/>
    <n v="4.49"/>
  </r>
  <r>
    <x v="473"/>
    <x v="1"/>
    <x v="8"/>
    <x v="0"/>
    <n v="446"/>
    <n v="30963115.460000001"/>
    <n v="6898719.9199999999"/>
    <n v="24064395.539999999"/>
    <n v="3.27"/>
    <n v="3.85"/>
  </r>
  <r>
    <x v="244"/>
    <x v="1"/>
    <x v="7"/>
    <x v="2"/>
    <n v="360"/>
    <n v="21746468.440000001"/>
    <n v="4391302.1500000004"/>
    <n v="17355166.289999999"/>
    <n v="0.5"/>
    <n v="3.78"/>
  </r>
  <r>
    <x v="943"/>
    <x v="1"/>
    <x v="5"/>
    <x v="1"/>
    <n v="323"/>
    <n v="27987537.66"/>
    <n v="6723819.8899999997"/>
    <n v="21263717.780000001"/>
    <n v="4.99"/>
    <n v="4.03"/>
  </r>
  <r>
    <x v="792"/>
    <x v="1"/>
    <x v="6"/>
    <x v="1"/>
    <n v="495"/>
    <n v="19735594.350000001"/>
    <n v="7745838.8099999996"/>
    <n v="11989755.550000001"/>
    <n v="2.66"/>
    <n v="4.37"/>
  </r>
  <r>
    <x v="442"/>
    <x v="1"/>
    <x v="6"/>
    <x v="2"/>
    <n v="285"/>
    <n v="25400508.379999999"/>
    <n v="6257296.29"/>
    <n v="19143212.09"/>
    <n v="2.38"/>
    <n v="4.13"/>
  </r>
  <r>
    <x v="944"/>
    <x v="1"/>
    <x v="9"/>
    <x v="0"/>
    <n v="438"/>
    <n v="32970427.84"/>
    <n v="13166104.939999999"/>
    <n v="19804322.899999999"/>
    <n v="2.6"/>
    <n v="3.95"/>
  </r>
  <r>
    <x v="475"/>
    <x v="1"/>
    <x v="8"/>
    <x v="2"/>
    <n v="373"/>
    <n v="27734576.260000002"/>
    <n v="7826095.3899999997"/>
    <n v="19908480.870000001"/>
    <n v="1.75"/>
    <n v="4.87"/>
  </r>
  <r>
    <x v="791"/>
    <x v="1"/>
    <x v="6"/>
    <x v="1"/>
    <n v="122"/>
    <n v="5004527.59"/>
    <n v="1609826.27"/>
    <n v="3394701.32"/>
    <n v="1.06"/>
    <n v="4.93"/>
  </r>
  <r>
    <x v="945"/>
    <x v="1"/>
    <x v="9"/>
    <x v="2"/>
    <n v="342"/>
    <n v="26761149.719999999"/>
    <n v="10225911.640000001"/>
    <n v="16535238.08"/>
    <n v="2.38"/>
    <n v="4.82"/>
  </r>
  <r>
    <x v="594"/>
    <x v="1"/>
    <x v="8"/>
    <x v="2"/>
    <n v="351"/>
    <n v="23883414.010000002"/>
    <n v="5236562.87"/>
    <n v="18646851.140000001"/>
    <n v="4.95"/>
    <n v="4.62"/>
  </r>
  <r>
    <x v="946"/>
    <x v="1"/>
    <x v="8"/>
    <x v="1"/>
    <n v="309"/>
    <n v="14752260.57"/>
    <n v="3119419.27"/>
    <n v="11632841.289999999"/>
    <n v="3.42"/>
    <n v="4.41"/>
  </r>
  <r>
    <x v="947"/>
    <x v="1"/>
    <x v="8"/>
    <x v="0"/>
    <n v="415"/>
    <n v="19790038.449999999"/>
    <n v="7217316.0700000003"/>
    <n v="12572722.380000001"/>
    <n v="1.49"/>
    <n v="3.78"/>
  </r>
  <r>
    <x v="948"/>
    <x v="1"/>
    <x v="6"/>
    <x v="0"/>
    <n v="308"/>
    <n v="24775924.489999998"/>
    <n v="5942407.9299999997"/>
    <n v="18833516.550000001"/>
    <n v="3.33"/>
    <n v="3.82"/>
  </r>
  <r>
    <x v="919"/>
    <x v="1"/>
    <x v="8"/>
    <x v="2"/>
    <n v="58"/>
    <n v="4989529.78"/>
    <n v="1002987.47"/>
    <n v="3986542.31"/>
    <n v="1.28"/>
    <n v="4.09"/>
  </r>
  <r>
    <x v="949"/>
    <x v="1"/>
    <x v="5"/>
    <x v="0"/>
    <n v="227"/>
    <n v="14077461.470000001"/>
    <n v="2825808.89"/>
    <n v="11251652.58"/>
    <n v="4.54"/>
    <n v="4.2"/>
  </r>
  <r>
    <x v="490"/>
    <x v="1"/>
    <x v="8"/>
    <x v="1"/>
    <n v="318"/>
    <n v="15044570.08"/>
    <n v="4402118.17"/>
    <n v="10642451.92"/>
    <n v="3.17"/>
    <n v="4.37"/>
  </r>
  <r>
    <x v="475"/>
    <x v="1"/>
    <x v="9"/>
    <x v="1"/>
    <n v="147"/>
    <n v="8843338.5099999998"/>
    <n v="2845486.07"/>
    <n v="5997852.4400000004"/>
    <n v="1.73"/>
    <n v="4.22"/>
  </r>
  <r>
    <x v="950"/>
    <x v="1"/>
    <x v="5"/>
    <x v="1"/>
    <n v="244"/>
    <n v="21364843.109999999"/>
    <n v="4862092.99"/>
    <n v="16502750.119999999"/>
    <n v="4.1399999999999997"/>
    <n v="4.4800000000000004"/>
  </r>
  <r>
    <x v="951"/>
    <x v="1"/>
    <x v="8"/>
    <x v="1"/>
    <n v="310"/>
    <n v="23385375.760000002"/>
    <n v="8038063.6299999999"/>
    <n v="15347312.130000001"/>
    <n v="1.64"/>
    <n v="3.51"/>
  </r>
  <r>
    <x v="952"/>
    <x v="1"/>
    <x v="6"/>
    <x v="2"/>
    <n v="300"/>
    <n v="22436431.879999999"/>
    <n v="6749436.3200000003"/>
    <n v="15686995.560000001"/>
    <n v="0.86"/>
    <n v="3.83"/>
  </r>
  <r>
    <x v="431"/>
    <x v="1"/>
    <x v="9"/>
    <x v="1"/>
    <n v="333"/>
    <n v="13049336.689999999"/>
    <n v="2998197.55"/>
    <n v="10051139.140000001"/>
    <n v="2.73"/>
    <n v="4.22"/>
  </r>
  <r>
    <x v="429"/>
    <x v="1"/>
    <x v="6"/>
    <x v="2"/>
    <n v="398"/>
    <n v="33773585.32"/>
    <n v="9650336.3200000003"/>
    <n v="24123249"/>
    <n v="3.48"/>
    <n v="4.32"/>
  </r>
  <r>
    <x v="579"/>
    <x v="1"/>
    <x v="5"/>
    <x v="1"/>
    <n v="286"/>
    <n v="21554403.030000001"/>
    <n v="6374670.2400000002"/>
    <n v="15179732.789999999"/>
    <n v="4.41"/>
    <n v="3.87"/>
  </r>
  <r>
    <x v="929"/>
    <x v="1"/>
    <x v="6"/>
    <x v="2"/>
    <n v="108"/>
    <n v="8931727.5500000007"/>
    <n v="2307310"/>
    <n v="6624417.5599999996"/>
    <n v="4.2699999999999996"/>
    <n v="4.55"/>
  </r>
  <r>
    <x v="22"/>
    <x v="1"/>
    <x v="8"/>
    <x v="1"/>
    <n v="219"/>
    <n v="8939771.6600000001"/>
    <n v="2326145.15"/>
    <n v="6613626.5099999998"/>
    <n v="1.35"/>
    <n v="4.82"/>
  </r>
  <r>
    <x v="114"/>
    <x v="1"/>
    <x v="8"/>
    <x v="0"/>
    <n v="94"/>
    <n v="7797431.04"/>
    <n v="3073361.68"/>
    <n v="4724069.3600000003"/>
    <n v="4.22"/>
    <n v="3.69"/>
  </r>
  <r>
    <x v="953"/>
    <x v="1"/>
    <x v="8"/>
    <x v="2"/>
    <n v="412"/>
    <n v="19600646.16"/>
    <n v="4278031.9000000004"/>
    <n v="15322614.26"/>
    <n v="0.51"/>
    <n v="4.33"/>
  </r>
  <r>
    <x v="445"/>
    <x v="1"/>
    <x v="9"/>
    <x v="0"/>
    <n v="126"/>
    <n v="7926751.3899999997"/>
    <n v="3160576.71"/>
    <n v="4766174.68"/>
    <n v="1.79"/>
    <n v="4.43"/>
  </r>
  <r>
    <x v="954"/>
    <x v="1"/>
    <x v="6"/>
    <x v="1"/>
    <n v="162"/>
    <n v="10658212.82"/>
    <n v="4016347.43"/>
    <n v="6641865.3899999997"/>
    <n v="2.2000000000000002"/>
    <n v="3.51"/>
  </r>
  <r>
    <x v="412"/>
    <x v="1"/>
    <x v="7"/>
    <x v="0"/>
    <n v="414"/>
    <n v="32247079.649999999"/>
    <n v="12208869.220000001"/>
    <n v="20038210.420000002"/>
    <n v="3.92"/>
    <n v="4.3099999999999996"/>
  </r>
  <r>
    <x v="29"/>
    <x v="1"/>
    <x v="6"/>
    <x v="2"/>
    <n v="273"/>
    <n v="22169424.359999999"/>
    <n v="7129016.4199999999"/>
    <n v="15040407.939999999"/>
    <n v="1.31"/>
    <n v="4.63"/>
  </r>
  <r>
    <x v="62"/>
    <x v="1"/>
    <x v="9"/>
    <x v="1"/>
    <n v="327"/>
    <n v="28301054.34"/>
    <n v="7426843.5"/>
    <n v="20874210.850000001"/>
    <n v="0.81"/>
    <n v="3.95"/>
  </r>
  <r>
    <x v="955"/>
    <x v="1"/>
    <x v="5"/>
    <x v="2"/>
    <n v="66"/>
    <n v="5108672.9800000004"/>
    <n v="1319496.6599999999"/>
    <n v="3789176.32"/>
    <n v="2.63"/>
    <n v="3.59"/>
  </r>
  <r>
    <x v="717"/>
    <x v="1"/>
    <x v="6"/>
    <x v="2"/>
    <n v="169"/>
    <n v="6340172.2000000002"/>
    <n v="1430930.2"/>
    <n v="4909242.01"/>
    <n v="4.88"/>
    <n v="4.95"/>
  </r>
  <r>
    <x v="727"/>
    <x v="1"/>
    <x v="9"/>
    <x v="0"/>
    <n v="213"/>
    <n v="15041325.23"/>
    <n v="4228429.8099999996"/>
    <n v="10812895.43"/>
    <n v="2.23"/>
    <n v="3.6"/>
  </r>
  <r>
    <x v="956"/>
    <x v="1"/>
    <x v="9"/>
    <x v="0"/>
    <n v="82"/>
    <n v="4329482.09"/>
    <n v="1308678.45"/>
    <n v="3020803.64"/>
    <n v="3.97"/>
    <n v="4.5199999999999996"/>
  </r>
  <r>
    <x v="957"/>
    <x v="1"/>
    <x v="7"/>
    <x v="0"/>
    <n v="75"/>
    <n v="3280620.42"/>
    <n v="1004828.17"/>
    <n v="2275792.25"/>
    <n v="4.75"/>
    <n v="3.65"/>
  </r>
  <r>
    <x v="958"/>
    <x v="1"/>
    <x v="5"/>
    <x v="1"/>
    <n v="88"/>
    <n v="5630796.6299999999"/>
    <n v="1322200.28"/>
    <n v="4308596.3499999996"/>
    <n v="1.84"/>
    <n v="4.76"/>
  </r>
  <r>
    <x v="959"/>
    <x v="1"/>
    <x v="7"/>
    <x v="2"/>
    <n v="224"/>
    <n v="16223751.4"/>
    <n v="4365775.1100000003"/>
    <n v="11857976.289999999"/>
    <n v="1.73"/>
    <n v="4.93"/>
  </r>
  <r>
    <x v="960"/>
    <x v="1"/>
    <x v="7"/>
    <x v="0"/>
    <n v="285"/>
    <n v="10465663.77"/>
    <n v="2655620.1800000002"/>
    <n v="7810043.5899999999"/>
    <n v="4.59"/>
    <n v="4.79"/>
  </r>
  <r>
    <x v="29"/>
    <x v="1"/>
    <x v="6"/>
    <x v="2"/>
    <n v="133"/>
    <n v="7563403.0199999996"/>
    <n v="2610561.19"/>
    <n v="4952841.83"/>
    <n v="4.93"/>
    <n v="4.1100000000000003"/>
  </r>
  <r>
    <x v="325"/>
    <x v="1"/>
    <x v="8"/>
    <x v="1"/>
    <n v="429"/>
    <n v="32107752.960000001"/>
    <n v="8053671.0800000001"/>
    <n v="24054081.879999999"/>
    <n v="1.4"/>
    <n v="4.8"/>
  </r>
  <r>
    <x v="649"/>
    <x v="1"/>
    <x v="7"/>
    <x v="2"/>
    <n v="329"/>
    <n v="18183484.190000001"/>
    <n v="4129984.76"/>
    <n v="14053499.43"/>
    <n v="2.63"/>
    <n v="4.95"/>
  </r>
  <r>
    <x v="961"/>
    <x v="1"/>
    <x v="7"/>
    <x v="2"/>
    <n v="479"/>
    <n v="22131509.41"/>
    <n v="8449082.2100000009"/>
    <n v="13682427.199999999"/>
    <n v="1.19"/>
    <n v="4.18"/>
  </r>
  <r>
    <x v="959"/>
    <x v="1"/>
    <x v="5"/>
    <x v="0"/>
    <n v="99"/>
    <n v="7608775.6299999999"/>
    <n v="2090556.27"/>
    <n v="5518219.3600000003"/>
    <n v="1.0900000000000001"/>
    <n v="3.55"/>
  </r>
  <r>
    <x v="708"/>
    <x v="1"/>
    <x v="7"/>
    <x v="0"/>
    <n v="365"/>
    <n v="32197788.620000001"/>
    <n v="11684842.32"/>
    <n v="20512946.300000001"/>
    <n v="2.58"/>
    <n v="3.5"/>
  </r>
  <r>
    <x v="962"/>
    <x v="1"/>
    <x v="6"/>
    <x v="1"/>
    <n v="322"/>
    <n v="22025397.199999999"/>
    <n v="7719725.71"/>
    <n v="14305671.49"/>
    <n v="3.01"/>
    <n v="3.84"/>
  </r>
  <r>
    <x v="963"/>
    <x v="1"/>
    <x v="9"/>
    <x v="2"/>
    <n v="493"/>
    <n v="18996025.329999998"/>
    <n v="5387381.4299999997"/>
    <n v="13608643.9"/>
    <n v="1.71"/>
    <n v="4.7"/>
  </r>
  <r>
    <x v="964"/>
    <x v="1"/>
    <x v="7"/>
    <x v="1"/>
    <n v="444"/>
    <n v="39577861.369999997"/>
    <n v="14647128.16"/>
    <n v="24930733.210000001"/>
    <n v="2.59"/>
    <n v="4.5199999999999996"/>
  </r>
  <r>
    <x v="965"/>
    <x v="1"/>
    <x v="7"/>
    <x v="1"/>
    <n v="387"/>
    <n v="23760498.100000001"/>
    <n v="6652841.8200000003"/>
    <n v="17107656.280000001"/>
    <n v="1.81"/>
    <n v="4.54"/>
  </r>
  <r>
    <x v="396"/>
    <x v="1"/>
    <x v="8"/>
    <x v="0"/>
    <n v="338"/>
    <n v="29539738.18"/>
    <n v="6452550.21"/>
    <n v="23087187.969999999"/>
    <n v="3.76"/>
    <n v="4.62"/>
  </r>
  <r>
    <x v="966"/>
    <x v="1"/>
    <x v="5"/>
    <x v="1"/>
    <n v="90"/>
    <n v="4348122.83"/>
    <n v="881223.1"/>
    <n v="3466899.73"/>
    <n v="1.1399999999999999"/>
    <n v="4.25"/>
  </r>
  <r>
    <x v="13"/>
    <x v="1"/>
    <x v="9"/>
    <x v="0"/>
    <n v="135"/>
    <n v="6286845.6299999999"/>
    <n v="2079667.7"/>
    <n v="4207177.93"/>
    <n v="3.99"/>
    <n v="4.91"/>
  </r>
  <r>
    <x v="967"/>
    <x v="1"/>
    <x v="6"/>
    <x v="1"/>
    <n v="402"/>
    <n v="25516604.440000001"/>
    <n v="9758230.8300000001"/>
    <n v="15758373.6"/>
    <n v="2.08"/>
    <n v="3.55"/>
  </r>
  <r>
    <x v="493"/>
    <x v="1"/>
    <x v="7"/>
    <x v="2"/>
    <n v="165"/>
    <n v="9022047.2599999998"/>
    <n v="3027628.18"/>
    <n v="5994419.0800000001"/>
    <n v="4.9000000000000004"/>
    <n v="3.8"/>
  </r>
  <r>
    <x v="968"/>
    <x v="1"/>
    <x v="5"/>
    <x v="2"/>
    <n v="171"/>
    <n v="13514517.91"/>
    <n v="4864820.3499999996"/>
    <n v="8649697.5500000007"/>
    <n v="1.25"/>
    <n v="3.66"/>
  </r>
  <r>
    <x v="969"/>
    <x v="1"/>
    <x v="8"/>
    <x v="1"/>
    <n v="366"/>
    <n v="27031356.370000001"/>
    <n v="10641779.279999999"/>
    <n v="16389577.09"/>
    <n v="4.71"/>
    <n v="3.58"/>
  </r>
  <r>
    <x v="389"/>
    <x v="1"/>
    <x v="7"/>
    <x v="0"/>
    <n v="465"/>
    <n v="23917727.789999999"/>
    <n v="5093510.63"/>
    <n v="18824217.170000002"/>
    <n v="4.76"/>
    <n v="4.4400000000000004"/>
  </r>
  <r>
    <x v="932"/>
    <x v="1"/>
    <x v="5"/>
    <x v="0"/>
    <n v="133"/>
    <n v="7138078.1600000001"/>
    <n v="1691974.19"/>
    <n v="5446103.96"/>
    <n v="0.86"/>
    <n v="4.84"/>
  </r>
  <r>
    <x v="382"/>
    <x v="1"/>
    <x v="6"/>
    <x v="2"/>
    <n v="437"/>
    <n v="29655332.359999999"/>
    <n v="7213169.9699999997"/>
    <n v="22442162.390000001"/>
    <n v="2.66"/>
    <n v="3.56"/>
  </r>
  <r>
    <x v="970"/>
    <x v="1"/>
    <x v="6"/>
    <x v="1"/>
    <n v="237"/>
    <n v="17831269.420000002"/>
    <n v="6841394.5300000003"/>
    <n v="10989874.890000001"/>
    <n v="0.77"/>
    <n v="3.87"/>
  </r>
  <r>
    <x v="461"/>
    <x v="1"/>
    <x v="5"/>
    <x v="1"/>
    <n v="446"/>
    <n v="27366712.120000001"/>
    <n v="7576517.9199999999"/>
    <n v="19790194.199999999"/>
    <n v="1.98"/>
    <n v="4.21"/>
  </r>
  <r>
    <x v="588"/>
    <x v="1"/>
    <x v="8"/>
    <x v="1"/>
    <n v="222"/>
    <n v="9993659.75"/>
    <n v="2419068.2599999998"/>
    <n v="7574591.4900000002"/>
    <n v="3.46"/>
    <n v="4.25"/>
  </r>
  <r>
    <x v="349"/>
    <x v="1"/>
    <x v="8"/>
    <x v="2"/>
    <n v="131"/>
    <n v="4735304.51"/>
    <n v="1275441.94"/>
    <n v="3459862.57"/>
    <n v="2"/>
    <n v="4.3099999999999996"/>
  </r>
  <r>
    <x v="782"/>
    <x v="1"/>
    <x v="6"/>
    <x v="2"/>
    <n v="108"/>
    <n v="7642934.5800000001"/>
    <n v="2752155.85"/>
    <n v="4890778.7300000004"/>
    <n v="3.56"/>
    <n v="3.61"/>
  </r>
  <r>
    <x v="172"/>
    <x v="1"/>
    <x v="9"/>
    <x v="2"/>
    <n v="496"/>
    <n v="22913615.489999998"/>
    <n v="5313885.54"/>
    <n v="17599729.949999999"/>
    <n v="1.28"/>
    <n v="4.9400000000000004"/>
  </r>
  <r>
    <x v="887"/>
    <x v="1"/>
    <x v="5"/>
    <x v="0"/>
    <n v="491"/>
    <n v="37241789.609999999"/>
    <n v="11727489.189999999"/>
    <n v="25514300.41"/>
    <n v="2.06"/>
    <n v="4.0599999999999996"/>
  </r>
  <r>
    <x v="971"/>
    <x v="1"/>
    <x v="9"/>
    <x v="1"/>
    <n v="69"/>
    <n v="4330886.33"/>
    <n v="1261759.97"/>
    <n v="3069126.36"/>
    <n v="2.81"/>
    <n v="4.38"/>
  </r>
  <r>
    <x v="216"/>
    <x v="1"/>
    <x v="5"/>
    <x v="0"/>
    <n v="299"/>
    <n v="22391862.23"/>
    <n v="6777260.1100000003"/>
    <n v="15614602.109999999"/>
    <n v="4.43"/>
    <n v="4.8499999999999996"/>
  </r>
  <r>
    <x v="806"/>
    <x v="1"/>
    <x v="5"/>
    <x v="1"/>
    <n v="311"/>
    <n v="22088934.739999998"/>
    <n v="4452540.28"/>
    <n v="17636394.460000001"/>
    <n v="1.78"/>
    <n v="4.04"/>
  </r>
  <r>
    <x v="972"/>
    <x v="1"/>
    <x v="7"/>
    <x v="2"/>
    <n v="180"/>
    <n v="12467369.18"/>
    <n v="3412168.79"/>
    <n v="9055200.3900000006"/>
    <n v="3.8"/>
    <n v="3.7"/>
  </r>
  <r>
    <x v="973"/>
    <x v="1"/>
    <x v="9"/>
    <x v="0"/>
    <n v="57"/>
    <n v="3265647.42"/>
    <n v="913169.47"/>
    <n v="2352477.9500000002"/>
    <n v="3.35"/>
    <n v="4.0599999999999996"/>
  </r>
  <r>
    <x v="974"/>
    <x v="1"/>
    <x v="5"/>
    <x v="1"/>
    <n v="51"/>
    <n v="2292640.35"/>
    <n v="525296.59"/>
    <n v="1767343.76"/>
    <n v="2.72"/>
    <n v="3.87"/>
  </r>
  <r>
    <x v="136"/>
    <x v="1"/>
    <x v="9"/>
    <x v="0"/>
    <n v="365"/>
    <n v="20905792.539999999"/>
    <n v="5883231.2000000002"/>
    <n v="15022561.34"/>
    <n v="3.11"/>
    <n v="4.49"/>
  </r>
  <r>
    <x v="381"/>
    <x v="1"/>
    <x v="6"/>
    <x v="2"/>
    <n v="280"/>
    <n v="12318267.640000001"/>
    <n v="3963817.65"/>
    <n v="8354449.9900000002"/>
    <n v="4.8600000000000003"/>
    <n v="3.89"/>
  </r>
  <r>
    <x v="963"/>
    <x v="1"/>
    <x v="5"/>
    <x v="0"/>
    <n v="278"/>
    <n v="9868074.8800000008"/>
    <n v="2785929.97"/>
    <n v="7082144.9100000001"/>
    <n v="3.19"/>
    <n v="4.09"/>
  </r>
  <r>
    <x v="975"/>
    <x v="1"/>
    <x v="5"/>
    <x v="2"/>
    <n v="456"/>
    <n v="27341041.699999999"/>
    <n v="9645643.5700000003"/>
    <n v="17695398.129999999"/>
    <n v="0.83"/>
    <n v="3.75"/>
  </r>
  <r>
    <x v="47"/>
    <x v="1"/>
    <x v="9"/>
    <x v="0"/>
    <n v="142"/>
    <n v="7601994.8099999996"/>
    <n v="1780564.51"/>
    <n v="5821430.29"/>
    <n v="2.44"/>
    <n v="3.87"/>
  </r>
  <r>
    <x v="470"/>
    <x v="1"/>
    <x v="5"/>
    <x v="2"/>
    <n v="220"/>
    <n v="19177858.59"/>
    <n v="6702555.0199999996"/>
    <n v="12475303.58"/>
    <n v="2.12"/>
    <n v="4.07"/>
  </r>
  <r>
    <x v="846"/>
    <x v="1"/>
    <x v="8"/>
    <x v="1"/>
    <n v="156"/>
    <n v="11778329.289999999"/>
    <n v="3147630.05"/>
    <n v="8630699.2400000002"/>
    <n v="2.64"/>
    <n v="4.7699999999999996"/>
  </r>
  <r>
    <x v="976"/>
    <x v="1"/>
    <x v="7"/>
    <x v="1"/>
    <n v="93"/>
    <n v="5538175.6299999999"/>
    <n v="1258034.06"/>
    <n v="4280141.57"/>
    <n v="3.01"/>
    <n v="4.3099999999999996"/>
  </r>
  <r>
    <x v="610"/>
    <x v="1"/>
    <x v="5"/>
    <x v="0"/>
    <n v="453"/>
    <n v="22575811.57"/>
    <n v="8772568.2100000009"/>
    <n v="13803243.359999999"/>
    <n v="2.89"/>
    <n v="4.9000000000000004"/>
  </r>
  <r>
    <x v="977"/>
    <x v="1"/>
    <x v="6"/>
    <x v="1"/>
    <n v="334"/>
    <n v="23446854.5"/>
    <n v="8325034.6399999997"/>
    <n v="15121819.859999999"/>
    <n v="1.31"/>
    <n v="3.63"/>
  </r>
  <r>
    <x v="84"/>
    <x v="1"/>
    <x v="6"/>
    <x v="1"/>
    <n v="210"/>
    <n v="13208562.039999999"/>
    <n v="5173601.28"/>
    <n v="8034960.7599999998"/>
    <n v="1.17"/>
    <n v="4.9800000000000004"/>
  </r>
  <r>
    <x v="978"/>
    <x v="1"/>
    <x v="7"/>
    <x v="0"/>
    <n v="265"/>
    <n v="19272979.75"/>
    <n v="7642199.8300000001"/>
    <n v="11630779.92"/>
    <n v="1.95"/>
    <n v="4.96"/>
  </r>
  <r>
    <x v="979"/>
    <x v="1"/>
    <x v="8"/>
    <x v="0"/>
    <n v="88"/>
    <n v="5280940.9000000004"/>
    <n v="1567809.93"/>
    <n v="3713130.97"/>
    <n v="2.7"/>
    <n v="4.5"/>
  </r>
  <r>
    <x v="254"/>
    <x v="1"/>
    <x v="9"/>
    <x v="2"/>
    <n v="389"/>
    <n v="16305239.65"/>
    <n v="6089307.0099999998"/>
    <n v="10215932.630000001"/>
    <n v="1.1499999999999999"/>
    <n v="4.91"/>
  </r>
  <r>
    <x v="980"/>
    <x v="1"/>
    <x v="9"/>
    <x v="0"/>
    <n v="429"/>
    <n v="30904638.260000002"/>
    <n v="6366899.1200000001"/>
    <n v="24537739.149999999"/>
    <n v="0.92"/>
    <n v="4.51"/>
  </r>
  <r>
    <x v="981"/>
    <x v="1"/>
    <x v="8"/>
    <x v="0"/>
    <n v="401"/>
    <n v="19208249.32"/>
    <n v="3982458.5"/>
    <n v="15225790.82"/>
    <n v="1.65"/>
    <n v="4.49"/>
  </r>
  <r>
    <x v="982"/>
    <x v="1"/>
    <x v="9"/>
    <x v="2"/>
    <n v="168"/>
    <n v="14608235.390000001"/>
    <n v="3847084.55"/>
    <n v="10761150.84"/>
    <n v="2.74"/>
    <n v="4.43"/>
  </r>
  <r>
    <x v="720"/>
    <x v="1"/>
    <x v="7"/>
    <x v="0"/>
    <n v="185"/>
    <n v="15272394.91"/>
    <n v="3761531.72"/>
    <n v="11510863.189999999"/>
    <n v="1.01"/>
    <n v="4.6900000000000004"/>
  </r>
  <r>
    <x v="175"/>
    <x v="1"/>
    <x v="8"/>
    <x v="0"/>
    <n v="338"/>
    <n v="22995331.399999999"/>
    <n v="4870984.43"/>
    <n v="18124346.960000001"/>
    <n v="4.22"/>
    <n v="4.5"/>
  </r>
  <r>
    <x v="983"/>
    <x v="1"/>
    <x v="8"/>
    <x v="0"/>
    <n v="410"/>
    <n v="16753672.83"/>
    <n v="4497204.13"/>
    <n v="12256468.699999999"/>
    <n v="5"/>
    <n v="3.57"/>
  </r>
  <r>
    <x v="259"/>
    <x v="1"/>
    <x v="8"/>
    <x v="2"/>
    <n v="122"/>
    <n v="10083803.460000001"/>
    <n v="2030198.49"/>
    <n v="8053604.96"/>
    <n v="3.89"/>
    <n v="3.64"/>
  </r>
  <r>
    <x v="984"/>
    <x v="1"/>
    <x v="7"/>
    <x v="2"/>
    <n v="208"/>
    <n v="15727858.949999999"/>
    <n v="3527709.81"/>
    <n v="12200149.140000001"/>
    <n v="2.3199999999999998"/>
    <n v="3.99"/>
  </r>
  <r>
    <x v="985"/>
    <x v="1"/>
    <x v="7"/>
    <x v="0"/>
    <n v="151"/>
    <n v="8924021.3399999999"/>
    <n v="1960829.43"/>
    <n v="6963191.9100000001"/>
    <n v="4.45"/>
    <n v="3.98"/>
  </r>
  <r>
    <x v="986"/>
    <x v="1"/>
    <x v="5"/>
    <x v="2"/>
    <n v="414"/>
    <n v="33112085.100000001"/>
    <n v="12448759.550000001"/>
    <n v="20663325.559999999"/>
    <n v="2.95"/>
    <n v="3.51"/>
  </r>
  <r>
    <x v="54"/>
    <x v="1"/>
    <x v="7"/>
    <x v="0"/>
    <n v="192"/>
    <n v="13375004.380000001"/>
    <n v="3718701.14"/>
    <n v="9656303.2400000002"/>
    <n v="3.04"/>
    <n v="4.07"/>
  </r>
  <r>
    <x v="987"/>
    <x v="1"/>
    <x v="8"/>
    <x v="0"/>
    <n v="142"/>
    <n v="8474297.1899999995"/>
    <n v="2987114.96"/>
    <n v="5487182.2300000004"/>
    <n v="2.1800000000000002"/>
    <n v="3.84"/>
  </r>
  <r>
    <x v="988"/>
    <x v="1"/>
    <x v="6"/>
    <x v="1"/>
    <n v="316"/>
    <n v="21547936.550000001"/>
    <n v="5739453.2199999997"/>
    <n v="15808483.33"/>
    <n v="3.29"/>
    <n v="4.2"/>
  </r>
  <r>
    <x v="46"/>
    <x v="1"/>
    <x v="9"/>
    <x v="2"/>
    <n v="52"/>
    <n v="3371160.08"/>
    <n v="706946.72"/>
    <n v="2664213.36"/>
    <n v="4.3099999999999996"/>
    <n v="4.87"/>
  </r>
  <r>
    <x v="695"/>
    <x v="1"/>
    <x v="7"/>
    <x v="2"/>
    <n v="270"/>
    <n v="14517530.24"/>
    <n v="4703111.82"/>
    <n v="9814418.4199999999"/>
    <n v="2.29"/>
    <n v="4.37"/>
  </r>
  <r>
    <x v="989"/>
    <x v="1"/>
    <x v="7"/>
    <x v="0"/>
    <n v="349"/>
    <n v="21365169.640000001"/>
    <n v="6860931.4500000002"/>
    <n v="14504238.199999999"/>
    <n v="2.97"/>
    <n v="4.62"/>
  </r>
  <r>
    <x v="360"/>
    <x v="1"/>
    <x v="7"/>
    <x v="2"/>
    <n v="413"/>
    <n v="36159720.75"/>
    <n v="14332031.279999999"/>
    <n v="21827689.469999999"/>
    <n v="1.38"/>
    <n v="3.51"/>
  </r>
  <r>
    <x v="103"/>
    <x v="1"/>
    <x v="6"/>
    <x v="0"/>
    <n v="352"/>
    <n v="13699986.029999999"/>
    <n v="2864228.6"/>
    <n v="10835757.43"/>
    <n v="3.45"/>
    <n v="4.07"/>
  </r>
  <r>
    <x v="990"/>
    <x v="1"/>
    <x v="6"/>
    <x v="0"/>
    <n v="373"/>
    <n v="32224955.09"/>
    <n v="10623776.970000001"/>
    <n v="21601178.109999999"/>
    <n v="0.96"/>
    <n v="4.2300000000000004"/>
  </r>
  <r>
    <x v="589"/>
    <x v="1"/>
    <x v="8"/>
    <x v="0"/>
    <n v="422"/>
    <n v="21381900.050000001"/>
    <n v="7238671.3600000003"/>
    <n v="14143228.699999999"/>
    <n v="4.1100000000000003"/>
    <n v="4.3099999999999996"/>
  </r>
  <r>
    <x v="393"/>
    <x v="1"/>
    <x v="8"/>
    <x v="0"/>
    <n v="193"/>
    <n v="7706383.5899999999"/>
    <n v="1976478.11"/>
    <n v="5729905.4800000004"/>
    <n v="2.2999999999999998"/>
    <n v="4.97"/>
  </r>
  <r>
    <x v="437"/>
    <x v="1"/>
    <x v="9"/>
    <x v="1"/>
    <n v="139"/>
    <n v="5796819.1799999997"/>
    <n v="2108709.67"/>
    <n v="3688109.52"/>
    <n v="3.57"/>
    <n v="3.77"/>
  </r>
  <r>
    <x v="991"/>
    <x v="1"/>
    <x v="7"/>
    <x v="0"/>
    <n v="446"/>
    <n v="20137873.23"/>
    <n v="6865893.9400000004"/>
    <n v="13271979.289999999"/>
    <n v="4.07"/>
    <n v="3.78"/>
  </r>
  <r>
    <x v="992"/>
    <x v="1"/>
    <x v="9"/>
    <x v="2"/>
    <n v="489"/>
    <n v="43012918.310000002"/>
    <n v="13045425.439999999"/>
    <n v="29967492.870000001"/>
    <n v="4.13"/>
    <n v="4.33"/>
  </r>
  <r>
    <x v="52"/>
    <x v="1"/>
    <x v="5"/>
    <x v="1"/>
    <n v="425"/>
    <n v="27181918.66"/>
    <n v="10262237.949999999"/>
    <n v="16919680.710000001"/>
    <n v="0.51"/>
    <n v="4.46"/>
  </r>
  <r>
    <x v="993"/>
    <x v="1"/>
    <x v="8"/>
    <x v="0"/>
    <n v="326"/>
    <n v="27263821.890000001"/>
    <n v="9661863.5"/>
    <n v="17601958.390000001"/>
    <n v="1.45"/>
    <n v="4.42"/>
  </r>
  <r>
    <x v="994"/>
    <x v="1"/>
    <x v="7"/>
    <x v="2"/>
    <n v="427"/>
    <n v="23417742.609999999"/>
    <n v="5124312.0999999996"/>
    <n v="18293430.510000002"/>
    <n v="3.96"/>
    <n v="4.33"/>
  </r>
  <r>
    <x v="549"/>
    <x v="1"/>
    <x v="5"/>
    <x v="1"/>
    <n v="396"/>
    <n v="30859845.719999999"/>
    <n v="10647843.92"/>
    <n v="20212001.809999999"/>
    <n v="4.2"/>
    <n v="4.1399999999999997"/>
  </r>
  <r>
    <x v="908"/>
    <x v="1"/>
    <x v="5"/>
    <x v="0"/>
    <n v="251"/>
    <n v="19960561.32"/>
    <n v="4923647.17"/>
    <n v="15036914.15"/>
    <n v="1.17"/>
    <n v="4.1399999999999997"/>
  </r>
  <r>
    <x v="995"/>
    <x v="1"/>
    <x v="5"/>
    <x v="1"/>
    <n v="118"/>
    <n v="5220412.21"/>
    <n v="1318807.94"/>
    <n v="3901604.26"/>
    <n v="4.38"/>
    <n v="3.83"/>
  </r>
  <r>
    <x v="447"/>
    <x v="1"/>
    <x v="8"/>
    <x v="0"/>
    <n v="199"/>
    <n v="7223724.3200000003"/>
    <n v="1962004.7"/>
    <n v="5261719.62"/>
    <n v="3.23"/>
    <n v="4.32"/>
  </r>
  <r>
    <x v="996"/>
    <x v="1"/>
    <x v="8"/>
    <x v="1"/>
    <n v="187"/>
    <n v="9187050.3699999992"/>
    <n v="2513548.5299999998"/>
    <n v="6673501.8499999996"/>
    <n v="0.76"/>
    <n v="3.71"/>
  </r>
  <r>
    <x v="464"/>
    <x v="1"/>
    <x v="9"/>
    <x v="0"/>
    <n v="369"/>
    <n v="15684044.779999999"/>
    <n v="4093082.25"/>
    <n v="11590962.529999999"/>
    <n v="2.3199999999999998"/>
    <n v="4.1399999999999997"/>
  </r>
  <r>
    <x v="204"/>
    <x v="1"/>
    <x v="9"/>
    <x v="0"/>
    <n v="216"/>
    <n v="16167260.189999999"/>
    <n v="6415747.3399999999"/>
    <n v="9751512.8599999994"/>
    <n v="2.0299999999999998"/>
    <n v="4.7300000000000004"/>
  </r>
  <r>
    <x v="997"/>
    <x v="1"/>
    <x v="9"/>
    <x v="1"/>
    <n v="117"/>
    <n v="8756120.2899999991"/>
    <n v="2489563.0299999998"/>
    <n v="6266557.2599999998"/>
    <n v="1.73"/>
    <n v="3.62"/>
  </r>
  <r>
    <x v="998"/>
    <x v="1"/>
    <x v="5"/>
    <x v="2"/>
    <n v="281"/>
    <n v="19807954.440000001"/>
    <n v="5563061.1200000001"/>
    <n v="14244893.32"/>
    <n v="2.31"/>
    <n v="4.05"/>
  </r>
  <r>
    <x v="999"/>
    <x v="1"/>
    <x v="7"/>
    <x v="0"/>
    <n v="119"/>
    <n v="6488450.8200000003"/>
    <n v="2505289.69"/>
    <n v="3983161.13"/>
    <n v="2.84"/>
    <n v="3.6"/>
  </r>
  <r>
    <x v="813"/>
    <x v="1"/>
    <x v="8"/>
    <x v="2"/>
    <n v="54"/>
    <n v="2097696.87"/>
    <n v="570502.97"/>
    <n v="1527193.9"/>
    <n v="1.72"/>
    <n v="4.3899999999999997"/>
  </r>
  <r>
    <x v="1000"/>
    <x v="1"/>
    <x v="6"/>
    <x v="2"/>
    <n v="116"/>
    <n v="7460270.6799999997"/>
    <n v="2500184.75"/>
    <n v="4960085.92"/>
    <n v="2"/>
    <n v="4.5"/>
  </r>
  <r>
    <x v="24"/>
    <x v="1"/>
    <x v="9"/>
    <x v="2"/>
    <n v="264"/>
    <n v="14735477.67"/>
    <n v="4824559.63"/>
    <n v="9910918.0399999991"/>
    <n v="4.9800000000000004"/>
    <n v="4.17"/>
  </r>
  <r>
    <x v="365"/>
    <x v="1"/>
    <x v="7"/>
    <x v="0"/>
    <n v="165"/>
    <n v="6320791.7599999998"/>
    <n v="1817484.49"/>
    <n v="4503307.2699999996"/>
    <n v="4.8099999999999996"/>
    <n v="3.76"/>
  </r>
  <r>
    <x v="1001"/>
    <x v="1"/>
    <x v="8"/>
    <x v="2"/>
    <n v="336"/>
    <n v="25709402.91"/>
    <n v="9407183.9600000009"/>
    <n v="16302218.949999999"/>
    <n v="2.34"/>
    <n v="4.13"/>
  </r>
  <r>
    <x v="1002"/>
    <x v="1"/>
    <x v="9"/>
    <x v="0"/>
    <n v="104"/>
    <n v="7965254.2400000002"/>
    <n v="2632402.58"/>
    <n v="5332851.66"/>
    <n v="3.49"/>
    <n v="4.6900000000000004"/>
  </r>
  <r>
    <x v="377"/>
    <x v="1"/>
    <x v="8"/>
    <x v="0"/>
    <n v="193"/>
    <n v="10815516.460000001"/>
    <n v="4067004.08"/>
    <n v="6748512.3899999997"/>
    <n v="4.88"/>
    <n v="3.53"/>
  </r>
  <r>
    <x v="723"/>
    <x v="1"/>
    <x v="6"/>
    <x v="0"/>
    <n v="409"/>
    <n v="31604652.609999999"/>
    <n v="11101723.869999999"/>
    <n v="20502928.739999998"/>
    <n v="3.52"/>
    <n v="3.64"/>
  </r>
  <r>
    <x v="1003"/>
    <x v="1"/>
    <x v="6"/>
    <x v="2"/>
    <n v="455"/>
    <n v="18155338.91"/>
    <n v="4519697.47"/>
    <n v="13635641.439999999"/>
    <n v="1.07"/>
    <n v="4.74"/>
  </r>
  <r>
    <x v="882"/>
    <x v="1"/>
    <x v="6"/>
    <x v="1"/>
    <n v="87"/>
    <n v="3807269.74"/>
    <n v="1474853.27"/>
    <n v="2332416.4700000002"/>
    <n v="1.03"/>
    <n v="3.84"/>
  </r>
  <r>
    <x v="1004"/>
    <x v="1"/>
    <x v="5"/>
    <x v="0"/>
    <n v="286"/>
    <n v="15674945.689999999"/>
    <n v="5995219.2199999997"/>
    <n v="9679726.4700000007"/>
    <n v="4.72"/>
    <n v="4.33"/>
  </r>
  <r>
    <x v="1005"/>
    <x v="1"/>
    <x v="9"/>
    <x v="2"/>
    <n v="380"/>
    <n v="30548479.66"/>
    <n v="10510488.289999999"/>
    <n v="20037991.370000001"/>
    <n v="4.74"/>
    <n v="4.8099999999999996"/>
  </r>
  <r>
    <x v="1006"/>
    <x v="1"/>
    <x v="9"/>
    <x v="1"/>
    <n v="311"/>
    <n v="26611199.699999999"/>
    <n v="7999520.9800000004"/>
    <n v="18611678.719999999"/>
    <n v="4.96"/>
    <n v="4.78"/>
  </r>
  <r>
    <x v="1007"/>
    <x v="1"/>
    <x v="7"/>
    <x v="2"/>
    <n v="61"/>
    <n v="5257146.95"/>
    <n v="1980507.73"/>
    <n v="3276639.22"/>
    <n v="4.18"/>
    <n v="4.07"/>
  </r>
  <r>
    <x v="368"/>
    <x v="1"/>
    <x v="8"/>
    <x v="0"/>
    <n v="265"/>
    <n v="17035913.379999999"/>
    <n v="4356348.58"/>
    <n v="12679564.800000001"/>
    <n v="1.1399999999999999"/>
    <n v="3.82"/>
  </r>
  <r>
    <x v="180"/>
    <x v="1"/>
    <x v="9"/>
    <x v="2"/>
    <n v="63"/>
    <n v="2485385.3199999998"/>
    <n v="793841.92"/>
    <n v="1691543.39"/>
    <n v="1.28"/>
    <n v="4.54"/>
  </r>
  <r>
    <x v="1008"/>
    <x v="1"/>
    <x v="9"/>
    <x v="0"/>
    <n v="255"/>
    <n v="22607933.07"/>
    <n v="6144962.46"/>
    <n v="16462970.6"/>
    <n v="4.2"/>
    <n v="3.7"/>
  </r>
  <r>
    <x v="933"/>
    <x v="1"/>
    <x v="5"/>
    <x v="2"/>
    <n v="359"/>
    <n v="18759553.260000002"/>
    <n v="5228771.7"/>
    <n v="13530781.560000001"/>
    <n v="1.1299999999999999"/>
    <n v="4.8499999999999996"/>
  </r>
  <r>
    <x v="749"/>
    <x v="1"/>
    <x v="6"/>
    <x v="1"/>
    <n v="287"/>
    <n v="12804827.73"/>
    <n v="3834876.69"/>
    <n v="8969951.0500000007"/>
    <n v="2.29"/>
    <n v="3.72"/>
  </r>
  <r>
    <x v="847"/>
    <x v="1"/>
    <x v="5"/>
    <x v="2"/>
    <n v="166"/>
    <n v="6921686.25"/>
    <n v="2106637.33"/>
    <n v="4815048.92"/>
    <n v="2.78"/>
    <n v="3.85"/>
  </r>
  <r>
    <x v="1009"/>
    <x v="1"/>
    <x v="8"/>
    <x v="0"/>
    <n v="222"/>
    <n v="14479755.630000001"/>
    <n v="2994928.48"/>
    <n v="11484827.16"/>
    <n v="2.4500000000000002"/>
    <n v="3.97"/>
  </r>
  <r>
    <x v="1010"/>
    <x v="1"/>
    <x v="5"/>
    <x v="1"/>
    <n v="383"/>
    <n v="31860155.879999999"/>
    <n v="10974213.970000001"/>
    <n v="20885941.91"/>
    <n v="4.33"/>
    <n v="3.5"/>
  </r>
  <r>
    <x v="316"/>
    <x v="1"/>
    <x v="6"/>
    <x v="1"/>
    <n v="92"/>
    <n v="6355115.0499999998"/>
    <n v="1715625.47"/>
    <n v="4639489.58"/>
    <n v="1.18"/>
    <n v="3.59"/>
  </r>
  <r>
    <x v="538"/>
    <x v="1"/>
    <x v="5"/>
    <x v="0"/>
    <n v="467"/>
    <n v="28154973.879999999"/>
    <n v="10934469.529999999"/>
    <n v="17220504.359999999"/>
    <n v="4.9800000000000004"/>
    <n v="3.59"/>
  </r>
  <r>
    <x v="816"/>
    <x v="1"/>
    <x v="7"/>
    <x v="1"/>
    <n v="105"/>
    <n v="5392225.4000000004"/>
    <n v="1692795.15"/>
    <n v="3699430.25"/>
    <n v="1.27"/>
    <n v="3.61"/>
  </r>
  <r>
    <x v="1011"/>
    <x v="1"/>
    <x v="6"/>
    <x v="0"/>
    <n v="205"/>
    <n v="10594427.289999999"/>
    <n v="4023666.42"/>
    <n v="6570760.8700000001"/>
    <n v="3.61"/>
    <n v="3.59"/>
  </r>
  <r>
    <x v="140"/>
    <x v="1"/>
    <x v="8"/>
    <x v="0"/>
    <n v="309"/>
    <n v="21576057.690000001"/>
    <n v="7642694.4400000004"/>
    <n v="13933363.26"/>
    <n v="1.55"/>
    <n v="3.83"/>
  </r>
  <r>
    <x v="215"/>
    <x v="1"/>
    <x v="6"/>
    <x v="2"/>
    <n v="270"/>
    <n v="18714853.170000002"/>
    <n v="5513240.5499999998"/>
    <n v="13201612.619999999"/>
    <n v="2.42"/>
    <n v="3.7"/>
  </r>
  <r>
    <x v="612"/>
    <x v="1"/>
    <x v="6"/>
    <x v="1"/>
    <n v="165"/>
    <n v="9448545.7400000002"/>
    <n v="2543405.2799999998"/>
    <n v="6905140.46"/>
    <n v="2.09"/>
    <n v="4.29"/>
  </r>
  <r>
    <x v="500"/>
    <x v="1"/>
    <x v="8"/>
    <x v="1"/>
    <n v="63"/>
    <n v="2817913.96"/>
    <n v="909014.65"/>
    <n v="1908899.3"/>
    <n v="4.84"/>
    <n v="3.87"/>
  </r>
  <r>
    <x v="764"/>
    <x v="1"/>
    <x v="8"/>
    <x v="2"/>
    <n v="111"/>
    <n v="6823606.0499999998"/>
    <n v="2703250.31"/>
    <n v="4120355.73"/>
    <n v="1.67"/>
    <n v="4.6399999999999997"/>
  </r>
  <r>
    <x v="302"/>
    <x v="1"/>
    <x v="9"/>
    <x v="2"/>
    <n v="363"/>
    <n v="16492257.640000001"/>
    <n v="4555332.4400000004"/>
    <n v="11936925.199999999"/>
    <n v="1.96"/>
    <n v="4.75"/>
  </r>
  <r>
    <x v="1012"/>
    <x v="1"/>
    <x v="5"/>
    <x v="0"/>
    <n v="262"/>
    <n v="12035518.960000001"/>
    <n v="4658668.53"/>
    <n v="7376850.4299999997"/>
    <n v="0.69"/>
    <n v="4.0599999999999996"/>
  </r>
  <r>
    <x v="899"/>
    <x v="1"/>
    <x v="7"/>
    <x v="0"/>
    <n v="237"/>
    <n v="16716784.76"/>
    <n v="5017262.66"/>
    <n v="11699522.1"/>
    <n v="1.7"/>
    <n v="3.72"/>
  </r>
  <r>
    <x v="1013"/>
    <x v="1"/>
    <x v="6"/>
    <x v="1"/>
    <n v="245"/>
    <n v="20226298.780000001"/>
    <n v="7105587.8899999997"/>
    <n v="13120710.9"/>
    <n v="3.43"/>
    <n v="4.72"/>
  </r>
  <r>
    <x v="1014"/>
    <x v="1"/>
    <x v="9"/>
    <x v="2"/>
    <n v="270"/>
    <n v="15307972.74"/>
    <n v="4716549.37"/>
    <n v="10591423.359999999"/>
    <n v="4.03"/>
    <n v="4.84"/>
  </r>
  <r>
    <x v="1015"/>
    <x v="1"/>
    <x v="8"/>
    <x v="2"/>
    <n v="154"/>
    <n v="6255206.5199999996"/>
    <n v="1678031.53"/>
    <n v="4577174.99"/>
    <n v="4.74"/>
    <n v="4.71"/>
  </r>
  <r>
    <x v="64"/>
    <x v="1"/>
    <x v="9"/>
    <x v="1"/>
    <n v="97"/>
    <n v="4753667.7699999996"/>
    <n v="1102022.28"/>
    <n v="3651645.49"/>
    <n v="0.67"/>
    <n v="4.8499999999999996"/>
  </r>
  <r>
    <x v="1016"/>
    <x v="1"/>
    <x v="5"/>
    <x v="1"/>
    <n v="326"/>
    <n v="26204620.27"/>
    <n v="7885221.2599999998"/>
    <n v="18319399.010000002"/>
    <n v="2.2400000000000002"/>
    <n v="4.18"/>
  </r>
  <r>
    <x v="1017"/>
    <x v="1"/>
    <x v="5"/>
    <x v="0"/>
    <n v="482"/>
    <n v="33145379.329999998"/>
    <n v="12816310.300000001"/>
    <n v="20329069.030000001"/>
    <n v="2.83"/>
    <n v="3.73"/>
  </r>
  <r>
    <x v="1018"/>
    <x v="1"/>
    <x v="7"/>
    <x v="0"/>
    <n v="465"/>
    <n v="41550140.060000002"/>
    <n v="12936444.25"/>
    <n v="28613695.809999999"/>
    <n v="0.72"/>
    <n v="3.56"/>
  </r>
  <r>
    <x v="1012"/>
    <x v="1"/>
    <x v="5"/>
    <x v="2"/>
    <n v="136"/>
    <n v="10118098.939999999"/>
    <n v="3901368.29"/>
    <n v="6216730.6500000004"/>
    <n v="0.82"/>
    <n v="3.52"/>
  </r>
  <r>
    <x v="188"/>
    <x v="1"/>
    <x v="6"/>
    <x v="1"/>
    <n v="182"/>
    <n v="11460878.689999999"/>
    <n v="3695915.09"/>
    <n v="7764963.5999999996"/>
    <n v="2.58"/>
    <n v="4.99"/>
  </r>
  <r>
    <x v="852"/>
    <x v="1"/>
    <x v="9"/>
    <x v="2"/>
    <n v="485"/>
    <n v="37638882.939999998"/>
    <n v="10076902.98"/>
    <n v="27561979.969999999"/>
    <n v="1.33"/>
    <n v="3.76"/>
  </r>
  <r>
    <x v="82"/>
    <x v="1"/>
    <x v="6"/>
    <x v="2"/>
    <n v="310"/>
    <n v="20220953.550000001"/>
    <n v="4729541.6900000004"/>
    <n v="15491411.859999999"/>
    <n v="0.81"/>
    <n v="4.1399999999999997"/>
  </r>
  <r>
    <x v="1010"/>
    <x v="1"/>
    <x v="5"/>
    <x v="2"/>
    <n v="160"/>
    <n v="6323110.6699999999"/>
    <n v="1305267.05"/>
    <n v="5017843.63"/>
    <n v="1.83"/>
    <n v="4.6500000000000004"/>
  </r>
  <r>
    <x v="279"/>
    <x v="1"/>
    <x v="6"/>
    <x v="2"/>
    <n v="458"/>
    <n v="40615209.5"/>
    <n v="10825168.560000001"/>
    <n v="29790040.949999999"/>
    <n v="0.55000000000000004"/>
    <n v="3.88"/>
  </r>
  <r>
    <x v="1019"/>
    <x v="1"/>
    <x v="8"/>
    <x v="0"/>
    <n v="373"/>
    <n v="28946612.010000002"/>
    <n v="7850875.4800000004"/>
    <n v="21095736.530000001"/>
    <n v="2.89"/>
    <n v="3.56"/>
  </r>
  <r>
    <x v="1020"/>
    <x v="1"/>
    <x v="5"/>
    <x v="2"/>
    <n v="419"/>
    <n v="22090456.280000001"/>
    <n v="8282889.1699999999"/>
    <n v="13807567.109999999"/>
    <n v="2.63"/>
    <n v="3.67"/>
  </r>
  <r>
    <x v="294"/>
    <x v="1"/>
    <x v="5"/>
    <x v="0"/>
    <n v="318"/>
    <n v="21316572.289999999"/>
    <n v="5337357.72"/>
    <n v="15979214.58"/>
    <n v="4.1500000000000004"/>
    <n v="4.4800000000000004"/>
  </r>
  <r>
    <x v="317"/>
    <x v="1"/>
    <x v="8"/>
    <x v="2"/>
    <n v="60"/>
    <n v="2244327.5699999998"/>
    <n v="847993.15"/>
    <n v="1396334.41"/>
    <n v="3.19"/>
    <n v="3.64"/>
  </r>
  <r>
    <x v="245"/>
    <x v="1"/>
    <x v="5"/>
    <x v="2"/>
    <n v="364"/>
    <n v="23752840.649999999"/>
    <n v="7654814.6600000001"/>
    <n v="16098025.99"/>
    <n v="1.24"/>
    <n v="3.91"/>
  </r>
  <r>
    <x v="27"/>
    <x v="1"/>
    <x v="6"/>
    <x v="0"/>
    <n v="262"/>
    <n v="18910904.59"/>
    <n v="5688219.1699999999"/>
    <n v="13222685.42"/>
    <n v="0.56000000000000005"/>
    <n v="4.99"/>
  </r>
  <r>
    <x v="159"/>
    <x v="1"/>
    <x v="5"/>
    <x v="1"/>
    <n v="171"/>
    <n v="13658980.960000001"/>
    <n v="3110505.11"/>
    <n v="10548475.85"/>
    <n v="4.3099999999999996"/>
    <n v="4.88"/>
  </r>
  <r>
    <x v="1021"/>
    <x v="1"/>
    <x v="8"/>
    <x v="0"/>
    <n v="67"/>
    <n v="4688920.76"/>
    <n v="1668258.58"/>
    <n v="3020662.19"/>
    <n v="4.9000000000000004"/>
    <n v="4.62"/>
  </r>
  <r>
    <x v="501"/>
    <x v="1"/>
    <x v="7"/>
    <x v="2"/>
    <n v="287"/>
    <n v="22301222.940000001"/>
    <n v="5993846.8899999997"/>
    <n v="16307376.050000001"/>
    <n v="1.3"/>
    <n v="4.32"/>
  </r>
  <r>
    <x v="568"/>
    <x v="1"/>
    <x v="5"/>
    <x v="1"/>
    <n v="284"/>
    <n v="14146954.880000001"/>
    <n v="4132166.45"/>
    <n v="10014788.43"/>
    <n v="3.78"/>
    <n v="3.66"/>
  </r>
  <r>
    <x v="932"/>
    <x v="1"/>
    <x v="8"/>
    <x v="2"/>
    <n v="262"/>
    <n v="19631370.5"/>
    <n v="4641698.84"/>
    <n v="14989671.66"/>
    <n v="1.46"/>
    <n v="4.26"/>
  </r>
  <r>
    <x v="1022"/>
    <x v="1"/>
    <x v="5"/>
    <x v="2"/>
    <n v="137"/>
    <n v="7374860.7000000002"/>
    <n v="2340166.5299999998"/>
    <n v="5034694.16"/>
    <n v="3.91"/>
    <n v="4.62"/>
  </r>
  <r>
    <x v="1023"/>
    <x v="1"/>
    <x v="5"/>
    <x v="1"/>
    <n v="52"/>
    <n v="2670988.5699999998"/>
    <n v="766561.97"/>
    <n v="1904426.6"/>
    <n v="3.6"/>
    <n v="4.8099999999999996"/>
  </r>
  <r>
    <x v="1024"/>
    <x v="1"/>
    <x v="7"/>
    <x v="0"/>
    <n v="416"/>
    <n v="34628927.539999999"/>
    <n v="10847161.720000001"/>
    <n v="23781765.829999998"/>
    <n v="1.22"/>
    <n v="4.34"/>
  </r>
  <r>
    <x v="254"/>
    <x v="1"/>
    <x v="9"/>
    <x v="2"/>
    <n v="121"/>
    <n v="5876647.8399999999"/>
    <n v="1496827.2"/>
    <n v="4379820.6399999997"/>
    <n v="4.96"/>
    <n v="3.65"/>
  </r>
  <r>
    <x v="419"/>
    <x v="1"/>
    <x v="7"/>
    <x v="0"/>
    <n v="273"/>
    <n v="22765444.539999999"/>
    <n v="6112247.25"/>
    <n v="16653197.289999999"/>
    <n v="1.9"/>
    <n v="4.6100000000000003"/>
  </r>
  <r>
    <x v="34"/>
    <x v="1"/>
    <x v="7"/>
    <x v="1"/>
    <n v="351"/>
    <n v="24176599.120000001"/>
    <n v="8761479.9199999999"/>
    <n v="15415119.199999999"/>
    <n v="2.1"/>
    <n v="4.68"/>
  </r>
  <r>
    <x v="1025"/>
    <x v="1"/>
    <x v="5"/>
    <x v="2"/>
    <n v="469"/>
    <n v="16549897.880000001"/>
    <n v="4101095.28"/>
    <n v="12448802.6"/>
    <n v="0.66"/>
    <n v="4.62"/>
  </r>
  <r>
    <x v="505"/>
    <x v="1"/>
    <x v="6"/>
    <x v="0"/>
    <n v="63"/>
    <n v="4802175.0999999996"/>
    <n v="1192210.67"/>
    <n v="3609964.44"/>
    <n v="3.55"/>
    <n v="4.63"/>
  </r>
  <r>
    <x v="979"/>
    <x v="1"/>
    <x v="7"/>
    <x v="0"/>
    <n v="272"/>
    <n v="14091839.060000001"/>
    <n v="3166011.34"/>
    <n v="10925827.73"/>
    <n v="4.9800000000000004"/>
    <n v="4.05"/>
  </r>
  <r>
    <x v="1026"/>
    <x v="1"/>
    <x v="8"/>
    <x v="0"/>
    <n v="430"/>
    <n v="30265586.5"/>
    <n v="7382383.2199999997"/>
    <n v="22883203.289999999"/>
    <n v="1.48"/>
    <n v="3.71"/>
  </r>
  <r>
    <x v="1027"/>
    <x v="1"/>
    <x v="5"/>
    <x v="1"/>
    <n v="279"/>
    <n v="16096682.15"/>
    <n v="4199244.0199999996"/>
    <n v="11897438.130000001"/>
    <n v="0.51"/>
    <n v="4.43"/>
  </r>
  <r>
    <x v="1028"/>
    <x v="1"/>
    <x v="8"/>
    <x v="2"/>
    <n v="309"/>
    <n v="13896521.16"/>
    <n v="4481145.5999999996"/>
    <n v="9415375.5600000005"/>
    <n v="2.31"/>
    <n v="4.8099999999999996"/>
  </r>
  <r>
    <x v="384"/>
    <x v="1"/>
    <x v="8"/>
    <x v="1"/>
    <n v="270"/>
    <n v="18988534.059999999"/>
    <n v="7349118.6900000004"/>
    <n v="11639415.369999999"/>
    <n v="3.11"/>
    <n v="4.34"/>
  </r>
  <r>
    <x v="672"/>
    <x v="1"/>
    <x v="7"/>
    <x v="0"/>
    <n v="437"/>
    <n v="16564143.189999999"/>
    <n v="5013642.6100000003"/>
    <n v="11550500.58"/>
    <n v="3.2"/>
    <n v="4.4000000000000004"/>
  </r>
  <r>
    <x v="1029"/>
    <x v="1"/>
    <x v="5"/>
    <x v="1"/>
    <n v="237"/>
    <n v="19049519.059999999"/>
    <n v="5721501.4000000004"/>
    <n v="13328017.66"/>
    <n v="0.85"/>
    <n v="3.59"/>
  </r>
  <r>
    <x v="322"/>
    <x v="1"/>
    <x v="7"/>
    <x v="1"/>
    <n v="158"/>
    <n v="12012090.060000001"/>
    <n v="2445735.5499999998"/>
    <n v="9566354.5099999998"/>
    <n v="1.44"/>
    <n v="4.74"/>
  </r>
  <r>
    <x v="1030"/>
    <x v="1"/>
    <x v="9"/>
    <x v="1"/>
    <n v="68"/>
    <n v="4026344.25"/>
    <n v="1491798.77"/>
    <n v="2534545.48"/>
    <n v="1.98"/>
    <n v="4.1500000000000004"/>
  </r>
  <r>
    <x v="475"/>
    <x v="1"/>
    <x v="9"/>
    <x v="2"/>
    <n v="195"/>
    <n v="10808500.970000001"/>
    <n v="4188202.84"/>
    <n v="6620298.1299999999"/>
    <n v="4.1100000000000003"/>
    <n v="4.6500000000000004"/>
  </r>
  <r>
    <x v="489"/>
    <x v="1"/>
    <x v="8"/>
    <x v="1"/>
    <n v="362"/>
    <n v="31248286.43"/>
    <n v="8483502.2899999991"/>
    <n v="22764784.140000001"/>
    <n v="2.4"/>
    <n v="4.45"/>
  </r>
  <r>
    <x v="1031"/>
    <x v="1"/>
    <x v="7"/>
    <x v="1"/>
    <n v="289"/>
    <n v="12948322.960000001"/>
    <n v="3403049.05"/>
    <n v="9545273.9100000001"/>
    <n v="4.96"/>
    <n v="4.62"/>
  </r>
  <r>
    <x v="1032"/>
    <x v="1"/>
    <x v="9"/>
    <x v="2"/>
    <n v="408"/>
    <n v="27112813.77"/>
    <n v="7657909.2599999998"/>
    <n v="19454904.5"/>
    <n v="1.33"/>
    <n v="4.04"/>
  </r>
  <r>
    <x v="126"/>
    <x v="1"/>
    <x v="6"/>
    <x v="1"/>
    <n v="99"/>
    <n v="4365026.43"/>
    <n v="1134686.9099999999"/>
    <n v="3230339.52"/>
    <n v="3.14"/>
    <n v="4.38"/>
  </r>
  <r>
    <x v="339"/>
    <x v="1"/>
    <x v="6"/>
    <x v="1"/>
    <n v="247"/>
    <n v="15683100.039999999"/>
    <n v="5336251.4000000004"/>
    <n v="10346848.630000001"/>
    <n v="4.7300000000000004"/>
    <n v="3.89"/>
  </r>
  <r>
    <x v="1033"/>
    <x v="1"/>
    <x v="5"/>
    <x v="1"/>
    <n v="351"/>
    <n v="16639075.369999999"/>
    <n v="5401329.5099999998"/>
    <n v="11237745.859999999"/>
    <n v="2.58"/>
    <n v="4.22"/>
  </r>
  <r>
    <x v="1034"/>
    <x v="1"/>
    <x v="8"/>
    <x v="2"/>
    <n v="454"/>
    <n v="27330926.559999999"/>
    <n v="8292373.2699999996"/>
    <n v="19038553.289999999"/>
    <n v="1.1000000000000001"/>
    <n v="3.62"/>
  </r>
  <r>
    <x v="707"/>
    <x v="1"/>
    <x v="9"/>
    <x v="0"/>
    <n v="280"/>
    <n v="23720265.289999999"/>
    <n v="5173910.79"/>
    <n v="18546354.489999998"/>
    <n v="4.01"/>
    <n v="3.51"/>
  </r>
  <r>
    <x v="202"/>
    <x v="1"/>
    <x v="9"/>
    <x v="2"/>
    <n v="346"/>
    <n v="15134022.43"/>
    <n v="4206576.75"/>
    <n v="10927445.68"/>
    <n v="1.1100000000000001"/>
    <n v="4.63"/>
  </r>
  <r>
    <x v="1035"/>
    <x v="1"/>
    <x v="8"/>
    <x v="2"/>
    <n v="201"/>
    <n v="12253628.1"/>
    <n v="4868605.08"/>
    <n v="7385023.0199999996"/>
    <n v="1.77"/>
    <n v="3.57"/>
  </r>
  <r>
    <x v="1036"/>
    <x v="1"/>
    <x v="5"/>
    <x v="0"/>
    <n v="391"/>
    <n v="19312980.73"/>
    <n v="6771212.9299999997"/>
    <n v="12541767.789999999"/>
    <n v="4.58"/>
    <n v="3.87"/>
  </r>
  <r>
    <x v="776"/>
    <x v="1"/>
    <x v="7"/>
    <x v="2"/>
    <n v="385"/>
    <n v="21335310.210000001"/>
    <n v="6704037.1600000001"/>
    <n v="14631273.050000001"/>
    <n v="4.3"/>
    <n v="3.9"/>
  </r>
  <r>
    <x v="701"/>
    <x v="1"/>
    <x v="7"/>
    <x v="0"/>
    <n v="378"/>
    <n v="23366605.120000001"/>
    <n v="9189554.9000000004"/>
    <n v="14177050.210000001"/>
    <n v="0.78"/>
    <n v="4.8600000000000003"/>
  </r>
  <r>
    <x v="1037"/>
    <x v="1"/>
    <x v="5"/>
    <x v="0"/>
    <n v="490"/>
    <n v="26472556.059999999"/>
    <n v="8920247.9700000007"/>
    <n v="17552308.09"/>
    <n v="3.97"/>
    <n v="3.63"/>
  </r>
  <r>
    <x v="133"/>
    <x v="1"/>
    <x v="8"/>
    <x v="2"/>
    <n v="448"/>
    <n v="16217728.5"/>
    <n v="4334059.22"/>
    <n v="11883669.279999999"/>
    <n v="4.84"/>
    <n v="4.34"/>
  </r>
  <r>
    <x v="159"/>
    <x v="1"/>
    <x v="5"/>
    <x v="2"/>
    <n v="248"/>
    <n v="14046628.630000001"/>
    <n v="3292899.53"/>
    <n v="10753729.1"/>
    <n v="4.04"/>
    <n v="4.4400000000000004"/>
  </r>
  <r>
    <x v="937"/>
    <x v="1"/>
    <x v="8"/>
    <x v="0"/>
    <n v="214"/>
    <n v="19039866.760000002"/>
    <n v="6639087.0599999996"/>
    <n v="12400779.689999999"/>
    <n v="3.44"/>
    <n v="3.8"/>
  </r>
  <r>
    <x v="777"/>
    <x v="1"/>
    <x v="9"/>
    <x v="1"/>
    <n v="354"/>
    <n v="21422765.52"/>
    <n v="4404497.75"/>
    <n v="17018267.760000002"/>
    <n v="3.24"/>
    <n v="4.0199999999999996"/>
  </r>
  <r>
    <x v="1038"/>
    <x v="1"/>
    <x v="8"/>
    <x v="2"/>
    <n v="474"/>
    <n v="17164456.629999999"/>
    <n v="4394073.3"/>
    <n v="12770383.33"/>
    <n v="2.38"/>
    <n v="3.63"/>
  </r>
  <r>
    <x v="982"/>
    <x v="1"/>
    <x v="7"/>
    <x v="0"/>
    <n v="135"/>
    <n v="8892079.1999999993"/>
    <n v="2626024.9900000002"/>
    <n v="6266054.21"/>
    <n v="1.02"/>
    <n v="4.79"/>
  </r>
  <r>
    <x v="1039"/>
    <x v="1"/>
    <x v="7"/>
    <x v="0"/>
    <n v="491"/>
    <n v="31836449.420000002"/>
    <n v="7693596.4400000004"/>
    <n v="24142852.98"/>
    <n v="2.97"/>
    <n v="4.42"/>
  </r>
  <r>
    <x v="145"/>
    <x v="1"/>
    <x v="8"/>
    <x v="1"/>
    <n v="247"/>
    <n v="20150390.920000002"/>
    <n v="6332741.75"/>
    <n v="13817649.17"/>
    <n v="1.1299999999999999"/>
    <n v="4.5"/>
  </r>
  <r>
    <x v="1040"/>
    <x v="1"/>
    <x v="5"/>
    <x v="2"/>
    <n v="106"/>
    <n v="7610400.2300000004"/>
    <n v="2340509.2400000002"/>
    <n v="5269890.9800000004"/>
    <n v="2.35"/>
    <n v="4.4800000000000004"/>
  </r>
  <r>
    <x v="309"/>
    <x v="1"/>
    <x v="5"/>
    <x v="2"/>
    <n v="135"/>
    <n v="6882612.6299999999"/>
    <n v="1669762.93"/>
    <n v="5212849.7"/>
    <n v="1"/>
    <n v="4.03"/>
  </r>
  <r>
    <x v="804"/>
    <x v="1"/>
    <x v="6"/>
    <x v="2"/>
    <n v="148"/>
    <n v="5602926.54"/>
    <n v="1360078.82"/>
    <n v="4242847.72"/>
    <n v="1.41"/>
    <n v="3.89"/>
  </r>
  <r>
    <x v="915"/>
    <x v="1"/>
    <x v="9"/>
    <x v="1"/>
    <n v="69"/>
    <n v="4482697.25"/>
    <n v="1113120.95"/>
    <n v="3369576.3"/>
    <n v="3.89"/>
    <n v="3.53"/>
  </r>
  <r>
    <x v="742"/>
    <x v="1"/>
    <x v="5"/>
    <x v="2"/>
    <n v="281"/>
    <n v="23401863.859999999"/>
    <n v="5243974.58"/>
    <n v="18157889.280000001"/>
    <n v="4.42"/>
    <n v="3.86"/>
  </r>
  <r>
    <x v="1041"/>
    <x v="1"/>
    <x v="6"/>
    <x v="2"/>
    <n v="217"/>
    <n v="19350851.550000001"/>
    <n v="4752520.8499999996"/>
    <n v="14598330.689999999"/>
    <n v="0.62"/>
    <n v="3.6"/>
  </r>
  <r>
    <x v="412"/>
    <x v="1"/>
    <x v="5"/>
    <x v="0"/>
    <n v="303"/>
    <n v="16332147.1"/>
    <n v="5610318.25"/>
    <n v="10721828.859999999"/>
    <n v="2.2599999999999998"/>
    <n v="4.7"/>
  </r>
  <r>
    <x v="1042"/>
    <x v="1"/>
    <x v="6"/>
    <x v="2"/>
    <n v="216"/>
    <n v="15362547.640000001"/>
    <n v="3619099.26"/>
    <n v="11743448.380000001"/>
    <n v="2.21"/>
    <n v="4.66"/>
  </r>
  <r>
    <x v="1043"/>
    <x v="1"/>
    <x v="6"/>
    <x v="2"/>
    <n v="356"/>
    <n v="16290029.57"/>
    <n v="5907666.2199999997"/>
    <n v="10382363.34"/>
    <n v="0.92"/>
    <n v="4.04"/>
  </r>
  <r>
    <x v="1044"/>
    <x v="1"/>
    <x v="5"/>
    <x v="2"/>
    <n v="346"/>
    <n v="23101601.75"/>
    <n v="6308666.6399999997"/>
    <n v="16792935.109999999"/>
    <n v="4.09"/>
    <n v="4.09"/>
  </r>
  <r>
    <x v="1045"/>
    <x v="1"/>
    <x v="6"/>
    <x v="0"/>
    <n v="481"/>
    <n v="40564022.049999997"/>
    <n v="12005404.85"/>
    <n v="28558617.199999999"/>
    <n v="2.5099999999999998"/>
    <n v="4.34"/>
  </r>
  <r>
    <x v="1046"/>
    <x v="1"/>
    <x v="8"/>
    <x v="1"/>
    <n v="435"/>
    <n v="22803523.120000001"/>
    <n v="5212067.8499999996"/>
    <n v="17591455.280000001"/>
    <n v="4.58"/>
    <n v="3.92"/>
  </r>
  <r>
    <x v="98"/>
    <x v="1"/>
    <x v="5"/>
    <x v="1"/>
    <n v="89"/>
    <n v="5597015.1500000004"/>
    <n v="1569276.97"/>
    <n v="4027738.18"/>
    <n v="0.65"/>
    <n v="4.05"/>
  </r>
  <r>
    <x v="245"/>
    <x v="1"/>
    <x v="8"/>
    <x v="1"/>
    <n v="465"/>
    <n v="33008532.030000001"/>
    <n v="12199264.99"/>
    <n v="20809267.039999999"/>
    <n v="2.48"/>
    <n v="4.42"/>
  </r>
  <r>
    <x v="1047"/>
    <x v="1"/>
    <x v="5"/>
    <x v="1"/>
    <n v="295"/>
    <n v="24227779.609999999"/>
    <n v="9121061.3200000003"/>
    <n v="15106718.289999999"/>
    <n v="3.83"/>
    <n v="3.98"/>
  </r>
  <r>
    <x v="166"/>
    <x v="1"/>
    <x v="8"/>
    <x v="0"/>
    <n v="178"/>
    <n v="10319879.99"/>
    <n v="2096771.92"/>
    <n v="8223108.0700000003"/>
    <n v="3.51"/>
    <n v="4.45"/>
  </r>
  <r>
    <x v="1031"/>
    <x v="1"/>
    <x v="7"/>
    <x v="0"/>
    <n v="309"/>
    <n v="27760343.280000001"/>
    <n v="5664317.8399999999"/>
    <n v="22096025.440000001"/>
    <n v="3.45"/>
    <n v="3.69"/>
  </r>
  <r>
    <x v="295"/>
    <x v="1"/>
    <x v="8"/>
    <x v="2"/>
    <n v="374"/>
    <n v="24604174.41"/>
    <n v="7246423.3099999996"/>
    <n v="17357751.109999999"/>
    <n v="3.74"/>
    <n v="4.84"/>
  </r>
  <r>
    <x v="1048"/>
    <x v="1"/>
    <x v="6"/>
    <x v="0"/>
    <n v="431"/>
    <n v="24069838.030000001"/>
    <n v="4941742.87"/>
    <n v="19128095.16"/>
    <n v="2.02"/>
    <n v="3.94"/>
  </r>
  <r>
    <x v="739"/>
    <x v="1"/>
    <x v="6"/>
    <x v="1"/>
    <n v="483"/>
    <n v="19847032.449999999"/>
    <n v="4923721.63"/>
    <n v="14923310.82"/>
    <n v="4.95"/>
    <n v="4.8499999999999996"/>
  </r>
  <r>
    <x v="997"/>
    <x v="1"/>
    <x v="9"/>
    <x v="2"/>
    <n v="413"/>
    <n v="24887208.949999999"/>
    <n v="8173963.54"/>
    <n v="16713245.41"/>
    <n v="2.72"/>
    <n v="4.74"/>
  </r>
  <r>
    <x v="1049"/>
    <x v="1"/>
    <x v="5"/>
    <x v="0"/>
    <n v="335"/>
    <n v="14926557.35"/>
    <n v="3845039.32"/>
    <n v="11081518.029999999"/>
    <n v="4.22"/>
    <n v="3.65"/>
  </r>
  <r>
    <x v="1050"/>
    <x v="1"/>
    <x v="6"/>
    <x v="0"/>
    <n v="212"/>
    <n v="9075393.4000000004"/>
    <n v="2998616.32"/>
    <n v="6076777.0800000001"/>
    <n v="2.5299999999999998"/>
    <n v="4.62"/>
  </r>
  <r>
    <x v="623"/>
    <x v="1"/>
    <x v="5"/>
    <x v="2"/>
    <n v="490"/>
    <n v="28886872"/>
    <n v="8219760.9800000004"/>
    <n v="20667111.010000002"/>
    <n v="3.82"/>
    <n v="4.71"/>
  </r>
  <r>
    <x v="702"/>
    <x v="1"/>
    <x v="8"/>
    <x v="2"/>
    <n v="399"/>
    <n v="35451457.859999999"/>
    <n v="9684330.4900000002"/>
    <n v="25767127.379999999"/>
    <n v="1.07"/>
    <n v="4.51"/>
  </r>
  <r>
    <x v="54"/>
    <x v="1"/>
    <x v="9"/>
    <x v="1"/>
    <n v="115"/>
    <n v="6016866.4000000004"/>
    <n v="2402153.12"/>
    <n v="3614713.28"/>
    <n v="3.57"/>
    <n v="3.75"/>
  </r>
  <r>
    <x v="1051"/>
    <x v="1"/>
    <x v="6"/>
    <x v="2"/>
    <n v="197"/>
    <n v="9356490.5"/>
    <n v="2176242.73"/>
    <n v="7180247.7699999996"/>
    <n v="1.76"/>
    <n v="4.46"/>
  </r>
  <r>
    <x v="58"/>
    <x v="1"/>
    <x v="7"/>
    <x v="1"/>
    <n v="53"/>
    <n v="4380516.6900000004"/>
    <n v="1563380.24"/>
    <n v="2817136.45"/>
    <n v="2.12"/>
    <n v="3.6"/>
  </r>
  <r>
    <x v="1052"/>
    <x v="1"/>
    <x v="9"/>
    <x v="0"/>
    <n v="362"/>
    <n v="18721572.850000001"/>
    <n v="5042982.1900000004"/>
    <n v="13678590.66"/>
    <n v="4.72"/>
    <n v="4.8099999999999996"/>
  </r>
  <r>
    <x v="1053"/>
    <x v="1"/>
    <x v="7"/>
    <x v="1"/>
    <n v="88"/>
    <n v="6987796.79"/>
    <n v="2712531.5"/>
    <n v="4275265.29"/>
    <n v="4.54"/>
    <n v="4.4800000000000004"/>
  </r>
  <r>
    <x v="1054"/>
    <x v="1"/>
    <x v="8"/>
    <x v="2"/>
    <n v="183"/>
    <n v="13155920.720000001"/>
    <n v="3787745.79"/>
    <n v="9368174.9299999997"/>
    <n v="1"/>
    <n v="4.17"/>
  </r>
  <r>
    <x v="43"/>
    <x v="1"/>
    <x v="5"/>
    <x v="0"/>
    <n v="87"/>
    <n v="4129904.88"/>
    <n v="1336757.75"/>
    <n v="2793147.13"/>
    <n v="1.08"/>
    <n v="4.12"/>
  </r>
  <r>
    <x v="1055"/>
    <x v="1"/>
    <x v="7"/>
    <x v="0"/>
    <n v="383"/>
    <n v="23496610.879999999"/>
    <n v="9314056.1300000008"/>
    <n v="14182554.74"/>
    <n v="2.4"/>
    <n v="3.54"/>
  </r>
  <r>
    <x v="1056"/>
    <x v="1"/>
    <x v="5"/>
    <x v="1"/>
    <n v="151"/>
    <n v="7610710.0199999996"/>
    <n v="1737766.09"/>
    <n v="5872943.9299999997"/>
    <n v="1.81"/>
    <n v="4.87"/>
  </r>
  <r>
    <x v="353"/>
    <x v="1"/>
    <x v="8"/>
    <x v="1"/>
    <n v="475"/>
    <n v="34894614.18"/>
    <n v="8099312.7599999998"/>
    <n v="26795301.420000002"/>
    <n v="4.92"/>
    <n v="4.43"/>
  </r>
  <r>
    <x v="1057"/>
    <x v="1"/>
    <x v="6"/>
    <x v="1"/>
    <n v="122"/>
    <n v="6314879.8499999996"/>
    <n v="1478446.41"/>
    <n v="4836433.4400000004"/>
    <n v="1.77"/>
    <n v="4.8099999999999996"/>
  </r>
  <r>
    <x v="540"/>
    <x v="1"/>
    <x v="9"/>
    <x v="0"/>
    <n v="447"/>
    <n v="21015425.649999999"/>
    <n v="7900760.9299999997"/>
    <n v="13114664.720000001"/>
    <n v="0.81"/>
    <n v="3.89"/>
  </r>
  <r>
    <x v="182"/>
    <x v="1"/>
    <x v="5"/>
    <x v="0"/>
    <n v="314"/>
    <n v="11204217.710000001"/>
    <n v="3431251.41"/>
    <n v="7772966.29"/>
    <n v="1.86"/>
    <n v="4.4000000000000004"/>
  </r>
  <r>
    <x v="29"/>
    <x v="1"/>
    <x v="8"/>
    <x v="0"/>
    <n v="276"/>
    <n v="13096015.68"/>
    <n v="3325743.27"/>
    <n v="9770272.4100000001"/>
    <n v="3.19"/>
    <n v="3.6"/>
  </r>
  <r>
    <x v="127"/>
    <x v="1"/>
    <x v="6"/>
    <x v="0"/>
    <n v="313"/>
    <n v="26057061.25"/>
    <n v="8700932.1799999997"/>
    <n v="17356129.07"/>
    <n v="2.0299999999999998"/>
    <n v="4.9800000000000004"/>
  </r>
  <r>
    <x v="1"/>
    <x v="1"/>
    <x v="6"/>
    <x v="0"/>
    <n v="304"/>
    <n v="11960364.390000001"/>
    <n v="4211219.9800000004"/>
    <n v="7749144.4199999999"/>
    <n v="4.08"/>
    <n v="3.55"/>
  </r>
  <r>
    <x v="944"/>
    <x v="1"/>
    <x v="8"/>
    <x v="1"/>
    <n v="84"/>
    <n v="4177128.24"/>
    <n v="1011566.08"/>
    <n v="3165562.16"/>
    <n v="3.08"/>
    <n v="4.49"/>
  </r>
  <r>
    <x v="310"/>
    <x v="1"/>
    <x v="8"/>
    <x v="2"/>
    <n v="353"/>
    <n v="28496116.780000001"/>
    <n v="7984734.4100000001"/>
    <n v="20511382.370000001"/>
    <n v="1.02"/>
    <n v="3.64"/>
  </r>
  <r>
    <x v="247"/>
    <x v="1"/>
    <x v="7"/>
    <x v="2"/>
    <n v="494"/>
    <n v="18176983.059999999"/>
    <n v="4113264.02"/>
    <n v="14063719.039999999"/>
    <n v="0.79"/>
    <n v="4.93"/>
  </r>
  <r>
    <x v="175"/>
    <x v="1"/>
    <x v="6"/>
    <x v="2"/>
    <n v="57"/>
    <n v="3617194.31"/>
    <n v="1135489.81"/>
    <n v="2481704.5"/>
    <n v="1.93"/>
    <n v="4.1500000000000004"/>
  </r>
  <r>
    <x v="236"/>
    <x v="1"/>
    <x v="7"/>
    <x v="1"/>
    <n v="96"/>
    <n v="4086125.53"/>
    <n v="1355927.07"/>
    <n v="2730198.47"/>
    <n v="1.24"/>
    <n v="3.76"/>
  </r>
  <r>
    <x v="1058"/>
    <x v="1"/>
    <x v="7"/>
    <x v="2"/>
    <n v="70"/>
    <n v="4880534.08"/>
    <n v="1374654"/>
    <n v="3505880.08"/>
    <n v="3.66"/>
    <n v="3.86"/>
  </r>
  <r>
    <x v="48"/>
    <x v="1"/>
    <x v="7"/>
    <x v="1"/>
    <n v="397"/>
    <n v="16170748.57"/>
    <n v="5224732.2300000004"/>
    <n v="10946016.34"/>
    <n v="2.69"/>
    <n v="4.4800000000000004"/>
  </r>
  <r>
    <x v="567"/>
    <x v="1"/>
    <x v="8"/>
    <x v="0"/>
    <n v="243"/>
    <n v="12134516.539999999"/>
    <n v="3706131"/>
    <n v="8428385.5399999991"/>
    <n v="4.93"/>
    <n v="3.9"/>
  </r>
  <r>
    <x v="1059"/>
    <x v="1"/>
    <x v="8"/>
    <x v="1"/>
    <n v="471"/>
    <n v="18322499.059999999"/>
    <n v="6396781.7199999997"/>
    <n v="11925717.34"/>
    <n v="2.13"/>
    <n v="4.21"/>
  </r>
  <r>
    <x v="670"/>
    <x v="1"/>
    <x v="6"/>
    <x v="0"/>
    <n v="267"/>
    <n v="22669877.719999999"/>
    <n v="7984980.8300000001"/>
    <n v="14684896.890000001"/>
    <n v="2.61"/>
    <n v="4.18"/>
  </r>
  <r>
    <x v="441"/>
    <x v="1"/>
    <x v="5"/>
    <x v="0"/>
    <n v="158"/>
    <n v="9718936.7899999991"/>
    <n v="3506402.46"/>
    <n v="6212534.3300000001"/>
    <n v="3.25"/>
    <n v="3.92"/>
  </r>
  <r>
    <x v="383"/>
    <x v="1"/>
    <x v="7"/>
    <x v="0"/>
    <n v="361"/>
    <n v="24366673.050000001"/>
    <n v="7129652.04"/>
    <n v="17237021.010000002"/>
    <n v="4.34"/>
    <n v="3.57"/>
  </r>
  <r>
    <x v="925"/>
    <x v="1"/>
    <x v="5"/>
    <x v="2"/>
    <n v="185"/>
    <n v="6848639.8600000003"/>
    <n v="2591490.0499999998"/>
    <n v="4257149.82"/>
    <n v="2.02"/>
    <n v="4.7"/>
  </r>
  <r>
    <x v="154"/>
    <x v="1"/>
    <x v="5"/>
    <x v="0"/>
    <n v="482"/>
    <n v="22662695.710000001"/>
    <n v="7266581.04"/>
    <n v="15396114.67"/>
    <n v="0.7"/>
    <n v="3.92"/>
  </r>
  <r>
    <x v="123"/>
    <x v="1"/>
    <x v="5"/>
    <x v="1"/>
    <n v="393"/>
    <n v="15637510.15"/>
    <n v="4325127.28"/>
    <n v="11312382.869999999"/>
    <n v="1.01"/>
    <n v="4.0199999999999996"/>
  </r>
  <r>
    <x v="1060"/>
    <x v="1"/>
    <x v="9"/>
    <x v="2"/>
    <n v="472"/>
    <n v="31441277.23"/>
    <n v="12389949.529999999"/>
    <n v="19051327.699999999"/>
    <n v="3.54"/>
    <n v="3.57"/>
  </r>
  <r>
    <x v="1061"/>
    <x v="1"/>
    <x v="5"/>
    <x v="0"/>
    <n v="444"/>
    <n v="18750964.309999999"/>
    <n v="6470089.5199999996"/>
    <n v="12280874.789999999"/>
    <n v="2.2799999999999998"/>
    <n v="4.13"/>
  </r>
  <r>
    <x v="585"/>
    <x v="1"/>
    <x v="6"/>
    <x v="2"/>
    <n v="381"/>
    <n v="31822728.039999999"/>
    <n v="8458843.8599999994"/>
    <n v="23363884.18"/>
    <n v="1.66"/>
    <n v="4.51"/>
  </r>
  <r>
    <x v="1062"/>
    <x v="1"/>
    <x v="8"/>
    <x v="1"/>
    <n v="466"/>
    <n v="37423747.549999997"/>
    <n v="7821110.3200000003"/>
    <n v="29602637.219999999"/>
    <n v="4.2"/>
    <n v="3.5"/>
  </r>
  <r>
    <x v="845"/>
    <x v="1"/>
    <x v="9"/>
    <x v="1"/>
    <n v="396"/>
    <n v="13905821.699999999"/>
    <n v="3566642.68"/>
    <n v="10339179.029999999"/>
    <n v="4.2300000000000004"/>
    <n v="3.56"/>
  </r>
  <r>
    <x v="1063"/>
    <x v="1"/>
    <x v="8"/>
    <x v="2"/>
    <n v="389"/>
    <n v="28304591.199999999"/>
    <n v="10673731.32"/>
    <n v="17630859.879999999"/>
    <n v="2.23"/>
    <n v="4.18"/>
  </r>
  <r>
    <x v="132"/>
    <x v="1"/>
    <x v="5"/>
    <x v="1"/>
    <n v="131"/>
    <n v="5249911.93"/>
    <n v="1473837.68"/>
    <n v="3776074.25"/>
    <n v="2.97"/>
    <n v="4.8499999999999996"/>
  </r>
  <r>
    <x v="1064"/>
    <x v="1"/>
    <x v="5"/>
    <x v="1"/>
    <n v="381"/>
    <n v="15015172.199999999"/>
    <n v="4940678.47"/>
    <n v="10074493.720000001"/>
    <n v="4.74"/>
    <n v="4.5"/>
  </r>
  <r>
    <x v="275"/>
    <x v="1"/>
    <x v="6"/>
    <x v="2"/>
    <n v="154"/>
    <n v="10865432.26"/>
    <n v="2416387.25"/>
    <n v="8449045.0199999996"/>
    <n v="3.19"/>
    <n v="4.25"/>
  </r>
  <r>
    <x v="1065"/>
    <x v="1"/>
    <x v="5"/>
    <x v="1"/>
    <n v="100"/>
    <n v="8523078.2100000009"/>
    <n v="2365028.9700000002"/>
    <n v="6158049.2400000002"/>
    <n v="4.43"/>
    <n v="4.59"/>
  </r>
  <r>
    <x v="289"/>
    <x v="1"/>
    <x v="5"/>
    <x v="0"/>
    <n v="204"/>
    <n v="15453809.630000001"/>
    <n v="4543446.2300000004"/>
    <n v="10910363.4"/>
    <n v="4.2300000000000004"/>
    <n v="4.99"/>
  </r>
  <r>
    <x v="1066"/>
    <x v="1"/>
    <x v="6"/>
    <x v="0"/>
    <n v="307"/>
    <n v="10942666.119999999"/>
    <n v="3453430.45"/>
    <n v="7489235.6699999999"/>
    <n v="1.83"/>
    <n v="4.2300000000000004"/>
  </r>
  <r>
    <x v="349"/>
    <x v="1"/>
    <x v="6"/>
    <x v="0"/>
    <n v="350"/>
    <n v="19937848.41"/>
    <n v="4345914.08"/>
    <n v="15591934.33"/>
    <n v="4.1399999999999997"/>
    <n v="3.82"/>
  </r>
  <r>
    <x v="333"/>
    <x v="1"/>
    <x v="6"/>
    <x v="2"/>
    <n v="458"/>
    <n v="34397880.149999999"/>
    <n v="9271662.0700000003"/>
    <n v="25126218.079999998"/>
    <n v="4.3099999999999996"/>
    <n v="4.54"/>
  </r>
  <r>
    <x v="378"/>
    <x v="1"/>
    <x v="8"/>
    <x v="0"/>
    <n v="195"/>
    <n v="11156804.59"/>
    <n v="4289535.55"/>
    <n v="6867269.04"/>
    <n v="2.94"/>
    <n v="4.79"/>
  </r>
  <r>
    <x v="840"/>
    <x v="1"/>
    <x v="6"/>
    <x v="1"/>
    <n v="79"/>
    <n v="4704692.8"/>
    <n v="1130650.27"/>
    <n v="3574042.53"/>
    <n v="4.2"/>
    <n v="4.79"/>
  </r>
  <r>
    <x v="872"/>
    <x v="1"/>
    <x v="6"/>
    <x v="0"/>
    <n v="384"/>
    <n v="29477493.66"/>
    <n v="11208088.18"/>
    <n v="18269405.489999998"/>
    <n v="4.5"/>
    <n v="3.52"/>
  </r>
  <r>
    <x v="1067"/>
    <x v="1"/>
    <x v="7"/>
    <x v="1"/>
    <n v="362"/>
    <n v="13215938.369999999"/>
    <n v="4247670.72"/>
    <n v="8968267.6500000004"/>
    <n v="2.87"/>
    <n v="4.2699999999999996"/>
  </r>
  <r>
    <x v="425"/>
    <x v="1"/>
    <x v="9"/>
    <x v="2"/>
    <n v="205"/>
    <n v="12029218.289999999"/>
    <n v="4468628.0999999996"/>
    <n v="7560590.1900000004"/>
    <n v="4.51"/>
    <n v="4.0199999999999996"/>
  </r>
  <r>
    <x v="1068"/>
    <x v="1"/>
    <x v="7"/>
    <x v="1"/>
    <n v="197"/>
    <n v="10576395.24"/>
    <n v="3136452.47"/>
    <n v="7439942.7699999996"/>
    <n v="2.21"/>
    <n v="3.51"/>
  </r>
  <r>
    <x v="1069"/>
    <x v="1"/>
    <x v="9"/>
    <x v="1"/>
    <n v="175"/>
    <n v="11861392.609999999"/>
    <n v="4504340.32"/>
    <n v="7357052.2800000003"/>
    <n v="4.3099999999999996"/>
    <n v="4.3"/>
  </r>
  <r>
    <x v="1070"/>
    <x v="1"/>
    <x v="8"/>
    <x v="2"/>
    <n v="225"/>
    <n v="10571420.359999999"/>
    <n v="2139579.44"/>
    <n v="8431840.9199999999"/>
    <n v="2.54"/>
    <n v="4.53"/>
  </r>
  <r>
    <x v="654"/>
    <x v="1"/>
    <x v="7"/>
    <x v="1"/>
    <n v="414"/>
    <n v="36623015.090000004"/>
    <n v="12975631.32"/>
    <n v="23647383.77"/>
    <n v="4.9000000000000004"/>
    <n v="4.3"/>
  </r>
  <r>
    <x v="1071"/>
    <x v="1"/>
    <x v="5"/>
    <x v="0"/>
    <n v="94"/>
    <n v="5276348.71"/>
    <n v="2069388.17"/>
    <n v="3206960.54"/>
    <n v="0.64"/>
    <n v="4.08"/>
  </r>
  <r>
    <x v="47"/>
    <x v="1"/>
    <x v="7"/>
    <x v="2"/>
    <n v="283"/>
    <n v="16059934.380000001"/>
    <n v="5417959.3499999996"/>
    <n v="10641975.029999999"/>
    <n v="1.1599999999999999"/>
    <n v="4.2300000000000004"/>
  </r>
  <r>
    <x v="1072"/>
    <x v="1"/>
    <x v="5"/>
    <x v="2"/>
    <n v="475"/>
    <n v="40139673.159999996"/>
    <n v="15123513.279999999"/>
    <n v="25016159.870000001"/>
    <n v="4.8"/>
    <n v="3.97"/>
  </r>
  <r>
    <x v="1073"/>
    <x v="1"/>
    <x v="7"/>
    <x v="1"/>
    <n v="136"/>
    <n v="8082075.29"/>
    <n v="1624726.71"/>
    <n v="6457348.5899999999"/>
    <n v="2.95"/>
    <n v="3.63"/>
  </r>
  <r>
    <x v="597"/>
    <x v="1"/>
    <x v="7"/>
    <x v="0"/>
    <n v="108"/>
    <n v="9489144.7799999993"/>
    <n v="3056487.9"/>
    <n v="6432656.8899999997"/>
    <n v="2.23"/>
    <n v="4.01"/>
  </r>
  <r>
    <x v="1074"/>
    <x v="1"/>
    <x v="9"/>
    <x v="2"/>
    <n v="117"/>
    <n v="10402001.369999999"/>
    <n v="3166622.09"/>
    <n v="7235379.2699999996"/>
    <n v="2.9"/>
    <n v="3.75"/>
  </r>
  <r>
    <x v="704"/>
    <x v="1"/>
    <x v="6"/>
    <x v="2"/>
    <n v="358"/>
    <n v="28944567.75"/>
    <n v="9028150.1999999993"/>
    <n v="19916417.550000001"/>
    <n v="1.86"/>
    <n v="3.89"/>
  </r>
  <r>
    <x v="575"/>
    <x v="1"/>
    <x v="6"/>
    <x v="1"/>
    <n v="100"/>
    <n v="4474440.09"/>
    <n v="1335668.3600000001"/>
    <n v="3138771.73"/>
    <n v="3.55"/>
    <n v="3.85"/>
  </r>
  <r>
    <x v="464"/>
    <x v="1"/>
    <x v="5"/>
    <x v="0"/>
    <n v="188"/>
    <n v="12346709.26"/>
    <n v="4081137.98"/>
    <n v="8265571.29"/>
    <n v="3.11"/>
    <n v="3.71"/>
  </r>
  <r>
    <x v="552"/>
    <x v="1"/>
    <x v="7"/>
    <x v="0"/>
    <n v="446"/>
    <n v="30971527.899999999"/>
    <n v="9360228.5899999999"/>
    <n v="21611299.309999999"/>
    <n v="2.31"/>
    <n v="4.99"/>
  </r>
  <r>
    <x v="992"/>
    <x v="1"/>
    <x v="5"/>
    <x v="2"/>
    <n v="301"/>
    <n v="15509601.779999999"/>
    <n v="5193163.3499999996"/>
    <n v="10316438.43"/>
    <n v="4.07"/>
    <n v="4.1900000000000004"/>
  </r>
  <r>
    <x v="401"/>
    <x v="1"/>
    <x v="7"/>
    <x v="2"/>
    <n v="390"/>
    <n v="16824259.960000001"/>
    <n v="3860973.23"/>
    <n v="12963286.73"/>
    <n v="3.7"/>
    <n v="4.8600000000000003"/>
  </r>
  <r>
    <x v="471"/>
    <x v="1"/>
    <x v="5"/>
    <x v="0"/>
    <n v="113"/>
    <n v="7640585.1200000001"/>
    <n v="2140707.6800000002"/>
    <n v="5499877.4400000004"/>
    <n v="2.09"/>
    <n v="4.1900000000000004"/>
  </r>
  <r>
    <x v="1075"/>
    <x v="1"/>
    <x v="7"/>
    <x v="1"/>
    <n v="295"/>
    <n v="12444834.279999999"/>
    <n v="3010381.03"/>
    <n v="9434453.2400000002"/>
    <n v="1.06"/>
    <n v="4.6900000000000004"/>
  </r>
  <r>
    <x v="1076"/>
    <x v="1"/>
    <x v="6"/>
    <x v="0"/>
    <n v="69"/>
    <n v="4186437.98"/>
    <n v="1645721.21"/>
    <n v="2540716.77"/>
    <n v="4.8600000000000003"/>
    <n v="4.92"/>
  </r>
  <r>
    <x v="1077"/>
    <x v="1"/>
    <x v="8"/>
    <x v="0"/>
    <n v="203"/>
    <n v="18057724.079999998"/>
    <n v="5477242.0099999998"/>
    <n v="12580482.07"/>
    <n v="4.3899999999999997"/>
    <n v="4.38"/>
  </r>
  <r>
    <x v="286"/>
    <x v="1"/>
    <x v="7"/>
    <x v="1"/>
    <n v="299"/>
    <n v="18546371.93"/>
    <n v="5480660.0899999999"/>
    <n v="13065711.84"/>
    <n v="3.03"/>
    <n v="4.16"/>
  </r>
  <r>
    <x v="1078"/>
    <x v="1"/>
    <x v="5"/>
    <x v="1"/>
    <n v="460"/>
    <n v="29035269.190000001"/>
    <n v="8755147.1099999994"/>
    <n v="20280122.079999998"/>
    <n v="3.1"/>
    <n v="4.8"/>
  </r>
  <r>
    <x v="928"/>
    <x v="1"/>
    <x v="7"/>
    <x v="0"/>
    <n v="268"/>
    <n v="15387791.23"/>
    <n v="3608378.81"/>
    <n v="11779412.42"/>
    <n v="3.94"/>
    <n v="4.3600000000000003"/>
  </r>
  <r>
    <x v="1079"/>
    <x v="1"/>
    <x v="7"/>
    <x v="0"/>
    <n v="414"/>
    <n v="25339526.649999999"/>
    <n v="5087553.8499999996"/>
    <n v="20251972.789999999"/>
    <n v="0.77"/>
    <n v="3.5"/>
  </r>
  <r>
    <x v="199"/>
    <x v="1"/>
    <x v="7"/>
    <x v="2"/>
    <n v="386"/>
    <n v="31491148.77"/>
    <n v="6971572.21"/>
    <n v="24519576.57"/>
    <n v="0.78"/>
    <n v="4.83"/>
  </r>
  <r>
    <x v="916"/>
    <x v="1"/>
    <x v="8"/>
    <x v="2"/>
    <n v="492"/>
    <n v="18053178.739999998"/>
    <n v="3713419.56"/>
    <n v="14339759.18"/>
    <n v="1.49"/>
    <n v="4.5999999999999996"/>
  </r>
  <r>
    <x v="1080"/>
    <x v="1"/>
    <x v="8"/>
    <x v="1"/>
    <n v="163"/>
    <n v="9979901.6899999995"/>
    <n v="2619281"/>
    <n v="7360620.6900000004"/>
    <n v="3.75"/>
    <n v="4.54"/>
  </r>
  <r>
    <x v="1081"/>
    <x v="1"/>
    <x v="5"/>
    <x v="0"/>
    <n v="347"/>
    <n v="24217104.34"/>
    <n v="6565400.9500000002"/>
    <n v="17651703.390000001"/>
    <n v="4.1900000000000004"/>
    <n v="4"/>
  </r>
  <r>
    <x v="334"/>
    <x v="1"/>
    <x v="5"/>
    <x v="1"/>
    <n v="84"/>
    <n v="3913456.93"/>
    <n v="815996.46"/>
    <n v="3097460.48"/>
    <n v="0.54"/>
    <n v="5"/>
  </r>
  <r>
    <x v="1082"/>
    <x v="1"/>
    <x v="9"/>
    <x v="0"/>
    <n v="313"/>
    <n v="28077876.359999999"/>
    <n v="10726803.630000001"/>
    <n v="17351072.73"/>
    <n v="0.51"/>
    <n v="3.57"/>
  </r>
  <r>
    <x v="54"/>
    <x v="1"/>
    <x v="8"/>
    <x v="1"/>
    <n v="341"/>
    <n v="27579381.920000002"/>
    <n v="6947377.96"/>
    <n v="20632003.960000001"/>
    <n v="1.1399999999999999"/>
    <n v="4.63"/>
  </r>
  <r>
    <x v="1062"/>
    <x v="1"/>
    <x v="8"/>
    <x v="1"/>
    <n v="438"/>
    <n v="35130212.659999996"/>
    <n v="8366729.6900000004"/>
    <n v="26763482.969999999"/>
    <n v="4.4800000000000004"/>
    <n v="4.55"/>
  </r>
  <r>
    <x v="1083"/>
    <x v="1"/>
    <x v="5"/>
    <x v="0"/>
    <n v="240"/>
    <n v="9569582.2200000007"/>
    <n v="2894554.01"/>
    <n v="6675028.2199999997"/>
    <n v="0.85"/>
    <n v="4.1100000000000003"/>
  </r>
  <r>
    <x v="1084"/>
    <x v="1"/>
    <x v="7"/>
    <x v="0"/>
    <n v="463"/>
    <n v="16828852.989999998"/>
    <n v="5701153.1299999999"/>
    <n v="11127699.85"/>
    <n v="2.97"/>
    <n v="4.45"/>
  </r>
  <r>
    <x v="1085"/>
    <x v="1"/>
    <x v="8"/>
    <x v="1"/>
    <n v="222"/>
    <n v="16289604.130000001"/>
    <n v="6496004.9900000002"/>
    <n v="9793599.1400000006"/>
    <n v="0.95"/>
    <n v="4.8"/>
  </r>
  <r>
    <x v="670"/>
    <x v="1"/>
    <x v="5"/>
    <x v="2"/>
    <n v="115"/>
    <n v="4511152.63"/>
    <n v="1352782.55"/>
    <n v="3158370.07"/>
    <n v="4.08"/>
    <n v="4.5599999999999996"/>
  </r>
  <r>
    <x v="1086"/>
    <x v="1"/>
    <x v="7"/>
    <x v="2"/>
    <n v="237"/>
    <n v="10187636.550000001"/>
    <n v="2628185.9900000002"/>
    <n v="7559450.5599999996"/>
    <n v="3.5"/>
    <n v="3.82"/>
  </r>
  <r>
    <x v="627"/>
    <x v="1"/>
    <x v="6"/>
    <x v="1"/>
    <n v="339"/>
    <n v="17104328.879999999"/>
    <n v="4093124.93"/>
    <n v="13011203.949999999"/>
    <n v="4.68"/>
    <n v="4.1100000000000003"/>
  </r>
  <r>
    <x v="1087"/>
    <x v="1"/>
    <x v="6"/>
    <x v="0"/>
    <n v="76"/>
    <n v="2752072.53"/>
    <n v="779795.63"/>
    <n v="1972276.9"/>
    <n v="4.29"/>
    <n v="4.32"/>
  </r>
  <r>
    <x v="1088"/>
    <x v="1"/>
    <x v="8"/>
    <x v="2"/>
    <n v="207"/>
    <n v="18390700"/>
    <n v="5136547.9000000004"/>
    <n v="13254152.09"/>
    <n v="2.11"/>
    <n v="4.47"/>
  </r>
  <r>
    <x v="1089"/>
    <x v="1"/>
    <x v="9"/>
    <x v="1"/>
    <n v="263"/>
    <n v="11922146.859999999"/>
    <n v="3052566.86"/>
    <n v="8869580"/>
    <n v="4.4000000000000004"/>
    <n v="4.18"/>
  </r>
  <r>
    <x v="1090"/>
    <x v="1"/>
    <x v="5"/>
    <x v="0"/>
    <n v="103"/>
    <n v="4011609.94"/>
    <n v="1056965.17"/>
    <n v="2954644.77"/>
    <n v="1.59"/>
    <n v="4.57"/>
  </r>
  <r>
    <x v="515"/>
    <x v="1"/>
    <x v="5"/>
    <x v="2"/>
    <n v="102"/>
    <n v="8080207.2300000004"/>
    <n v="2339218.4300000002"/>
    <n v="5740988.7999999998"/>
    <n v="2.84"/>
    <n v="3.71"/>
  </r>
  <r>
    <x v="1091"/>
    <x v="1"/>
    <x v="5"/>
    <x v="1"/>
    <n v="313"/>
    <n v="15627312.48"/>
    <n v="4698522.08"/>
    <n v="10928790.41"/>
    <n v="1.78"/>
    <n v="3.7"/>
  </r>
  <r>
    <x v="1092"/>
    <x v="1"/>
    <x v="6"/>
    <x v="2"/>
    <n v="403"/>
    <n v="30101958.219999999"/>
    <n v="10405963.710000001"/>
    <n v="19695994.5"/>
    <n v="2.31"/>
    <n v="3.65"/>
  </r>
  <r>
    <x v="1093"/>
    <x v="1"/>
    <x v="7"/>
    <x v="1"/>
    <n v="290"/>
    <n v="18302509.77"/>
    <n v="7149502.4100000001"/>
    <n v="11153007.369999999"/>
    <n v="1.74"/>
    <n v="4.5599999999999996"/>
  </r>
  <r>
    <x v="506"/>
    <x v="1"/>
    <x v="8"/>
    <x v="0"/>
    <n v="392"/>
    <n v="26295226.120000001"/>
    <n v="8062284.6200000001"/>
    <n v="18232941.5"/>
    <n v="2.0299999999999998"/>
    <n v="4.91"/>
  </r>
  <r>
    <x v="1094"/>
    <x v="1"/>
    <x v="5"/>
    <x v="2"/>
    <n v="369"/>
    <n v="19333702.690000001"/>
    <n v="7339489.6500000004"/>
    <n v="11994213.039999999"/>
    <n v="2.12"/>
    <n v="3.91"/>
  </r>
  <r>
    <x v="299"/>
    <x v="1"/>
    <x v="6"/>
    <x v="2"/>
    <n v="460"/>
    <n v="38023663.939999998"/>
    <n v="10861009.68"/>
    <n v="27162654.260000002"/>
    <n v="4.58"/>
    <n v="4.91"/>
  </r>
  <r>
    <x v="839"/>
    <x v="1"/>
    <x v="5"/>
    <x v="2"/>
    <n v="132"/>
    <n v="11226187.220000001"/>
    <n v="3643306.27"/>
    <n v="7582880.96"/>
    <n v="4.84"/>
    <n v="3.63"/>
  </r>
  <r>
    <x v="438"/>
    <x v="1"/>
    <x v="5"/>
    <x v="1"/>
    <n v="235"/>
    <n v="8771620.8599999994"/>
    <n v="2518105.9500000002"/>
    <n v="6253514.9100000001"/>
    <n v="4.6900000000000004"/>
    <n v="4.7699999999999996"/>
  </r>
  <r>
    <x v="1095"/>
    <x v="1"/>
    <x v="8"/>
    <x v="2"/>
    <n v="488"/>
    <n v="17197110.16"/>
    <n v="6304621.9299999997"/>
    <n v="10892488.23"/>
    <n v="3.71"/>
    <n v="4.5"/>
  </r>
  <r>
    <x v="1096"/>
    <x v="1"/>
    <x v="8"/>
    <x v="1"/>
    <n v="466"/>
    <n v="23446402.030000001"/>
    <n v="8770827.0199999996"/>
    <n v="14675575.01"/>
    <n v="3.54"/>
    <n v="4.92"/>
  </r>
  <r>
    <x v="257"/>
    <x v="1"/>
    <x v="6"/>
    <x v="2"/>
    <n v="250"/>
    <n v="10198767.68"/>
    <n v="2484779.08"/>
    <n v="7713988.5999999996"/>
    <n v="3.4"/>
    <n v="3.57"/>
  </r>
  <r>
    <x v="1097"/>
    <x v="1"/>
    <x v="9"/>
    <x v="1"/>
    <n v="150"/>
    <n v="9363209.0999999996"/>
    <n v="3024091.6"/>
    <n v="6339117.5"/>
    <n v="4.4000000000000004"/>
    <n v="4.21"/>
  </r>
  <r>
    <x v="1098"/>
    <x v="1"/>
    <x v="6"/>
    <x v="1"/>
    <n v="195"/>
    <n v="13629198.960000001"/>
    <n v="3350655.1"/>
    <n v="10278543.85"/>
    <n v="0.51"/>
    <n v="4.79"/>
  </r>
  <r>
    <x v="1099"/>
    <x v="1"/>
    <x v="9"/>
    <x v="1"/>
    <n v="62"/>
    <n v="3590280.11"/>
    <n v="845740.83"/>
    <n v="2744539.29"/>
    <n v="4.33"/>
    <n v="3.82"/>
  </r>
  <r>
    <x v="499"/>
    <x v="1"/>
    <x v="7"/>
    <x v="1"/>
    <n v="378"/>
    <n v="31312376.440000001"/>
    <n v="7950235.1699999999"/>
    <n v="23362141.27"/>
    <n v="3.41"/>
    <n v="4.6900000000000004"/>
  </r>
  <r>
    <x v="475"/>
    <x v="1"/>
    <x v="8"/>
    <x v="2"/>
    <n v="392"/>
    <n v="26823135.760000002"/>
    <n v="9145071.9800000004"/>
    <n v="17678063.780000001"/>
    <n v="1.1100000000000001"/>
    <n v="4.4800000000000004"/>
  </r>
  <r>
    <x v="1100"/>
    <x v="1"/>
    <x v="8"/>
    <x v="0"/>
    <n v="323"/>
    <n v="24399520.219999999"/>
    <n v="5003893.57"/>
    <n v="19395626.649999999"/>
    <n v="0.73"/>
    <n v="4.5199999999999996"/>
  </r>
  <r>
    <x v="361"/>
    <x v="1"/>
    <x v="5"/>
    <x v="1"/>
    <n v="359"/>
    <n v="16498505.6"/>
    <n v="3661958.8"/>
    <n v="12836546.800000001"/>
    <n v="1.79"/>
    <n v="4.05"/>
  </r>
  <r>
    <x v="1101"/>
    <x v="1"/>
    <x v="7"/>
    <x v="0"/>
    <n v="362"/>
    <n v="29062090.75"/>
    <n v="7079436.1699999999"/>
    <n v="21982654.57"/>
    <n v="2.95"/>
    <n v="3.65"/>
  </r>
  <r>
    <x v="1008"/>
    <x v="1"/>
    <x v="8"/>
    <x v="1"/>
    <n v="123"/>
    <n v="4404400.7699999996"/>
    <n v="1427823.89"/>
    <n v="2976576.89"/>
    <n v="2.02"/>
    <n v="3.53"/>
  </r>
  <r>
    <x v="869"/>
    <x v="1"/>
    <x v="5"/>
    <x v="0"/>
    <n v="405"/>
    <n v="35310543.670000002"/>
    <n v="13902313.15"/>
    <n v="21408230.52"/>
    <n v="3.81"/>
    <n v="4"/>
  </r>
  <r>
    <x v="771"/>
    <x v="1"/>
    <x v="8"/>
    <x v="0"/>
    <n v="317"/>
    <n v="21471120.75"/>
    <n v="8545833.1899999995"/>
    <n v="12925287.560000001"/>
    <n v="2.59"/>
    <n v="4.95"/>
  </r>
  <r>
    <x v="1102"/>
    <x v="1"/>
    <x v="8"/>
    <x v="2"/>
    <n v="237"/>
    <n v="13478336.199999999"/>
    <n v="3336403"/>
    <n v="10141933.199999999"/>
    <n v="2.5499999999999998"/>
    <n v="3.9"/>
  </r>
  <r>
    <x v="219"/>
    <x v="1"/>
    <x v="8"/>
    <x v="0"/>
    <n v="153"/>
    <n v="6461726.2199999997"/>
    <n v="1476983.18"/>
    <n v="4984743.04"/>
    <n v="3.09"/>
    <n v="3.61"/>
  </r>
  <r>
    <x v="103"/>
    <x v="1"/>
    <x v="6"/>
    <x v="0"/>
    <n v="224"/>
    <n v="17784156.219999999"/>
    <n v="6686105.6600000001"/>
    <n v="11098050.560000001"/>
    <n v="1.7"/>
    <n v="3.53"/>
  </r>
  <r>
    <x v="1103"/>
    <x v="1"/>
    <x v="9"/>
    <x v="0"/>
    <n v="202"/>
    <n v="15659606.220000001"/>
    <n v="4641630.91"/>
    <n v="11017975.310000001"/>
    <n v="2.0699999999999998"/>
    <n v="4.0599999999999996"/>
  </r>
  <r>
    <x v="1104"/>
    <x v="1"/>
    <x v="8"/>
    <x v="2"/>
    <n v="65"/>
    <n v="4305930.7300000004"/>
    <n v="1151399.55"/>
    <n v="3154531.18"/>
    <n v="2.97"/>
    <n v="4.82"/>
  </r>
  <r>
    <x v="494"/>
    <x v="1"/>
    <x v="9"/>
    <x v="1"/>
    <n v="356"/>
    <n v="12921989.41"/>
    <n v="2846557.64"/>
    <n v="10075431.77"/>
    <n v="4.0199999999999996"/>
    <n v="4.67"/>
  </r>
  <r>
    <x v="554"/>
    <x v="1"/>
    <x v="7"/>
    <x v="0"/>
    <n v="94"/>
    <n v="5347687.3600000003"/>
    <n v="1815095.22"/>
    <n v="3532592.14"/>
    <n v="0.8"/>
    <n v="3.84"/>
  </r>
  <r>
    <x v="1105"/>
    <x v="1"/>
    <x v="7"/>
    <x v="2"/>
    <n v="147"/>
    <n v="10022614.25"/>
    <n v="3060102.82"/>
    <n v="6962511.4299999997"/>
    <n v="0.77"/>
    <n v="4.51"/>
  </r>
  <r>
    <x v="1106"/>
    <x v="1"/>
    <x v="9"/>
    <x v="1"/>
    <n v="53"/>
    <n v="4646957.2699999996"/>
    <n v="982622.98"/>
    <n v="3664334.29"/>
    <n v="4.03"/>
    <n v="4.99"/>
  </r>
  <r>
    <x v="886"/>
    <x v="1"/>
    <x v="6"/>
    <x v="0"/>
    <n v="483"/>
    <n v="34028564.560000002"/>
    <n v="9791423.1099999994"/>
    <n v="24237141.449999999"/>
    <n v="4"/>
    <n v="3.81"/>
  </r>
  <r>
    <x v="1107"/>
    <x v="1"/>
    <x v="5"/>
    <x v="2"/>
    <n v="139"/>
    <n v="6362143.9299999997"/>
    <n v="2365695.85"/>
    <n v="3996448.08"/>
    <n v="3.3"/>
    <n v="4.67"/>
  </r>
  <r>
    <x v="1108"/>
    <x v="1"/>
    <x v="6"/>
    <x v="2"/>
    <n v="350"/>
    <n v="17567568.510000002"/>
    <n v="3577975"/>
    <n v="13989593.51"/>
    <n v="2.87"/>
    <n v="4.8600000000000003"/>
  </r>
  <r>
    <x v="143"/>
    <x v="1"/>
    <x v="9"/>
    <x v="0"/>
    <n v="400"/>
    <n v="28830866.5"/>
    <n v="10033689.449999999"/>
    <n v="18797177.050000001"/>
    <n v="2.0499999999999998"/>
    <n v="4.88"/>
  </r>
  <r>
    <x v="1109"/>
    <x v="1"/>
    <x v="8"/>
    <x v="2"/>
    <n v="265"/>
    <n v="19841600.550000001"/>
    <n v="5798457.7199999997"/>
    <n v="14043142.83"/>
    <n v="0.77"/>
    <n v="4.53"/>
  </r>
  <r>
    <x v="355"/>
    <x v="1"/>
    <x v="6"/>
    <x v="0"/>
    <n v="331"/>
    <n v="14266651.92"/>
    <n v="5684286.1200000001"/>
    <n v="8582365.8000000007"/>
    <n v="3.34"/>
    <n v="4.17"/>
  </r>
  <r>
    <x v="1110"/>
    <x v="1"/>
    <x v="6"/>
    <x v="0"/>
    <n v="103"/>
    <n v="5959612.9900000002"/>
    <n v="2023983.86"/>
    <n v="3935629.13"/>
    <n v="3.92"/>
    <n v="4.03"/>
  </r>
  <r>
    <x v="808"/>
    <x v="1"/>
    <x v="6"/>
    <x v="1"/>
    <n v="171"/>
    <n v="12376829.23"/>
    <n v="4762011.74"/>
    <n v="7614817.4900000002"/>
    <n v="1.74"/>
    <n v="4.71"/>
  </r>
  <r>
    <x v="1111"/>
    <x v="1"/>
    <x v="8"/>
    <x v="0"/>
    <n v="259"/>
    <n v="16855015.59"/>
    <n v="6134187.6200000001"/>
    <n v="10720827.960000001"/>
    <n v="2.56"/>
    <n v="4.34"/>
  </r>
  <r>
    <x v="1111"/>
    <x v="1"/>
    <x v="6"/>
    <x v="1"/>
    <n v="55"/>
    <n v="3272763.46"/>
    <n v="1172182.47"/>
    <n v="2100580.98"/>
    <n v="0.72"/>
    <n v="4.7699999999999996"/>
  </r>
  <r>
    <x v="146"/>
    <x v="1"/>
    <x v="9"/>
    <x v="1"/>
    <n v="289"/>
    <n v="25930228.870000001"/>
    <n v="7637838.8300000001"/>
    <n v="18292390.030000001"/>
    <n v="2.2599999999999998"/>
    <n v="4.49"/>
  </r>
  <r>
    <x v="194"/>
    <x v="1"/>
    <x v="5"/>
    <x v="0"/>
    <n v="218"/>
    <n v="9991139.1999999993"/>
    <n v="2095282.14"/>
    <n v="7895857.0499999998"/>
    <n v="4.9800000000000004"/>
    <n v="4.57"/>
  </r>
  <r>
    <x v="45"/>
    <x v="1"/>
    <x v="5"/>
    <x v="2"/>
    <n v="139"/>
    <n v="8859816.1300000008"/>
    <n v="3155658.34"/>
    <n v="5704157.7999999998"/>
    <n v="2.57"/>
    <n v="4.88"/>
  </r>
  <r>
    <x v="1112"/>
    <x v="1"/>
    <x v="6"/>
    <x v="2"/>
    <n v="360"/>
    <n v="16836349.370000001"/>
    <n v="6690665.6799999997"/>
    <n v="10145683.689999999"/>
    <n v="0.56000000000000005"/>
    <n v="4.74"/>
  </r>
  <r>
    <x v="1113"/>
    <x v="1"/>
    <x v="9"/>
    <x v="2"/>
    <n v="334"/>
    <n v="28368100.84"/>
    <n v="5993035.9500000002"/>
    <n v="22375064.890000001"/>
    <n v="4.82"/>
    <n v="4.28"/>
  </r>
  <r>
    <x v="182"/>
    <x v="1"/>
    <x v="6"/>
    <x v="2"/>
    <n v="499"/>
    <n v="44005760.840000004"/>
    <n v="14145266.550000001"/>
    <n v="29860494.300000001"/>
    <n v="4.34"/>
    <n v="4.66"/>
  </r>
  <r>
    <x v="1114"/>
    <x v="1"/>
    <x v="7"/>
    <x v="0"/>
    <n v="143"/>
    <n v="10043438.42"/>
    <n v="2678383.2000000002"/>
    <n v="7365055.2199999997"/>
    <n v="1.23"/>
    <n v="4.3499999999999996"/>
  </r>
  <r>
    <x v="624"/>
    <x v="1"/>
    <x v="8"/>
    <x v="1"/>
    <n v="391"/>
    <n v="32076226.210000001"/>
    <n v="8961685.0600000005"/>
    <n v="23114541.149999999"/>
    <n v="4.26"/>
    <n v="4.68"/>
  </r>
  <r>
    <x v="1115"/>
    <x v="1"/>
    <x v="9"/>
    <x v="2"/>
    <n v="205"/>
    <n v="9753330.6899999995"/>
    <n v="2663900.5099999998"/>
    <n v="7089430.1799999997"/>
    <n v="1.5"/>
    <n v="3.98"/>
  </r>
  <r>
    <x v="519"/>
    <x v="1"/>
    <x v="6"/>
    <x v="2"/>
    <n v="371"/>
    <n v="23487119.210000001"/>
    <n v="5598035.3600000003"/>
    <n v="17889083.84"/>
    <n v="1.64"/>
    <n v="3.87"/>
  </r>
  <r>
    <x v="7"/>
    <x v="1"/>
    <x v="7"/>
    <x v="0"/>
    <n v="398"/>
    <n v="24456685.309999999"/>
    <n v="6542486.0899999999"/>
    <n v="17914199.219999999"/>
    <n v="1.03"/>
    <n v="3.93"/>
  </r>
  <r>
    <x v="1116"/>
    <x v="1"/>
    <x v="6"/>
    <x v="1"/>
    <n v="297"/>
    <n v="26568060.949999999"/>
    <n v="5553537.7599999998"/>
    <n v="21014523.190000001"/>
    <n v="2.73"/>
    <n v="4.2699999999999996"/>
  </r>
  <r>
    <x v="311"/>
    <x v="1"/>
    <x v="5"/>
    <x v="1"/>
    <n v="376"/>
    <n v="20847253.690000001"/>
    <n v="6702566.4000000004"/>
    <n v="14144687.289999999"/>
    <n v="3.89"/>
    <n v="4.88"/>
  </r>
  <r>
    <x v="1009"/>
    <x v="1"/>
    <x v="8"/>
    <x v="0"/>
    <n v="162"/>
    <n v="9629295.2599999998"/>
    <n v="3321051.61"/>
    <n v="6308243.6500000004"/>
    <n v="3.3"/>
    <n v="4.99"/>
  </r>
  <r>
    <x v="658"/>
    <x v="1"/>
    <x v="6"/>
    <x v="1"/>
    <n v="398"/>
    <n v="26277580.489999998"/>
    <n v="8626517.3200000003"/>
    <n v="17651063.170000002"/>
    <n v="3.45"/>
    <n v="3.86"/>
  </r>
  <r>
    <x v="658"/>
    <x v="1"/>
    <x v="6"/>
    <x v="0"/>
    <n v="107"/>
    <n v="8908237.7799999993"/>
    <n v="1827307.19"/>
    <n v="7080930.5800000001"/>
    <n v="0.62"/>
    <n v="4.76"/>
  </r>
  <r>
    <x v="340"/>
    <x v="1"/>
    <x v="8"/>
    <x v="1"/>
    <n v="90"/>
    <n v="3342703.32"/>
    <n v="1313001.28"/>
    <n v="2029702.04"/>
    <n v="1.29"/>
    <n v="4.8"/>
  </r>
  <r>
    <x v="154"/>
    <x v="1"/>
    <x v="8"/>
    <x v="0"/>
    <n v="286"/>
    <n v="13547523.109999999"/>
    <n v="4250181.38"/>
    <n v="9297341.7300000004"/>
    <n v="3.74"/>
    <n v="4.34"/>
  </r>
  <r>
    <x v="1117"/>
    <x v="1"/>
    <x v="9"/>
    <x v="0"/>
    <n v="198"/>
    <n v="12556845.42"/>
    <n v="3117170.94"/>
    <n v="9439674.4700000007"/>
    <n v="1.77"/>
    <n v="4.03"/>
  </r>
  <r>
    <x v="535"/>
    <x v="1"/>
    <x v="8"/>
    <x v="2"/>
    <n v="352"/>
    <n v="29816746.59"/>
    <n v="6882602.2999999998"/>
    <n v="22934144.289999999"/>
    <n v="2.2999999999999998"/>
    <n v="4.6399999999999997"/>
  </r>
  <r>
    <x v="321"/>
    <x v="1"/>
    <x v="9"/>
    <x v="2"/>
    <n v="328"/>
    <n v="20073096.629999999"/>
    <n v="6031805.5499999998"/>
    <n v="14041291.08"/>
    <n v="1.42"/>
    <n v="4.3899999999999997"/>
  </r>
  <r>
    <x v="1118"/>
    <x v="1"/>
    <x v="8"/>
    <x v="2"/>
    <n v="90"/>
    <n v="4613688.6399999997"/>
    <n v="1297551.5"/>
    <n v="3316137.13"/>
    <n v="0.65"/>
    <n v="4.45"/>
  </r>
  <r>
    <x v="481"/>
    <x v="1"/>
    <x v="9"/>
    <x v="0"/>
    <n v="373"/>
    <n v="19111885.579999998"/>
    <n v="4282986.67"/>
    <n v="14828898.91"/>
    <n v="2.57"/>
    <n v="3.64"/>
  </r>
  <r>
    <x v="737"/>
    <x v="1"/>
    <x v="6"/>
    <x v="1"/>
    <n v="332"/>
    <n v="26882181.440000001"/>
    <n v="8966868.6500000004"/>
    <n v="17915312.789999999"/>
    <n v="3.62"/>
    <n v="4.66"/>
  </r>
  <r>
    <x v="222"/>
    <x v="1"/>
    <x v="8"/>
    <x v="2"/>
    <n v="53"/>
    <n v="2296899.64"/>
    <n v="516396.75"/>
    <n v="1780502.89"/>
    <n v="2.93"/>
    <n v="3.92"/>
  </r>
  <r>
    <x v="891"/>
    <x v="1"/>
    <x v="8"/>
    <x v="1"/>
    <n v="328"/>
    <n v="28275419.870000001"/>
    <n v="9094370.5299999993"/>
    <n v="19181049.34"/>
    <n v="2.96"/>
    <n v="4.3"/>
  </r>
  <r>
    <x v="512"/>
    <x v="1"/>
    <x v="9"/>
    <x v="2"/>
    <n v="298"/>
    <n v="11435214.359999999"/>
    <n v="3745773.12"/>
    <n v="7689441.2400000002"/>
    <n v="3.75"/>
    <n v="3.8"/>
  </r>
  <r>
    <x v="676"/>
    <x v="1"/>
    <x v="5"/>
    <x v="0"/>
    <n v="152"/>
    <n v="7863101.2999999998"/>
    <n v="2667254.37"/>
    <n v="5195846.93"/>
    <n v="1.54"/>
    <n v="3.5"/>
  </r>
  <r>
    <x v="1119"/>
    <x v="1"/>
    <x v="5"/>
    <x v="2"/>
    <n v="352"/>
    <n v="16020058.220000001"/>
    <n v="5414508.8200000003"/>
    <n v="10605549.4"/>
    <n v="3.79"/>
    <n v="4.46"/>
  </r>
  <r>
    <x v="1079"/>
    <x v="1"/>
    <x v="5"/>
    <x v="0"/>
    <n v="218"/>
    <n v="17802620.300000001"/>
    <n v="5616266.6900000004"/>
    <n v="12186353.6"/>
    <n v="1.86"/>
    <n v="3.99"/>
  </r>
  <r>
    <x v="835"/>
    <x v="1"/>
    <x v="9"/>
    <x v="2"/>
    <n v="74"/>
    <n v="3618951.38"/>
    <n v="1251115.95"/>
    <n v="2367835.4300000002"/>
    <n v="1.06"/>
    <n v="4.01"/>
  </r>
  <r>
    <x v="24"/>
    <x v="1"/>
    <x v="5"/>
    <x v="1"/>
    <n v="96"/>
    <n v="7619341.7800000003"/>
    <n v="1546942.16"/>
    <n v="6072399.6299999999"/>
    <n v="3.89"/>
    <n v="4.09"/>
  </r>
  <r>
    <x v="1120"/>
    <x v="1"/>
    <x v="8"/>
    <x v="2"/>
    <n v="198"/>
    <n v="8559159.7899999991"/>
    <n v="2771987.15"/>
    <n v="5787172.6299999999"/>
    <n v="2.37"/>
    <n v="4.63"/>
  </r>
  <r>
    <x v="521"/>
    <x v="1"/>
    <x v="8"/>
    <x v="1"/>
    <n v="81"/>
    <n v="3580416.41"/>
    <n v="873169.24"/>
    <n v="2707247.17"/>
    <n v="3.13"/>
    <n v="4.93"/>
  </r>
  <r>
    <x v="1121"/>
    <x v="1"/>
    <x v="5"/>
    <x v="0"/>
    <n v="59"/>
    <n v="3628659.97"/>
    <n v="1188959.28"/>
    <n v="2439700.69"/>
    <n v="4.7699999999999996"/>
    <n v="4.45"/>
  </r>
  <r>
    <x v="1062"/>
    <x v="1"/>
    <x v="9"/>
    <x v="0"/>
    <n v="172"/>
    <n v="13200189.970000001"/>
    <n v="5009429.95"/>
    <n v="8190760.0199999996"/>
    <n v="2.81"/>
    <n v="4.26"/>
  </r>
  <r>
    <x v="212"/>
    <x v="1"/>
    <x v="9"/>
    <x v="2"/>
    <n v="341"/>
    <n v="30172737.079999998"/>
    <n v="9360707.6099999994"/>
    <n v="20812029.48"/>
    <n v="1.22"/>
    <n v="3.77"/>
  </r>
  <r>
    <x v="1085"/>
    <x v="1"/>
    <x v="9"/>
    <x v="1"/>
    <n v="472"/>
    <n v="28506151.09"/>
    <n v="6151658.6399999997"/>
    <n v="22354492.449999999"/>
    <n v="3.63"/>
    <n v="4.59"/>
  </r>
  <r>
    <x v="1122"/>
    <x v="1"/>
    <x v="7"/>
    <x v="2"/>
    <n v="175"/>
    <n v="9441814.3100000005"/>
    <n v="3718454.8"/>
    <n v="5723359.5099999998"/>
    <n v="0.73"/>
    <n v="3.71"/>
  </r>
  <r>
    <x v="778"/>
    <x v="1"/>
    <x v="5"/>
    <x v="1"/>
    <n v="119"/>
    <n v="6361570.4199999999"/>
    <n v="1299636.43"/>
    <n v="5061933.99"/>
    <n v="4.3499999999999996"/>
    <n v="4.55"/>
  </r>
  <r>
    <x v="188"/>
    <x v="1"/>
    <x v="5"/>
    <x v="0"/>
    <n v="125"/>
    <n v="8988505.0800000001"/>
    <n v="2812819.24"/>
    <n v="6175685.8399999999"/>
    <n v="2.97"/>
    <n v="3.97"/>
  </r>
  <r>
    <x v="318"/>
    <x v="1"/>
    <x v="6"/>
    <x v="0"/>
    <n v="320"/>
    <n v="20117438.620000001"/>
    <n v="6488931.04"/>
    <n v="13628507.58"/>
    <n v="4.58"/>
    <n v="3.52"/>
  </r>
  <r>
    <x v="1123"/>
    <x v="1"/>
    <x v="6"/>
    <x v="0"/>
    <n v="92"/>
    <n v="7465326.4800000004"/>
    <n v="2969082.8"/>
    <n v="4496243.68"/>
    <n v="3.67"/>
    <n v="4.96"/>
  </r>
  <r>
    <x v="293"/>
    <x v="1"/>
    <x v="6"/>
    <x v="0"/>
    <n v="238"/>
    <n v="9606462.5199999996"/>
    <n v="2768619.71"/>
    <n v="6837842.8200000003"/>
    <n v="2.75"/>
    <n v="4.5599999999999996"/>
  </r>
  <r>
    <x v="546"/>
    <x v="1"/>
    <x v="5"/>
    <x v="1"/>
    <n v="482"/>
    <n v="31204873.370000001"/>
    <n v="9800851.9499999993"/>
    <n v="21404021.43"/>
    <n v="1.89"/>
    <n v="4.22"/>
  </r>
  <r>
    <x v="56"/>
    <x v="1"/>
    <x v="9"/>
    <x v="1"/>
    <n v="62"/>
    <n v="5448760.4900000002"/>
    <n v="1400973.57"/>
    <n v="4047786.92"/>
    <n v="4.79"/>
    <n v="3.84"/>
  </r>
  <r>
    <x v="575"/>
    <x v="1"/>
    <x v="7"/>
    <x v="1"/>
    <n v="92"/>
    <n v="7598396.54"/>
    <n v="2800353.78"/>
    <n v="4798042.76"/>
    <n v="1.89"/>
    <n v="3.94"/>
  </r>
  <r>
    <x v="1124"/>
    <x v="1"/>
    <x v="5"/>
    <x v="0"/>
    <n v="425"/>
    <n v="33958602.100000001"/>
    <n v="10177288.039999999"/>
    <n v="23781314.059999999"/>
    <n v="0.82"/>
    <n v="3.97"/>
  </r>
  <r>
    <x v="581"/>
    <x v="1"/>
    <x v="8"/>
    <x v="2"/>
    <n v="424"/>
    <n v="28173116.329999998"/>
    <n v="6576561.1100000003"/>
    <n v="21596555.210000001"/>
    <n v="4.58"/>
    <n v="3.52"/>
  </r>
  <r>
    <x v="1125"/>
    <x v="1"/>
    <x v="7"/>
    <x v="0"/>
    <n v="377"/>
    <n v="14269815.289999999"/>
    <n v="4141503.76"/>
    <n v="10128311.529999999"/>
    <n v="1.79"/>
    <n v="3.96"/>
  </r>
  <r>
    <x v="441"/>
    <x v="1"/>
    <x v="6"/>
    <x v="2"/>
    <n v="332"/>
    <n v="19136828.710000001"/>
    <n v="4076165.83"/>
    <n v="15060662.880000001"/>
    <n v="2.44"/>
    <n v="4.82"/>
  </r>
  <r>
    <x v="1126"/>
    <x v="1"/>
    <x v="8"/>
    <x v="0"/>
    <n v="118"/>
    <n v="4573612.2699999996"/>
    <n v="1112522.18"/>
    <n v="3461090.09"/>
    <n v="1.79"/>
    <n v="4.1500000000000004"/>
  </r>
  <r>
    <x v="130"/>
    <x v="1"/>
    <x v="5"/>
    <x v="2"/>
    <n v="68"/>
    <n v="4914003.1399999997"/>
    <n v="1894730.43"/>
    <n v="3019272.71"/>
    <n v="1.42"/>
    <n v="4.07"/>
  </r>
  <r>
    <x v="143"/>
    <x v="1"/>
    <x v="9"/>
    <x v="0"/>
    <n v="338"/>
    <n v="23759842.449999999"/>
    <n v="6313089.2199999997"/>
    <n v="17446753.219999999"/>
    <n v="3.35"/>
    <n v="3.8"/>
  </r>
  <r>
    <x v="397"/>
    <x v="1"/>
    <x v="6"/>
    <x v="1"/>
    <n v="452"/>
    <n v="35341782.649999999"/>
    <n v="9887904.9000000004"/>
    <n v="25453877.760000002"/>
    <n v="4.96"/>
    <n v="3.99"/>
  </r>
  <r>
    <x v="1127"/>
    <x v="1"/>
    <x v="5"/>
    <x v="0"/>
    <n v="368"/>
    <n v="21624063.09"/>
    <n v="4409714.1399999997"/>
    <n v="17214348.960000001"/>
    <n v="0.8"/>
    <n v="4.28"/>
  </r>
  <r>
    <x v="796"/>
    <x v="1"/>
    <x v="6"/>
    <x v="0"/>
    <n v="66"/>
    <n v="2684330.5499999998"/>
    <n v="779645.18"/>
    <n v="1904685.36"/>
    <n v="4.91"/>
    <n v="4.33"/>
  </r>
  <r>
    <x v="742"/>
    <x v="1"/>
    <x v="9"/>
    <x v="1"/>
    <n v="131"/>
    <n v="9661314.6500000004"/>
    <n v="3047702.99"/>
    <n v="6613611.6699999999"/>
    <n v="2.06"/>
    <n v="4.0999999999999996"/>
  </r>
  <r>
    <x v="1128"/>
    <x v="1"/>
    <x v="8"/>
    <x v="0"/>
    <n v="436"/>
    <n v="20183883.870000001"/>
    <n v="6123630.1200000001"/>
    <n v="14060253.75"/>
    <n v="1.71"/>
    <n v="3.93"/>
  </r>
  <r>
    <x v="1129"/>
    <x v="1"/>
    <x v="8"/>
    <x v="0"/>
    <n v="123"/>
    <n v="8971353.9199999999"/>
    <n v="3330270.8"/>
    <n v="5641083.1200000001"/>
    <n v="3.18"/>
    <n v="3.76"/>
  </r>
  <r>
    <x v="213"/>
    <x v="1"/>
    <x v="6"/>
    <x v="2"/>
    <n v="279"/>
    <n v="10813586.84"/>
    <n v="3394655.79"/>
    <n v="7418931.0499999998"/>
    <n v="3.63"/>
    <n v="4.1900000000000004"/>
  </r>
  <r>
    <x v="1130"/>
    <x v="1"/>
    <x v="8"/>
    <x v="2"/>
    <n v="416"/>
    <n v="27221311.890000001"/>
    <n v="7395312.29"/>
    <n v="19825999.600000001"/>
    <n v="3.67"/>
    <n v="4.0599999999999996"/>
  </r>
  <r>
    <x v="747"/>
    <x v="1"/>
    <x v="9"/>
    <x v="2"/>
    <n v="332"/>
    <n v="23964240.02"/>
    <n v="6198926.4500000002"/>
    <n v="17765313.57"/>
    <n v="3.25"/>
    <n v="3.97"/>
  </r>
  <r>
    <x v="319"/>
    <x v="1"/>
    <x v="5"/>
    <x v="0"/>
    <n v="149"/>
    <n v="7259852.1900000004"/>
    <n v="2901010.05"/>
    <n v="4358842.1399999997"/>
    <n v="1.28"/>
    <n v="3.68"/>
  </r>
  <r>
    <x v="873"/>
    <x v="1"/>
    <x v="6"/>
    <x v="1"/>
    <n v="315"/>
    <n v="21632372.460000001"/>
    <n v="7731042.1299999999"/>
    <n v="13901330.33"/>
    <n v="4.7300000000000004"/>
    <n v="3.51"/>
  </r>
  <r>
    <x v="1084"/>
    <x v="1"/>
    <x v="6"/>
    <x v="0"/>
    <n v="297"/>
    <n v="19993215.199999999"/>
    <n v="5193679.12"/>
    <n v="14799536.08"/>
    <n v="3.56"/>
    <n v="4.1100000000000003"/>
  </r>
  <r>
    <x v="632"/>
    <x v="1"/>
    <x v="5"/>
    <x v="0"/>
    <n v="418"/>
    <n v="23495254.66"/>
    <n v="4998534.8899999997"/>
    <n v="18496719.77"/>
    <n v="2.94"/>
    <n v="4.91"/>
  </r>
  <r>
    <x v="1131"/>
    <x v="1"/>
    <x v="7"/>
    <x v="0"/>
    <n v="187"/>
    <n v="10649078.24"/>
    <n v="2471008.69"/>
    <n v="8178069.5499999998"/>
    <n v="1.35"/>
    <n v="4.51"/>
  </r>
  <r>
    <x v="704"/>
    <x v="1"/>
    <x v="8"/>
    <x v="0"/>
    <n v="225"/>
    <n v="16104307.140000001"/>
    <n v="4837603.76"/>
    <n v="11266703.369999999"/>
    <n v="3.84"/>
    <n v="3.99"/>
  </r>
  <r>
    <x v="1132"/>
    <x v="1"/>
    <x v="9"/>
    <x v="1"/>
    <n v="293"/>
    <n v="22315213.800000001"/>
    <n v="4844415.7300000004"/>
    <n v="17470798.07"/>
    <n v="2.4500000000000002"/>
    <n v="3.89"/>
  </r>
  <r>
    <x v="1133"/>
    <x v="1"/>
    <x v="5"/>
    <x v="1"/>
    <n v="142"/>
    <n v="8974393.1400000006"/>
    <n v="2802909.42"/>
    <n v="6171483.71"/>
    <n v="4.9800000000000004"/>
    <n v="3.84"/>
  </r>
  <r>
    <x v="763"/>
    <x v="1"/>
    <x v="9"/>
    <x v="1"/>
    <n v="92"/>
    <n v="6446702.5300000003"/>
    <n v="2266632.14"/>
    <n v="4180070.39"/>
    <n v="3.71"/>
    <n v="3.64"/>
  </r>
  <r>
    <x v="281"/>
    <x v="1"/>
    <x v="5"/>
    <x v="0"/>
    <n v="418"/>
    <n v="33444316.329999998"/>
    <n v="13043159.109999999"/>
    <n v="20401157.219999999"/>
    <n v="4.5999999999999996"/>
    <n v="3.54"/>
  </r>
  <r>
    <x v="1015"/>
    <x v="1"/>
    <x v="7"/>
    <x v="2"/>
    <n v="274"/>
    <n v="12821105.699999999"/>
    <n v="4434034.97"/>
    <n v="8387070.7300000004"/>
    <n v="1.61"/>
    <n v="3.59"/>
  </r>
  <r>
    <x v="424"/>
    <x v="1"/>
    <x v="6"/>
    <x v="2"/>
    <n v="110"/>
    <n v="6419867.7599999998"/>
    <n v="2291450.61"/>
    <n v="4128417.15"/>
    <n v="3.19"/>
    <n v="4.3899999999999997"/>
  </r>
  <r>
    <x v="1134"/>
    <x v="1"/>
    <x v="5"/>
    <x v="0"/>
    <n v="143"/>
    <n v="12488474.439999999"/>
    <n v="2901093.01"/>
    <n v="9587381.4299999997"/>
    <n v="4.12"/>
    <n v="4.7300000000000004"/>
  </r>
  <r>
    <x v="1043"/>
    <x v="1"/>
    <x v="7"/>
    <x v="2"/>
    <n v="492"/>
    <n v="24886226.870000001"/>
    <n v="6038545.8799999999"/>
    <n v="18847680.989999998"/>
    <n v="2.29"/>
    <n v="4.2699999999999996"/>
  </r>
  <r>
    <x v="1135"/>
    <x v="1"/>
    <x v="9"/>
    <x v="1"/>
    <n v="425"/>
    <n v="37961542.969999999"/>
    <n v="12971491.57"/>
    <n v="24990051.399999999"/>
    <n v="3.97"/>
    <n v="4.1399999999999997"/>
  </r>
  <r>
    <x v="1136"/>
    <x v="1"/>
    <x v="7"/>
    <x v="0"/>
    <n v="439"/>
    <n v="34674209.560000002"/>
    <n v="11556173.48"/>
    <n v="23118036.079999998"/>
    <n v="4.3899999999999997"/>
    <n v="4.87"/>
  </r>
  <r>
    <x v="1137"/>
    <x v="1"/>
    <x v="8"/>
    <x v="1"/>
    <n v="86"/>
    <n v="6162370.21"/>
    <n v="1494514.01"/>
    <n v="4667856.2"/>
    <n v="2.54"/>
    <n v="4.45"/>
  </r>
  <r>
    <x v="1138"/>
    <x v="1"/>
    <x v="5"/>
    <x v="2"/>
    <n v="412"/>
    <n v="28876043.59"/>
    <n v="6735954.3399999999"/>
    <n v="22140089.25"/>
    <n v="2.75"/>
    <n v="4.3"/>
  </r>
  <r>
    <x v="327"/>
    <x v="1"/>
    <x v="6"/>
    <x v="1"/>
    <n v="156"/>
    <n v="13493287.73"/>
    <n v="5224583.88"/>
    <n v="8268703.8499999996"/>
    <n v="4.21"/>
    <n v="3.94"/>
  </r>
  <r>
    <x v="1139"/>
    <x v="1"/>
    <x v="7"/>
    <x v="1"/>
    <n v="188"/>
    <n v="12772061.439999999"/>
    <n v="4595135.51"/>
    <n v="8176925.9199999999"/>
    <n v="3.16"/>
    <n v="4.1100000000000003"/>
  </r>
  <r>
    <x v="919"/>
    <x v="1"/>
    <x v="7"/>
    <x v="0"/>
    <n v="412"/>
    <n v="25548229.23"/>
    <n v="5482084.7199999997"/>
    <n v="20066144.510000002"/>
    <n v="0.97"/>
    <n v="4.6500000000000004"/>
  </r>
  <r>
    <x v="1140"/>
    <x v="1"/>
    <x v="8"/>
    <x v="0"/>
    <n v="471"/>
    <n v="33457275.07"/>
    <n v="11641548.539999999"/>
    <n v="21815726.530000001"/>
    <n v="1.22"/>
    <n v="3.74"/>
  </r>
  <r>
    <x v="865"/>
    <x v="1"/>
    <x v="8"/>
    <x v="0"/>
    <n v="182"/>
    <n v="14243089.050000001"/>
    <n v="3012324.15"/>
    <n v="11230764.9"/>
    <n v="3.86"/>
    <n v="4.58"/>
  </r>
  <r>
    <x v="1043"/>
    <x v="1"/>
    <x v="9"/>
    <x v="2"/>
    <n v="352"/>
    <n v="25584200.239999998"/>
    <n v="9668617.9100000001"/>
    <n v="15915582.32"/>
    <n v="1.8"/>
    <n v="3.96"/>
  </r>
  <r>
    <x v="1130"/>
    <x v="1"/>
    <x v="7"/>
    <x v="1"/>
    <n v="493"/>
    <n v="29275256.010000002"/>
    <n v="8470033.0700000003"/>
    <n v="20805222.940000001"/>
    <n v="1.65"/>
    <n v="4.6100000000000003"/>
  </r>
  <r>
    <x v="1141"/>
    <x v="1"/>
    <x v="9"/>
    <x v="1"/>
    <n v="427"/>
    <n v="34403628.219999999"/>
    <n v="8330543.75"/>
    <n v="26073084.469999999"/>
    <n v="1.89"/>
    <n v="4.87"/>
  </r>
  <r>
    <x v="1074"/>
    <x v="1"/>
    <x v="7"/>
    <x v="2"/>
    <n v="401"/>
    <n v="31378119.800000001"/>
    <n v="8583694.2899999991"/>
    <n v="22794425.510000002"/>
    <n v="2.1800000000000002"/>
    <n v="3.91"/>
  </r>
  <r>
    <x v="1096"/>
    <x v="1"/>
    <x v="5"/>
    <x v="1"/>
    <n v="385"/>
    <n v="32031064"/>
    <n v="12155353.4"/>
    <n v="19875710.59"/>
    <n v="2.27"/>
    <n v="4.33"/>
  </r>
  <r>
    <x v="1142"/>
    <x v="1"/>
    <x v="6"/>
    <x v="1"/>
    <n v="84"/>
    <n v="4551872.1500000004"/>
    <n v="1345898.11"/>
    <n v="3205974.04"/>
    <n v="4.08"/>
    <n v="4.83"/>
  </r>
  <r>
    <x v="1143"/>
    <x v="1"/>
    <x v="7"/>
    <x v="0"/>
    <n v="125"/>
    <n v="10279004.42"/>
    <n v="2573131.14"/>
    <n v="7705873.2800000003"/>
    <n v="2.48"/>
    <n v="4.42"/>
  </r>
  <r>
    <x v="757"/>
    <x v="1"/>
    <x v="8"/>
    <x v="1"/>
    <n v="334"/>
    <n v="20125306.219999999"/>
    <n v="6395445.54"/>
    <n v="13729860.689999999"/>
    <n v="3.75"/>
    <n v="4.08"/>
  </r>
  <r>
    <x v="212"/>
    <x v="1"/>
    <x v="7"/>
    <x v="2"/>
    <n v="161"/>
    <n v="6675916.7599999998"/>
    <n v="2449681.61"/>
    <n v="4226235.16"/>
    <n v="0.51"/>
    <n v="4.58"/>
  </r>
  <r>
    <x v="1144"/>
    <x v="1"/>
    <x v="7"/>
    <x v="1"/>
    <n v="183"/>
    <n v="14350635.029999999"/>
    <n v="4888438.54"/>
    <n v="9462196.4900000002"/>
    <n v="2.94"/>
    <n v="4.0199999999999996"/>
  </r>
  <r>
    <x v="660"/>
    <x v="1"/>
    <x v="5"/>
    <x v="0"/>
    <n v="175"/>
    <n v="7720326.2000000002"/>
    <n v="1712591.42"/>
    <n v="6007734.79"/>
    <n v="1.59"/>
    <n v="4.03"/>
  </r>
  <r>
    <x v="1145"/>
    <x v="1"/>
    <x v="6"/>
    <x v="0"/>
    <n v="164"/>
    <n v="7745698.9699999997"/>
    <n v="2293928.14"/>
    <n v="5451770.8300000001"/>
    <n v="3.23"/>
    <n v="3.87"/>
  </r>
  <r>
    <x v="1146"/>
    <x v="1"/>
    <x v="5"/>
    <x v="1"/>
    <n v="296"/>
    <n v="14327915.98"/>
    <n v="4964334.04"/>
    <n v="9363581.9399999995"/>
    <n v="2.0099999999999998"/>
    <n v="4.62"/>
  </r>
  <r>
    <x v="34"/>
    <x v="1"/>
    <x v="6"/>
    <x v="1"/>
    <n v="201"/>
    <n v="13848201.869999999"/>
    <n v="3996927.73"/>
    <n v="9851274.1400000006"/>
    <n v="2.37"/>
    <n v="4.1399999999999997"/>
  </r>
  <r>
    <x v="1147"/>
    <x v="1"/>
    <x v="5"/>
    <x v="1"/>
    <n v="68"/>
    <n v="4919379.5599999996"/>
    <n v="1562528.03"/>
    <n v="3356851.54"/>
    <n v="3.89"/>
    <n v="3.81"/>
  </r>
  <r>
    <x v="9"/>
    <x v="1"/>
    <x v="8"/>
    <x v="1"/>
    <n v="403"/>
    <n v="23236051.18"/>
    <n v="5248898.6399999997"/>
    <n v="17987152.530000001"/>
    <n v="3.34"/>
    <n v="4.3"/>
  </r>
  <r>
    <x v="1148"/>
    <x v="1"/>
    <x v="6"/>
    <x v="2"/>
    <n v="254"/>
    <n v="18621882.98"/>
    <n v="5602565.75"/>
    <n v="13019317.23"/>
    <n v="4.7"/>
    <n v="4.16"/>
  </r>
  <r>
    <x v="1149"/>
    <x v="1"/>
    <x v="9"/>
    <x v="2"/>
    <n v="393"/>
    <n v="28714171.879999999"/>
    <n v="10301197.02"/>
    <n v="18412974.859999999"/>
    <n v="2.2599999999999998"/>
    <n v="4.84"/>
  </r>
  <r>
    <x v="1150"/>
    <x v="1"/>
    <x v="9"/>
    <x v="1"/>
    <n v="56"/>
    <n v="4340799.0999999996"/>
    <n v="910315.9"/>
    <n v="3430483.2"/>
    <n v="3.99"/>
    <n v="4.42"/>
  </r>
  <r>
    <x v="1151"/>
    <x v="1"/>
    <x v="6"/>
    <x v="1"/>
    <n v="220"/>
    <n v="8535455.4700000007"/>
    <n v="2604585.66"/>
    <n v="5930869.7999999998"/>
    <n v="3.02"/>
    <n v="4.4400000000000004"/>
  </r>
  <r>
    <x v="1152"/>
    <x v="1"/>
    <x v="9"/>
    <x v="2"/>
    <n v="465"/>
    <n v="34551950.609999999"/>
    <n v="7728832.8499999996"/>
    <n v="26823117.75"/>
    <n v="3.79"/>
    <n v="4.55"/>
  </r>
  <r>
    <x v="937"/>
    <x v="1"/>
    <x v="5"/>
    <x v="0"/>
    <n v="361"/>
    <n v="29236117"/>
    <n v="6891605.54"/>
    <n v="22344511.449999999"/>
    <n v="4.29"/>
    <n v="4.2300000000000004"/>
  </r>
  <r>
    <x v="372"/>
    <x v="1"/>
    <x v="5"/>
    <x v="1"/>
    <n v="484"/>
    <n v="24540243.73"/>
    <n v="7207089.7199999997"/>
    <n v="17333154.010000002"/>
    <n v="2.8"/>
    <n v="4.7300000000000004"/>
  </r>
  <r>
    <x v="1153"/>
    <x v="1"/>
    <x v="7"/>
    <x v="1"/>
    <n v="474"/>
    <n v="39598335.990000002"/>
    <n v="12146316.32"/>
    <n v="27452019.670000002"/>
    <n v="0.84"/>
    <n v="4.08"/>
  </r>
  <r>
    <x v="1154"/>
    <x v="1"/>
    <x v="6"/>
    <x v="0"/>
    <n v="281"/>
    <n v="10074681.25"/>
    <n v="3463913.25"/>
    <n v="6610768"/>
    <n v="1.44"/>
    <n v="3.56"/>
  </r>
  <r>
    <x v="847"/>
    <x v="1"/>
    <x v="9"/>
    <x v="2"/>
    <n v="55"/>
    <n v="3102949.94"/>
    <n v="904968.55"/>
    <n v="2197981.39"/>
    <n v="4.8600000000000003"/>
    <n v="3.6"/>
  </r>
  <r>
    <x v="254"/>
    <x v="1"/>
    <x v="5"/>
    <x v="2"/>
    <n v="362"/>
    <n v="32215793.190000001"/>
    <n v="9983812.3800000008"/>
    <n v="22231980.809999999"/>
    <n v="2.81"/>
    <n v="4.9800000000000004"/>
  </r>
  <r>
    <x v="1155"/>
    <x v="1"/>
    <x v="9"/>
    <x v="1"/>
    <n v="69"/>
    <n v="6199307.0300000003"/>
    <n v="1786566.78"/>
    <n v="4412740.25"/>
    <n v="1.95"/>
    <n v="3.83"/>
  </r>
  <r>
    <x v="1156"/>
    <x v="1"/>
    <x v="6"/>
    <x v="0"/>
    <n v="231"/>
    <n v="17349927.41"/>
    <n v="4828800.79"/>
    <n v="12521126.619999999"/>
    <n v="3.68"/>
    <n v="4.0599999999999996"/>
  </r>
  <r>
    <x v="822"/>
    <x v="1"/>
    <x v="9"/>
    <x v="0"/>
    <n v="109"/>
    <n v="8147812.8200000003"/>
    <n v="2188943.35"/>
    <n v="5958869.4800000004"/>
    <n v="3.69"/>
    <n v="3.51"/>
  </r>
  <r>
    <x v="454"/>
    <x v="1"/>
    <x v="7"/>
    <x v="2"/>
    <n v="284"/>
    <n v="22925963.57"/>
    <n v="5308160.66"/>
    <n v="17617802.91"/>
    <n v="2.1800000000000002"/>
    <n v="4.45"/>
  </r>
  <r>
    <x v="1090"/>
    <x v="1"/>
    <x v="9"/>
    <x v="1"/>
    <n v="366"/>
    <n v="14897049.83"/>
    <n v="5813848.7999999998"/>
    <n v="9083201.0299999993"/>
    <n v="3.11"/>
    <n v="4.1399999999999997"/>
  </r>
  <r>
    <x v="1114"/>
    <x v="1"/>
    <x v="5"/>
    <x v="0"/>
    <n v="363"/>
    <n v="28316830.940000001"/>
    <n v="7069313.8799999999"/>
    <n v="21247517.07"/>
    <n v="4.1100000000000003"/>
    <n v="4.28"/>
  </r>
  <r>
    <x v="536"/>
    <x v="1"/>
    <x v="6"/>
    <x v="1"/>
    <n v="258"/>
    <n v="9237574.9900000002"/>
    <n v="3312146.74"/>
    <n v="5925428.25"/>
    <n v="3.71"/>
    <n v="4.08"/>
  </r>
  <r>
    <x v="1157"/>
    <x v="1"/>
    <x v="8"/>
    <x v="0"/>
    <n v="141"/>
    <n v="6447032.6799999997"/>
    <n v="1430713.22"/>
    <n v="5016319.46"/>
    <n v="3.87"/>
    <n v="4.8600000000000003"/>
  </r>
  <r>
    <x v="1158"/>
    <x v="1"/>
    <x v="6"/>
    <x v="0"/>
    <n v="264"/>
    <n v="18030578.719999999"/>
    <n v="5650195.1699999999"/>
    <n v="12380383.550000001"/>
    <n v="3.98"/>
    <n v="4.78"/>
  </r>
  <r>
    <x v="484"/>
    <x v="1"/>
    <x v="9"/>
    <x v="1"/>
    <n v="294"/>
    <n v="20515767.710000001"/>
    <n v="7564259.0899999999"/>
    <n v="12951508.619999999"/>
    <n v="2.63"/>
    <n v="4.57"/>
  </r>
  <r>
    <x v="1159"/>
    <x v="1"/>
    <x v="7"/>
    <x v="0"/>
    <n v="103"/>
    <n v="5792890.9400000004"/>
    <n v="1635327.39"/>
    <n v="4157563.54"/>
    <n v="1.33"/>
    <n v="4.4000000000000004"/>
  </r>
  <r>
    <x v="592"/>
    <x v="1"/>
    <x v="9"/>
    <x v="0"/>
    <n v="435"/>
    <n v="25389556.420000002"/>
    <n v="5545899.1299999999"/>
    <n v="19843657.280000001"/>
    <n v="2.78"/>
    <n v="3.78"/>
  </r>
  <r>
    <x v="1160"/>
    <x v="1"/>
    <x v="8"/>
    <x v="2"/>
    <n v="130"/>
    <n v="8730376.8399999999"/>
    <n v="3258786.75"/>
    <n v="5471590.0999999996"/>
    <n v="2.5"/>
    <n v="4.18"/>
  </r>
  <r>
    <x v="1024"/>
    <x v="1"/>
    <x v="8"/>
    <x v="1"/>
    <n v="367"/>
    <n v="28917133.68"/>
    <n v="9994073.4800000004"/>
    <n v="18923060.199999999"/>
    <n v="3.62"/>
    <n v="3.9"/>
  </r>
  <r>
    <x v="775"/>
    <x v="1"/>
    <x v="7"/>
    <x v="2"/>
    <n v="215"/>
    <n v="16372853.23"/>
    <n v="5812225.7699999996"/>
    <n v="10560627.460000001"/>
    <n v="2.88"/>
    <n v="4.74"/>
  </r>
  <r>
    <x v="1161"/>
    <x v="1"/>
    <x v="6"/>
    <x v="0"/>
    <n v="454"/>
    <n v="33235184.739999998"/>
    <n v="11840263.140000001"/>
    <n v="21394921.609999999"/>
    <n v="3.18"/>
    <n v="3.9"/>
  </r>
  <r>
    <x v="1162"/>
    <x v="1"/>
    <x v="8"/>
    <x v="1"/>
    <n v="486"/>
    <n v="38793338.939999998"/>
    <n v="9480896.1799999997"/>
    <n v="29312442.760000002"/>
    <n v="3.92"/>
    <n v="3.78"/>
  </r>
  <r>
    <x v="242"/>
    <x v="1"/>
    <x v="6"/>
    <x v="2"/>
    <n v="389"/>
    <n v="30167510.579999998"/>
    <n v="7554918.6100000003"/>
    <n v="22612591.969999999"/>
    <n v="1.18"/>
    <n v="3.83"/>
  </r>
  <r>
    <x v="437"/>
    <x v="1"/>
    <x v="6"/>
    <x v="0"/>
    <n v="214"/>
    <n v="10545214.810000001"/>
    <n v="4147060.94"/>
    <n v="6398153.8700000001"/>
    <n v="4.46"/>
    <n v="3.87"/>
  </r>
  <r>
    <x v="1163"/>
    <x v="1"/>
    <x v="9"/>
    <x v="0"/>
    <n v="54"/>
    <n v="3761218.44"/>
    <n v="858971.73"/>
    <n v="2902246.71"/>
    <n v="4.03"/>
    <n v="4.1399999999999997"/>
  </r>
  <r>
    <x v="456"/>
    <x v="1"/>
    <x v="6"/>
    <x v="0"/>
    <n v="415"/>
    <n v="34796297.659999996"/>
    <n v="11654737.23"/>
    <n v="23141560.43"/>
    <n v="4.55"/>
    <n v="4.99"/>
  </r>
  <r>
    <x v="1164"/>
    <x v="1"/>
    <x v="5"/>
    <x v="2"/>
    <n v="279"/>
    <n v="11212454.359999999"/>
    <n v="2807587.95"/>
    <n v="8404866.4100000001"/>
    <n v="4.16"/>
    <n v="4.5599999999999996"/>
  </r>
  <r>
    <x v="1165"/>
    <x v="1"/>
    <x v="5"/>
    <x v="0"/>
    <n v="87"/>
    <n v="3499182.33"/>
    <n v="700611.46"/>
    <n v="2798570.87"/>
    <n v="1.97"/>
    <n v="4.62"/>
  </r>
  <r>
    <x v="1166"/>
    <x v="1"/>
    <x v="5"/>
    <x v="0"/>
    <n v="110"/>
    <n v="9041040.7899999991"/>
    <n v="1812496.69"/>
    <n v="7228544.0999999996"/>
    <n v="1.59"/>
    <n v="3.56"/>
  </r>
  <r>
    <x v="907"/>
    <x v="1"/>
    <x v="6"/>
    <x v="0"/>
    <n v="302"/>
    <n v="15853714.859999999"/>
    <n v="3293896.48"/>
    <n v="12559818.380000001"/>
    <n v="4.51"/>
    <n v="4.7699999999999996"/>
  </r>
  <r>
    <x v="1157"/>
    <x v="1"/>
    <x v="6"/>
    <x v="2"/>
    <n v="487"/>
    <n v="32210149.809999999"/>
    <n v="10869134.75"/>
    <n v="21341015.07"/>
    <n v="3.44"/>
    <n v="3.85"/>
  </r>
  <r>
    <x v="1167"/>
    <x v="1"/>
    <x v="6"/>
    <x v="0"/>
    <n v="215"/>
    <n v="7727796.1699999999"/>
    <n v="1674453.77"/>
    <n v="6053342.4000000004"/>
    <n v="3.68"/>
    <n v="3.96"/>
  </r>
  <r>
    <x v="1168"/>
    <x v="1"/>
    <x v="7"/>
    <x v="1"/>
    <n v="232"/>
    <n v="18801646.449999999"/>
    <n v="5191036.0599999996"/>
    <n v="13610610.390000001"/>
    <n v="3.04"/>
    <n v="4.4400000000000004"/>
  </r>
  <r>
    <x v="1015"/>
    <x v="1"/>
    <x v="6"/>
    <x v="1"/>
    <n v="390"/>
    <n v="22280084.789999999"/>
    <n v="7171542.1799999997"/>
    <n v="15108542.609999999"/>
    <n v="0.81"/>
    <n v="4.46"/>
  </r>
  <r>
    <x v="1103"/>
    <x v="1"/>
    <x v="6"/>
    <x v="2"/>
    <n v="68"/>
    <n v="4034178.83"/>
    <n v="1042918.33"/>
    <n v="2991260.5"/>
    <n v="2.25"/>
    <n v="3.84"/>
  </r>
  <r>
    <x v="982"/>
    <x v="1"/>
    <x v="6"/>
    <x v="2"/>
    <n v="260"/>
    <n v="21518274.27"/>
    <n v="6975675.1200000001"/>
    <n v="14542599.15"/>
    <n v="2.17"/>
    <n v="4.43"/>
  </r>
  <r>
    <x v="1169"/>
    <x v="1"/>
    <x v="9"/>
    <x v="2"/>
    <n v="240"/>
    <n v="11193593.859999999"/>
    <n v="2248499.4900000002"/>
    <n v="8945094.3699999992"/>
    <n v="4.92"/>
    <n v="4.47"/>
  </r>
  <r>
    <x v="1170"/>
    <x v="1"/>
    <x v="8"/>
    <x v="1"/>
    <n v="162"/>
    <n v="9778997.0899999999"/>
    <n v="2073280.78"/>
    <n v="7705716.3099999996"/>
    <n v="2.77"/>
    <n v="4.92"/>
  </r>
  <r>
    <x v="1171"/>
    <x v="1"/>
    <x v="7"/>
    <x v="1"/>
    <n v="238"/>
    <n v="17162952.699999999"/>
    <n v="4539492.47"/>
    <n v="12623460.220000001"/>
    <n v="2.1800000000000002"/>
    <n v="4.91"/>
  </r>
  <r>
    <x v="839"/>
    <x v="1"/>
    <x v="7"/>
    <x v="1"/>
    <n v="326"/>
    <n v="22735368.23"/>
    <n v="8846828.5500000007"/>
    <n v="13888539.67"/>
    <n v="3.4"/>
    <n v="4.96"/>
  </r>
  <r>
    <x v="701"/>
    <x v="1"/>
    <x v="5"/>
    <x v="0"/>
    <n v="231"/>
    <n v="11582536.75"/>
    <n v="4271161.04"/>
    <n v="7311375.7199999997"/>
    <n v="3.36"/>
    <n v="4.4000000000000004"/>
  </r>
  <r>
    <x v="658"/>
    <x v="1"/>
    <x v="5"/>
    <x v="2"/>
    <n v="192"/>
    <n v="8875998.8599999994"/>
    <n v="3475233.54"/>
    <n v="5400765.3200000003"/>
    <n v="3.11"/>
    <n v="4.18"/>
  </r>
  <r>
    <x v="774"/>
    <x v="1"/>
    <x v="9"/>
    <x v="0"/>
    <n v="479"/>
    <n v="21236495.449999999"/>
    <n v="8413284.1999999993"/>
    <n v="12823211.25"/>
    <n v="4.01"/>
    <n v="4.41"/>
  </r>
  <r>
    <x v="1172"/>
    <x v="1"/>
    <x v="8"/>
    <x v="0"/>
    <n v="92"/>
    <n v="5515109.7400000002"/>
    <n v="1704309.61"/>
    <n v="3810800.13"/>
    <n v="3.59"/>
    <n v="4.87"/>
  </r>
  <r>
    <x v="661"/>
    <x v="1"/>
    <x v="8"/>
    <x v="2"/>
    <n v="205"/>
    <n v="12682788.26"/>
    <n v="4053705.25"/>
    <n v="8629083.0099999998"/>
    <n v="1.19"/>
    <n v="4.3600000000000003"/>
  </r>
  <r>
    <x v="810"/>
    <x v="1"/>
    <x v="5"/>
    <x v="0"/>
    <n v="279"/>
    <n v="19625353.43"/>
    <n v="7541796.3300000001"/>
    <n v="12083557.1"/>
    <n v="3.83"/>
    <n v="3.64"/>
  </r>
  <r>
    <x v="117"/>
    <x v="1"/>
    <x v="9"/>
    <x v="1"/>
    <n v="348"/>
    <n v="13175076.199999999"/>
    <n v="5186385.17"/>
    <n v="7988691.0199999996"/>
    <n v="2.41"/>
    <n v="3.63"/>
  </r>
  <r>
    <x v="140"/>
    <x v="1"/>
    <x v="5"/>
    <x v="2"/>
    <n v="177"/>
    <n v="12194821.58"/>
    <n v="4277245.82"/>
    <n v="7917575.7599999998"/>
    <n v="3.61"/>
    <n v="4.4000000000000004"/>
  </r>
  <r>
    <x v="943"/>
    <x v="1"/>
    <x v="7"/>
    <x v="0"/>
    <n v="94"/>
    <n v="8336886.6600000001"/>
    <n v="2195179.33"/>
    <n v="6141707.3300000001"/>
    <n v="2.19"/>
    <n v="4.7"/>
  </r>
  <r>
    <x v="360"/>
    <x v="1"/>
    <x v="6"/>
    <x v="2"/>
    <n v="305"/>
    <n v="24139291.239999998"/>
    <n v="4841193.28"/>
    <n v="19298097.960000001"/>
    <n v="0.64"/>
    <n v="4.8499999999999996"/>
  </r>
  <r>
    <x v="1173"/>
    <x v="1"/>
    <x v="9"/>
    <x v="0"/>
    <n v="288"/>
    <n v="19632146.550000001"/>
    <n v="5422432"/>
    <n v="14209714.550000001"/>
    <n v="4.7300000000000004"/>
    <n v="4.66"/>
  </r>
  <r>
    <x v="603"/>
    <x v="1"/>
    <x v="8"/>
    <x v="1"/>
    <n v="415"/>
    <n v="22177744.32"/>
    <n v="8573842.5999999996"/>
    <n v="13603901.720000001"/>
    <n v="4.8899999999999997"/>
    <n v="4.7300000000000004"/>
  </r>
  <r>
    <x v="409"/>
    <x v="1"/>
    <x v="9"/>
    <x v="1"/>
    <n v="113"/>
    <n v="9498115.6400000006"/>
    <n v="3217863.82"/>
    <n v="6280251.8200000003"/>
    <n v="2.98"/>
    <n v="4.68"/>
  </r>
  <r>
    <x v="1174"/>
    <x v="1"/>
    <x v="7"/>
    <x v="0"/>
    <n v="120"/>
    <n v="5591234.4699999997"/>
    <n v="1980006.22"/>
    <n v="3611228.25"/>
    <n v="2.61"/>
    <n v="3.9"/>
  </r>
  <r>
    <x v="37"/>
    <x v="1"/>
    <x v="7"/>
    <x v="1"/>
    <n v="443"/>
    <n v="17328018.66"/>
    <n v="5411690.2400000002"/>
    <n v="11916328.43"/>
    <n v="2.88"/>
    <n v="4.9800000000000004"/>
  </r>
  <r>
    <x v="617"/>
    <x v="1"/>
    <x v="8"/>
    <x v="1"/>
    <n v="345"/>
    <n v="14246338.07"/>
    <n v="5673729.0800000001"/>
    <n v="8572608.9800000004"/>
    <n v="1.2"/>
    <n v="3.81"/>
  </r>
  <r>
    <x v="1175"/>
    <x v="1"/>
    <x v="5"/>
    <x v="1"/>
    <n v="241"/>
    <n v="12403326.619999999"/>
    <n v="4384561.09"/>
    <n v="8018765.5199999996"/>
    <n v="1.08"/>
    <n v="3.88"/>
  </r>
  <r>
    <x v="156"/>
    <x v="1"/>
    <x v="8"/>
    <x v="2"/>
    <n v="98"/>
    <n v="5336425.1399999997"/>
    <n v="1811738.72"/>
    <n v="3524686.42"/>
    <n v="4.8899999999999997"/>
    <n v="3.76"/>
  </r>
  <r>
    <x v="1176"/>
    <x v="1"/>
    <x v="7"/>
    <x v="0"/>
    <n v="53"/>
    <n v="2283277.41"/>
    <n v="756840.18"/>
    <n v="1526437.23"/>
    <n v="4.3899999999999997"/>
    <n v="3.73"/>
  </r>
  <r>
    <x v="524"/>
    <x v="1"/>
    <x v="6"/>
    <x v="2"/>
    <n v="327"/>
    <n v="20159415.84"/>
    <n v="6844446.2000000002"/>
    <n v="13314969.640000001"/>
    <n v="3.04"/>
    <n v="4.71"/>
  </r>
  <r>
    <x v="30"/>
    <x v="1"/>
    <x v="6"/>
    <x v="1"/>
    <n v="241"/>
    <n v="16132166.369999999"/>
    <n v="4821876.26"/>
    <n v="11310290.1"/>
    <n v="1.1499999999999999"/>
    <n v="4.4400000000000004"/>
  </r>
  <r>
    <x v="558"/>
    <x v="1"/>
    <x v="5"/>
    <x v="2"/>
    <n v="161"/>
    <n v="7177925.3200000003"/>
    <n v="1614450.89"/>
    <n v="5563474.4299999997"/>
    <n v="2.4900000000000002"/>
    <n v="4.9800000000000004"/>
  </r>
  <r>
    <x v="879"/>
    <x v="1"/>
    <x v="9"/>
    <x v="0"/>
    <n v="362"/>
    <n v="26909362.309999999"/>
    <n v="9246492.5899999999"/>
    <n v="17662869.719999999"/>
    <n v="2.14"/>
    <n v="3.79"/>
  </r>
  <r>
    <x v="80"/>
    <x v="1"/>
    <x v="7"/>
    <x v="0"/>
    <n v="138"/>
    <n v="9188842.6899999995"/>
    <n v="2449355.2400000002"/>
    <n v="6739487.46"/>
    <n v="4"/>
    <n v="4.79"/>
  </r>
  <r>
    <x v="402"/>
    <x v="1"/>
    <x v="7"/>
    <x v="0"/>
    <n v="320"/>
    <n v="11991321.369999999"/>
    <n v="4493492.3099999996"/>
    <n v="7497829.0599999996"/>
    <n v="3.03"/>
    <n v="4.6500000000000004"/>
  </r>
  <r>
    <x v="1177"/>
    <x v="1"/>
    <x v="9"/>
    <x v="0"/>
    <n v="89"/>
    <n v="4933332.25"/>
    <n v="1780768.65"/>
    <n v="3152563.61"/>
    <n v="2.7"/>
    <n v="4.6100000000000003"/>
  </r>
  <r>
    <x v="1178"/>
    <x v="1"/>
    <x v="8"/>
    <x v="0"/>
    <n v="496"/>
    <n v="32625311.149999999"/>
    <n v="8567151.25"/>
    <n v="24058159.899999999"/>
    <n v="3.46"/>
    <n v="3.68"/>
  </r>
  <r>
    <x v="898"/>
    <x v="1"/>
    <x v="8"/>
    <x v="0"/>
    <n v="97"/>
    <n v="5565303.6100000003"/>
    <n v="1860778.07"/>
    <n v="3704525.55"/>
    <n v="2.54"/>
    <n v="4.6399999999999997"/>
  </r>
  <r>
    <x v="1179"/>
    <x v="1"/>
    <x v="8"/>
    <x v="0"/>
    <n v="367"/>
    <n v="31078070.420000002"/>
    <n v="6900054.3399999999"/>
    <n v="24178016.079999998"/>
    <n v="4.18"/>
    <n v="4.2699999999999996"/>
  </r>
  <r>
    <x v="1180"/>
    <x v="1"/>
    <x v="7"/>
    <x v="1"/>
    <n v="126"/>
    <n v="8424649.25"/>
    <n v="2544876.83"/>
    <n v="5879772.4199999999"/>
    <n v="3.4"/>
    <n v="3.84"/>
  </r>
  <r>
    <x v="100"/>
    <x v="1"/>
    <x v="8"/>
    <x v="2"/>
    <n v="88"/>
    <n v="7592442.1500000004"/>
    <n v="1910861.86"/>
    <n v="5681580.29"/>
    <n v="1.76"/>
    <n v="3.7"/>
  </r>
  <r>
    <x v="294"/>
    <x v="1"/>
    <x v="6"/>
    <x v="1"/>
    <n v="169"/>
    <n v="7637087.9500000002"/>
    <n v="2629230.87"/>
    <n v="5007857.09"/>
    <n v="1.48"/>
    <n v="3.77"/>
  </r>
  <r>
    <x v="477"/>
    <x v="1"/>
    <x v="5"/>
    <x v="0"/>
    <n v="275"/>
    <n v="23285760.530000001"/>
    <n v="6502078.3399999999"/>
    <n v="16783682.190000001"/>
    <n v="3.09"/>
    <n v="4.34"/>
  </r>
  <r>
    <x v="170"/>
    <x v="1"/>
    <x v="7"/>
    <x v="2"/>
    <n v="367"/>
    <n v="15731477.66"/>
    <n v="5114151.5999999996"/>
    <n v="10617326.060000001"/>
    <n v="4.09"/>
    <n v="4.05"/>
  </r>
  <r>
    <x v="1181"/>
    <x v="1"/>
    <x v="7"/>
    <x v="2"/>
    <n v="236"/>
    <n v="12640494.630000001"/>
    <n v="3212041.28"/>
    <n v="9428453.3499999996"/>
    <n v="3.08"/>
    <n v="4.01"/>
  </r>
  <r>
    <x v="571"/>
    <x v="1"/>
    <x v="5"/>
    <x v="1"/>
    <n v="357"/>
    <n v="25704733.199999999"/>
    <n v="9148292.6300000008"/>
    <n v="16556440.57"/>
    <n v="1.48"/>
    <n v="4.8099999999999996"/>
  </r>
  <r>
    <x v="692"/>
    <x v="1"/>
    <x v="5"/>
    <x v="1"/>
    <n v="432"/>
    <n v="21374756.949999999"/>
    <n v="8547109.5700000003"/>
    <n v="12827647.390000001"/>
    <n v="4.42"/>
    <n v="4.6900000000000004"/>
  </r>
  <r>
    <x v="330"/>
    <x v="1"/>
    <x v="5"/>
    <x v="0"/>
    <n v="325"/>
    <n v="18105478.890000001"/>
    <n v="6401895.5"/>
    <n v="11703583.4"/>
    <n v="1.69"/>
    <n v="4.33"/>
  </r>
  <r>
    <x v="1182"/>
    <x v="1"/>
    <x v="6"/>
    <x v="2"/>
    <n v="322"/>
    <n v="16475838.58"/>
    <n v="5809101.5499999998"/>
    <n v="10666737.02"/>
    <n v="4.7699999999999996"/>
    <n v="4.92"/>
  </r>
  <r>
    <x v="1183"/>
    <x v="1"/>
    <x v="7"/>
    <x v="0"/>
    <n v="377"/>
    <n v="17498361.309999999"/>
    <n v="6165909.29"/>
    <n v="11332452.029999999"/>
    <n v="4.59"/>
    <n v="4.2"/>
  </r>
  <r>
    <x v="882"/>
    <x v="1"/>
    <x v="6"/>
    <x v="1"/>
    <n v="205"/>
    <n v="15750490.369999999"/>
    <n v="5813530.5499999998"/>
    <n v="9936959.8200000003"/>
    <n v="2.69"/>
    <n v="4.1399999999999997"/>
  </r>
  <r>
    <x v="149"/>
    <x v="1"/>
    <x v="5"/>
    <x v="1"/>
    <n v="450"/>
    <n v="33176060.969999999"/>
    <n v="7065359.1500000004"/>
    <n v="26110701.809999999"/>
    <n v="2.19"/>
    <n v="4.5599999999999996"/>
  </r>
  <r>
    <x v="1148"/>
    <x v="1"/>
    <x v="8"/>
    <x v="0"/>
    <n v="387"/>
    <n v="17178527.510000002"/>
    <n v="6766746.75"/>
    <n v="10411780.76"/>
    <n v="1.42"/>
    <n v="4.01"/>
  </r>
  <r>
    <x v="35"/>
    <x v="1"/>
    <x v="5"/>
    <x v="2"/>
    <n v="473"/>
    <n v="22453671.91"/>
    <n v="5972530.6100000003"/>
    <n v="16481141.300000001"/>
    <n v="2.61"/>
    <n v="4.66"/>
  </r>
  <r>
    <x v="626"/>
    <x v="1"/>
    <x v="7"/>
    <x v="1"/>
    <n v="102"/>
    <n v="3851863.29"/>
    <n v="1513850.41"/>
    <n v="2338012.88"/>
    <n v="2.98"/>
    <n v="4.16"/>
  </r>
  <r>
    <x v="1184"/>
    <x v="1"/>
    <x v="5"/>
    <x v="1"/>
    <n v="231"/>
    <n v="20744240.32"/>
    <n v="4995182.3600000003"/>
    <n v="15749057.960000001"/>
    <n v="3.89"/>
    <n v="3.82"/>
  </r>
  <r>
    <x v="1185"/>
    <x v="1"/>
    <x v="9"/>
    <x v="1"/>
    <n v="337"/>
    <n v="12714602.41"/>
    <n v="3243245.14"/>
    <n v="9471357.2699999996"/>
    <n v="1"/>
    <n v="4.41"/>
  </r>
  <r>
    <x v="517"/>
    <x v="1"/>
    <x v="9"/>
    <x v="1"/>
    <n v="121"/>
    <n v="10373355.609999999"/>
    <n v="2706149.87"/>
    <n v="7667205.7400000002"/>
    <n v="3.25"/>
    <n v="3.8"/>
  </r>
  <r>
    <x v="309"/>
    <x v="1"/>
    <x v="6"/>
    <x v="2"/>
    <n v="420"/>
    <n v="32042778.899999999"/>
    <n v="12012925.630000001"/>
    <n v="20029853.27"/>
    <n v="3.98"/>
    <n v="3.86"/>
  </r>
  <r>
    <x v="174"/>
    <x v="1"/>
    <x v="5"/>
    <x v="1"/>
    <n v="270"/>
    <n v="22168927.030000001"/>
    <n v="5165067.6100000003"/>
    <n v="17003859.420000002"/>
    <n v="4.67"/>
    <n v="4.05"/>
  </r>
  <r>
    <x v="1186"/>
    <x v="1"/>
    <x v="6"/>
    <x v="0"/>
    <n v="151"/>
    <n v="5444086.3099999996"/>
    <n v="1277336.6499999999"/>
    <n v="4166749.66"/>
    <n v="2.86"/>
    <n v="4.66"/>
  </r>
  <r>
    <x v="573"/>
    <x v="1"/>
    <x v="5"/>
    <x v="2"/>
    <n v="276"/>
    <n v="16014079.09"/>
    <n v="5468755.4000000004"/>
    <n v="10545323.689999999"/>
    <n v="1.99"/>
    <n v="3.94"/>
  </r>
  <r>
    <x v="548"/>
    <x v="1"/>
    <x v="8"/>
    <x v="2"/>
    <n v="153"/>
    <n v="13207920.810000001"/>
    <n v="4581837.22"/>
    <n v="8626083.5899999999"/>
    <n v="3.25"/>
    <n v="4.5199999999999996"/>
  </r>
  <r>
    <x v="253"/>
    <x v="1"/>
    <x v="6"/>
    <x v="0"/>
    <n v="77"/>
    <n v="6286742.6100000003"/>
    <n v="1323784.98"/>
    <n v="4962957.63"/>
    <n v="4.4800000000000004"/>
    <n v="4.6100000000000003"/>
  </r>
  <r>
    <x v="218"/>
    <x v="1"/>
    <x v="8"/>
    <x v="0"/>
    <n v="267"/>
    <n v="22751391.809999999"/>
    <n v="7554507.54"/>
    <n v="15196884.26"/>
    <n v="2.5499999999999998"/>
    <n v="4.5199999999999996"/>
  </r>
  <r>
    <x v="1187"/>
    <x v="1"/>
    <x v="7"/>
    <x v="0"/>
    <n v="154"/>
    <n v="8328124.2199999997"/>
    <n v="2605628.9"/>
    <n v="5722495.3200000003"/>
    <n v="4.08"/>
    <n v="3.92"/>
  </r>
  <r>
    <x v="507"/>
    <x v="1"/>
    <x v="9"/>
    <x v="2"/>
    <n v="287"/>
    <n v="11291058.48"/>
    <n v="3516491.46"/>
    <n v="7774567.0199999996"/>
    <n v="1.67"/>
    <n v="4.0199999999999996"/>
  </r>
  <r>
    <x v="1188"/>
    <x v="1"/>
    <x v="6"/>
    <x v="0"/>
    <n v="345"/>
    <n v="22340530.010000002"/>
    <n v="4535816.82"/>
    <n v="17804713.18"/>
    <n v="4.7300000000000004"/>
    <n v="4.18"/>
  </r>
  <r>
    <x v="1028"/>
    <x v="1"/>
    <x v="5"/>
    <x v="2"/>
    <n v="471"/>
    <n v="18086148.170000002"/>
    <n v="6900370.0300000003"/>
    <n v="11185778.140000001"/>
    <n v="1.23"/>
    <n v="4.3899999999999997"/>
  </r>
  <r>
    <x v="881"/>
    <x v="1"/>
    <x v="5"/>
    <x v="1"/>
    <n v="424"/>
    <n v="37415541.219999999"/>
    <n v="11623403.32"/>
    <n v="25792137.890000001"/>
    <n v="2.76"/>
    <n v="3.87"/>
  </r>
  <r>
    <x v="24"/>
    <x v="1"/>
    <x v="8"/>
    <x v="2"/>
    <n v="167"/>
    <n v="11924676.720000001"/>
    <n v="2978361.78"/>
    <n v="8946314.9299999997"/>
    <n v="3.89"/>
    <n v="4.37"/>
  </r>
  <r>
    <x v="1090"/>
    <x v="1"/>
    <x v="6"/>
    <x v="2"/>
    <n v="372"/>
    <n v="19040697.43"/>
    <n v="7179116.2599999998"/>
    <n v="11861581.17"/>
    <n v="4.74"/>
    <n v="4.68"/>
  </r>
  <r>
    <x v="228"/>
    <x v="1"/>
    <x v="9"/>
    <x v="2"/>
    <n v="212"/>
    <n v="9897135.25"/>
    <n v="2645457.5499999998"/>
    <n v="7251677.7000000002"/>
    <n v="2.35"/>
    <n v="4.0999999999999996"/>
  </r>
  <r>
    <x v="1189"/>
    <x v="1"/>
    <x v="7"/>
    <x v="1"/>
    <n v="400"/>
    <n v="21848911.66"/>
    <n v="5429609.9100000001"/>
    <n v="16419301.74"/>
    <n v="1.83"/>
    <n v="3.95"/>
  </r>
  <r>
    <x v="637"/>
    <x v="1"/>
    <x v="8"/>
    <x v="2"/>
    <n v="417"/>
    <n v="20824907.010000002"/>
    <n v="7536076.4000000004"/>
    <n v="13288830.619999999"/>
    <n v="1.33"/>
    <n v="4.01"/>
  </r>
  <r>
    <x v="1190"/>
    <x v="1"/>
    <x v="6"/>
    <x v="2"/>
    <n v="389"/>
    <n v="31393157.510000002"/>
    <n v="11804511.01"/>
    <n v="19588646.510000002"/>
    <n v="3.81"/>
    <n v="4.3"/>
  </r>
  <r>
    <x v="546"/>
    <x v="1"/>
    <x v="9"/>
    <x v="1"/>
    <n v="343"/>
    <n v="24873819.390000001"/>
    <n v="5224001.2"/>
    <n v="19649818.190000001"/>
    <n v="1.1200000000000001"/>
    <n v="4.5999999999999996"/>
  </r>
  <r>
    <x v="1191"/>
    <x v="1"/>
    <x v="5"/>
    <x v="2"/>
    <n v="74"/>
    <n v="3259130.5"/>
    <n v="1227660.31"/>
    <n v="2031470.19"/>
    <n v="2.96"/>
    <n v="4.8499999999999996"/>
  </r>
  <r>
    <x v="1037"/>
    <x v="1"/>
    <x v="9"/>
    <x v="2"/>
    <n v="161"/>
    <n v="7564581.6100000003"/>
    <n v="3002871.29"/>
    <n v="4561710.32"/>
    <n v="3.12"/>
    <n v="3.66"/>
  </r>
  <r>
    <x v="418"/>
    <x v="1"/>
    <x v="5"/>
    <x v="2"/>
    <n v="276"/>
    <n v="18261067.829999998"/>
    <n v="4904811.43"/>
    <n v="13356256.4"/>
    <n v="4.54"/>
    <n v="4.0999999999999996"/>
  </r>
  <r>
    <x v="1192"/>
    <x v="1"/>
    <x v="7"/>
    <x v="0"/>
    <n v="394"/>
    <n v="34217424.359999999"/>
    <n v="13120780.6"/>
    <n v="21096643.77"/>
    <n v="1.64"/>
    <n v="4.67"/>
  </r>
  <r>
    <x v="1110"/>
    <x v="1"/>
    <x v="6"/>
    <x v="2"/>
    <n v="427"/>
    <n v="28492495.600000001"/>
    <n v="8752998.9399999995"/>
    <n v="19739496.66"/>
    <n v="1.03"/>
    <n v="4.97"/>
  </r>
  <r>
    <x v="1045"/>
    <x v="1"/>
    <x v="6"/>
    <x v="1"/>
    <n v="398"/>
    <n v="18883165.239999998"/>
    <n v="4170543.57"/>
    <n v="14712621.67"/>
    <n v="4.03"/>
    <n v="4.55"/>
  </r>
  <r>
    <x v="1193"/>
    <x v="1"/>
    <x v="7"/>
    <x v="2"/>
    <n v="356"/>
    <n v="25357691.370000001"/>
    <n v="7443537.9299999997"/>
    <n v="17914153.440000001"/>
    <n v="0.96"/>
    <n v="3.76"/>
  </r>
  <r>
    <x v="1194"/>
    <x v="1"/>
    <x v="7"/>
    <x v="0"/>
    <n v="428"/>
    <n v="32591705.850000001"/>
    <n v="9378226.3499999996"/>
    <n v="23213479.510000002"/>
    <n v="1.61"/>
    <n v="4.1399999999999997"/>
  </r>
  <r>
    <x v="274"/>
    <x v="1"/>
    <x v="7"/>
    <x v="0"/>
    <n v="143"/>
    <n v="7047311.1500000004"/>
    <n v="1452135.63"/>
    <n v="5595175.5199999996"/>
    <n v="2.44"/>
    <n v="4.0199999999999996"/>
  </r>
  <r>
    <x v="36"/>
    <x v="1"/>
    <x v="5"/>
    <x v="0"/>
    <n v="296"/>
    <n v="12243617.460000001"/>
    <n v="4830719.24"/>
    <n v="7412898.2199999997"/>
    <n v="2.86"/>
    <n v="3.83"/>
  </r>
  <r>
    <x v="1094"/>
    <x v="1"/>
    <x v="7"/>
    <x v="2"/>
    <n v="150"/>
    <n v="10315255.029999999"/>
    <n v="3604442.82"/>
    <n v="6710812.21"/>
    <n v="3.1"/>
    <n v="4.04"/>
  </r>
  <r>
    <x v="1195"/>
    <x v="1"/>
    <x v="5"/>
    <x v="0"/>
    <n v="454"/>
    <n v="34497132"/>
    <n v="13271461.6"/>
    <n v="21225670.390000001"/>
    <n v="4.53"/>
    <n v="4.6900000000000004"/>
  </r>
  <r>
    <x v="677"/>
    <x v="1"/>
    <x v="6"/>
    <x v="2"/>
    <n v="239"/>
    <n v="18956117.440000001"/>
    <n v="6338245.21"/>
    <n v="12617872.23"/>
    <n v="1.44"/>
    <n v="3.63"/>
  </r>
  <r>
    <x v="1196"/>
    <x v="1"/>
    <x v="7"/>
    <x v="2"/>
    <n v="386"/>
    <n v="21117444.760000002"/>
    <n v="4591386.75"/>
    <n v="16526058.01"/>
    <n v="3.05"/>
    <n v="3.77"/>
  </r>
  <r>
    <x v="687"/>
    <x v="1"/>
    <x v="5"/>
    <x v="0"/>
    <n v="121"/>
    <n v="9614940.1899999995"/>
    <n v="2262157.73"/>
    <n v="7352782.4699999997"/>
    <n v="2.23"/>
    <n v="4.1900000000000004"/>
  </r>
  <r>
    <x v="1066"/>
    <x v="1"/>
    <x v="9"/>
    <x v="1"/>
    <n v="294"/>
    <n v="13592670.09"/>
    <n v="5391515.4500000002"/>
    <n v="8201154.6399999997"/>
    <n v="3.56"/>
    <n v="3.61"/>
  </r>
  <r>
    <x v="1098"/>
    <x v="1"/>
    <x v="7"/>
    <x v="1"/>
    <n v="456"/>
    <n v="29291829.59"/>
    <n v="11525403.109999999"/>
    <n v="17766426.48"/>
    <n v="2.64"/>
    <n v="4.1100000000000003"/>
  </r>
  <r>
    <x v="708"/>
    <x v="1"/>
    <x v="8"/>
    <x v="1"/>
    <n v="247"/>
    <n v="17531765.699999999"/>
    <n v="4841435.55"/>
    <n v="12690330.140000001"/>
    <n v="1.99"/>
    <n v="4.8899999999999997"/>
  </r>
  <r>
    <x v="32"/>
    <x v="1"/>
    <x v="6"/>
    <x v="1"/>
    <n v="62"/>
    <n v="2933780.48"/>
    <n v="1033193.85"/>
    <n v="1900586.64"/>
    <n v="2.81"/>
    <n v="4.66"/>
  </r>
  <r>
    <x v="189"/>
    <x v="1"/>
    <x v="9"/>
    <x v="0"/>
    <n v="288"/>
    <n v="20562559.280000001"/>
    <n v="7909170.2699999996"/>
    <n v="12653389.02"/>
    <n v="2.1"/>
    <n v="4.33"/>
  </r>
  <r>
    <x v="677"/>
    <x v="1"/>
    <x v="9"/>
    <x v="2"/>
    <n v="465"/>
    <n v="40320185.119999997"/>
    <n v="15750791.26"/>
    <n v="24569393.859999999"/>
    <n v="1.94"/>
    <n v="4.16"/>
  </r>
  <r>
    <x v="1197"/>
    <x v="1"/>
    <x v="9"/>
    <x v="2"/>
    <n v="376"/>
    <n v="18440356.210000001"/>
    <n v="6985670.46"/>
    <n v="11454685.75"/>
    <n v="2.1"/>
    <n v="4.12"/>
  </r>
  <r>
    <x v="625"/>
    <x v="1"/>
    <x v="9"/>
    <x v="0"/>
    <n v="363"/>
    <n v="23441836.289999999"/>
    <n v="8072901.8600000003"/>
    <n v="15368934.439999999"/>
    <n v="1.48"/>
    <n v="3.93"/>
  </r>
  <r>
    <x v="1056"/>
    <x v="1"/>
    <x v="9"/>
    <x v="0"/>
    <n v="345"/>
    <n v="15050521.08"/>
    <n v="3529942.74"/>
    <n v="11520578.34"/>
    <n v="0.69"/>
    <n v="4.13"/>
  </r>
  <r>
    <x v="1198"/>
    <x v="1"/>
    <x v="8"/>
    <x v="1"/>
    <n v="333"/>
    <n v="21147228.170000002"/>
    <n v="5455499.4699999997"/>
    <n v="15691728.699999999"/>
    <n v="0.93"/>
    <n v="3.98"/>
  </r>
  <r>
    <x v="253"/>
    <x v="1"/>
    <x v="8"/>
    <x v="2"/>
    <n v="320"/>
    <n v="24074159.93"/>
    <n v="5016486.74"/>
    <n v="19057673.190000001"/>
    <n v="1.49"/>
    <n v="4.83"/>
  </r>
  <r>
    <x v="208"/>
    <x v="1"/>
    <x v="7"/>
    <x v="0"/>
    <n v="413"/>
    <n v="35271492.670000002"/>
    <n v="9626194.5"/>
    <n v="25645298.170000002"/>
    <n v="3.33"/>
    <n v="4.0999999999999996"/>
  </r>
  <r>
    <x v="446"/>
    <x v="1"/>
    <x v="8"/>
    <x v="0"/>
    <n v="279"/>
    <n v="17917706.710000001"/>
    <n v="4739455.3499999996"/>
    <n v="13178251.359999999"/>
    <n v="2.4300000000000002"/>
    <n v="4.5999999999999996"/>
  </r>
  <r>
    <x v="820"/>
    <x v="1"/>
    <x v="6"/>
    <x v="2"/>
    <n v="220"/>
    <n v="18512494.5"/>
    <n v="4968549.95"/>
    <n v="13543944.550000001"/>
    <n v="0.54"/>
    <n v="4.91"/>
  </r>
  <r>
    <x v="1088"/>
    <x v="1"/>
    <x v="6"/>
    <x v="2"/>
    <n v="157"/>
    <n v="8768014.5899999999"/>
    <n v="1902552.67"/>
    <n v="6865461.9299999997"/>
    <n v="1.63"/>
    <n v="4.7699999999999996"/>
  </r>
  <r>
    <x v="693"/>
    <x v="1"/>
    <x v="8"/>
    <x v="1"/>
    <n v="473"/>
    <n v="30797470.809999999"/>
    <n v="10628917.949999999"/>
    <n v="20168552.859999999"/>
    <n v="4.5599999999999996"/>
    <n v="3.82"/>
  </r>
  <r>
    <x v="1199"/>
    <x v="1"/>
    <x v="5"/>
    <x v="0"/>
    <n v="425"/>
    <n v="15792922.560000001"/>
    <n v="5458038.4400000004"/>
    <n v="10334884.119999999"/>
    <n v="0.53"/>
    <n v="4.97"/>
  </r>
  <r>
    <x v="79"/>
    <x v="1"/>
    <x v="6"/>
    <x v="1"/>
    <n v="437"/>
    <n v="23090651.489999998"/>
    <n v="8156094.0899999999"/>
    <n v="14934557.4"/>
    <n v="1.45"/>
    <n v="4.79"/>
  </r>
  <r>
    <x v="1200"/>
    <x v="1"/>
    <x v="9"/>
    <x v="1"/>
    <n v="340"/>
    <n v="29604341.780000001"/>
    <n v="9472132.5099999998"/>
    <n v="20132209.260000002"/>
    <n v="4.0199999999999996"/>
    <n v="3.9"/>
  </r>
  <r>
    <x v="1201"/>
    <x v="1"/>
    <x v="5"/>
    <x v="0"/>
    <n v="300"/>
    <n v="23373122.93"/>
    <n v="4685737"/>
    <n v="18687385.93"/>
    <n v="1.36"/>
    <n v="4.1900000000000004"/>
  </r>
  <r>
    <x v="1202"/>
    <x v="1"/>
    <x v="8"/>
    <x v="2"/>
    <n v="67"/>
    <n v="2788628.23"/>
    <n v="592009.16"/>
    <n v="2196619.0699999998"/>
    <n v="1.32"/>
    <n v="4.43"/>
  </r>
  <r>
    <x v="964"/>
    <x v="1"/>
    <x v="8"/>
    <x v="1"/>
    <n v="224"/>
    <n v="13012535.960000001"/>
    <n v="3911840.22"/>
    <n v="9100695.7300000004"/>
    <n v="4.63"/>
    <n v="4.66"/>
  </r>
  <r>
    <x v="645"/>
    <x v="1"/>
    <x v="6"/>
    <x v="2"/>
    <n v="286"/>
    <n v="18904056.09"/>
    <n v="5889550.0700000003"/>
    <n v="13014506.02"/>
    <n v="4.09"/>
    <n v="4.59"/>
  </r>
  <r>
    <x v="1019"/>
    <x v="1"/>
    <x v="7"/>
    <x v="2"/>
    <n v="363"/>
    <n v="19503977.640000001"/>
    <n v="4661592.1399999997"/>
    <n v="14842385.5"/>
    <n v="0.74"/>
    <n v="3.74"/>
  </r>
  <r>
    <x v="1203"/>
    <x v="1"/>
    <x v="7"/>
    <x v="2"/>
    <n v="97"/>
    <n v="4264706.97"/>
    <n v="1506454.14"/>
    <n v="2758252.83"/>
    <n v="0.61"/>
    <n v="4.75"/>
  </r>
  <r>
    <x v="869"/>
    <x v="1"/>
    <x v="5"/>
    <x v="2"/>
    <n v="222"/>
    <n v="11489194.76"/>
    <n v="3987863.19"/>
    <n v="7501331.5800000001"/>
    <n v="1.76"/>
    <n v="3.92"/>
  </r>
  <r>
    <x v="70"/>
    <x v="1"/>
    <x v="8"/>
    <x v="1"/>
    <n v="170"/>
    <n v="9873516.0299999993"/>
    <n v="3849442.05"/>
    <n v="6024073.9800000004"/>
    <n v="0.68"/>
    <n v="4.3600000000000003"/>
  </r>
  <r>
    <x v="1074"/>
    <x v="1"/>
    <x v="5"/>
    <x v="1"/>
    <n v="67"/>
    <n v="5506564.5099999998"/>
    <n v="1397392.79"/>
    <n v="4109171.72"/>
    <n v="4.76"/>
    <n v="4.67"/>
  </r>
  <r>
    <x v="445"/>
    <x v="1"/>
    <x v="9"/>
    <x v="1"/>
    <n v="480"/>
    <n v="23343856.670000002"/>
    <n v="6080064.7699999996"/>
    <n v="17263791.899999999"/>
    <n v="2.14"/>
    <n v="4.3499999999999996"/>
  </r>
  <r>
    <x v="1198"/>
    <x v="1"/>
    <x v="7"/>
    <x v="0"/>
    <n v="295"/>
    <n v="19154623.300000001"/>
    <n v="6607428.75"/>
    <n v="12547194.550000001"/>
    <n v="3.69"/>
    <n v="3.91"/>
  </r>
  <r>
    <x v="82"/>
    <x v="1"/>
    <x v="8"/>
    <x v="1"/>
    <n v="312"/>
    <n v="13184524.880000001"/>
    <n v="3920594.93"/>
    <n v="9263929.9600000009"/>
    <n v="1.38"/>
    <n v="3.64"/>
  </r>
  <r>
    <x v="1204"/>
    <x v="1"/>
    <x v="8"/>
    <x v="0"/>
    <n v="190"/>
    <n v="15348198.99"/>
    <n v="3666227.96"/>
    <n v="11681971.029999999"/>
    <n v="1.51"/>
    <n v="3.84"/>
  </r>
  <r>
    <x v="1205"/>
    <x v="1"/>
    <x v="6"/>
    <x v="2"/>
    <n v="57"/>
    <n v="4911799.05"/>
    <n v="1871040.88"/>
    <n v="3040758.16"/>
    <n v="2.5299999999999998"/>
    <n v="4.01"/>
  </r>
  <r>
    <x v="1206"/>
    <x v="1"/>
    <x v="8"/>
    <x v="0"/>
    <n v="125"/>
    <n v="6350371.1799999997"/>
    <n v="2184850.3199999998"/>
    <n v="4165520.85"/>
    <n v="1.99"/>
    <n v="4.49"/>
  </r>
  <r>
    <x v="1207"/>
    <x v="1"/>
    <x v="7"/>
    <x v="1"/>
    <n v="229"/>
    <n v="14218483.119999999"/>
    <n v="4430174.97"/>
    <n v="9788308.1500000004"/>
    <n v="2"/>
    <n v="4.09"/>
  </r>
  <r>
    <x v="137"/>
    <x v="1"/>
    <x v="6"/>
    <x v="2"/>
    <n v="479"/>
    <n v="31327524.59"/>
    <n v="11176091.09"/>
    <n v="20151433.5"/>
    <n v="1.44"/>
    <n v="3.94"/>
  </r>
  <r>
    <x v="1208"/>
    <x v="1"/>
    <x v="5"/>
    <x v="1"/>
    <n v="360"/>
    <n v="15647218.109999999"/>
    <n v="5791819.4400000004"/>
    <n v="9855398.6699999999"/>
    <n v="1.71"/>
    <n v="4.04"/>
  </r>
  <r>
    <x v="971"/>
    <x v="1"/>
    <x v="9"/>
    <x v="0"/>
    <n v="455"/>
    <n v="19067278.609999999"/>
    <n v="6973685.71"/>
    <n v="12093592.9"/>
    <n v="4.22"/>
    <n v="4.38"/>
  </r>
  <r>
    <x v="538"/>
    <x v="1"/>
    <x v="6"/>
    <x v="0"/>
    <n v="324"/>
    <n v="23763456.989999998"/>
    <n v="8586044.3100000005"/>
    <n v="15177412.689999999"/>
    <n v="3.39"/>
    <n v="3.89"/>
  </r>
  <r>
    <x v="266"/>
    <x v="1"/>
    <x v="9"/>
    <x v="1"/>
    <n v="71"/>
    <n v="3802199.28"/>
    <n v="1283689.47"/>
    <n v="2518509.81"/>
    <n v="1.05"/>
    <n v="3.67"/>
  </r>
  <r>
    <x v="1209"/>
    <x v="1"/>
    <x v="6"/>
    <x v="1"/>
    <n v="87"/>
    <n v="4195943.6399999997"/>
    <n v="1114120.51"/>
    <n v="3081823.12"/>
    <n v="4.22"/>
    <n v="4.51"/>
  </r>
  <r>
    <x v="871"/>
    <x v="1"/>
    <x v="5"/>
    <x v="1"/>
    <n v="437"/>
    <n v="17832892.809999999"/>
    <n v="6971610.2199999997"/>
    <n v="10861282.59"/>
    <n v="3.45"/>
    <n v="4.3"/>
  </r>
  <r>
    <x v="688"/>
    <x v="1"/>
    <x v="7"/>
    <x v="2"/>
    <n v="327"/>
    <n v="23517805.789999999"/>
    <n v="8134131.9800000004"/>
    <n v="15383673.810000001"/>
    <n v="0.87"/>
    <n v="4.99"/>
  </r>
  <r>
    <x v="1083"/>
    <x v="1"/>
    <x v="9"/>
    <x v="2"/>
    <n v="155"/>
    <n v="9726877.1799999997"/>
    <n v="3662596.96"/>
    <n v="6064280.2300000004"/>
    <n v="1.26"/>
    <n v="4.03"/>
  </r>
  <r>
    <x v="1210"/>
    <x v="1"/>
    <x v="8"/>
    <x v="0"/>
    <n v="212"/>
    <n v="14157230.210000001"/>
    <n v="3210572.29"/>
    <n v="10946657.92"/>
    <n v="1.8"/>
    <n v="4.2"/>
  </r>
  <r>
    <x v="742"/>
    <x v="1"/>
    <x v="8"/>
    <x v="0"/>
    <n v="371"/>
    <n v="21848146.370000001"/>
    <n v="6788472.8600000003"/>
    <n v="15059673.51"/>
    <n v="3.28"/>
    <n v="4.5"/>
  </r>
  <r>
    <x v="914"/>
    <x v="1"/>
    <x v="7"/>
    <x v="0"/>
    <n v="401"/>
    <n v="32794421.219999999"/>
    <n v="11795967.18"/>
    <n v="20998454.030000001"/>
    <n v="4.7"/>
    <n v="4.53"/>
  </r>
  <r>
    <x v="1144"/>
    <x v="1"/>
    <x v="6"/>
    <x v="1"/>
    <n v="178"/>
    <n v="7494617.8200000003"/>
    <n v="2848634.51"/>
    <n v="4645983.3099999996"/>
    <n v="3.21"/>
    <n v="4.29"/>
  </r>
  <r>
    <x v="1211"/>
    <x v="1"/>
    <x v="8"/>
    <x v="2"/>
    <n v="445"/>
    <n v="16557398.58"/>
    <n v="3676029.34"/>
    <n v="12881369.24"/>
    <n v="4.96"/>
    <n v="3.94"/>
  </r>
  <r>
    <x v="571"/>
    <x v="1"/>
    <x v="5"/>
    <x v="0"/>
    <n v="230"/>
    <n v="17731846.550000001"/>
    <n v="6195413.7699999996"/>
    <n v="11536432.779999999"/>
    <n v="4.4000000000000004"/>
    <n v="3.65"/>
  </r>
  <r>
    <x v="293"/>
    <x v="1"/>
    <x v="7"/>
    <x v="1"/>
    <n v="459"/>
    <n v="23331301.140000001"/>
    <n v="8897291.6099999994"/>
    <n v="14434009.529999999"/>
    <n v="4.84"/>
    <n v="3.7"/>
  </r>
  <r>
    <x v="1004"/>
    <x v="1"/>
    <x v="7"/>
    <x v="0"/>
    <n v="244"/>
    <n v="17618411.920000002"/>
    <n v="4953445.3099999996"/>
    <n v="12664966.609999999"/>
    <n v="3.21"/>
    <n v="4.5199999999999996"/>
  </r>
  <r>
    <x v="175"/>
    <x v="1"/>
    <x v="7"/>
    <x v="0"/>
    <n v="365"/>
    <n v="12802026.390000001"/>
    <n v="4152719.35"/>
    <n v="8649307.0399999991"/>
    <n v="1.1499999999999999"/>
    <n v="3.53"/>
  </r>
  <r>
    <x v="1212"/>
    <x v="1"/>
    <x v="9"/>
    <x v="2"/>
    <n v="315"/>
    <n v="23020038.350000001"/>
    <n v="8133749.2400000002"/>
    <n v="14886289.119999999"/>
    <n v="3.31"/>
    <n v="4.62"/>
  </r>
  <r>
    <x v="657"/>
    <x v="1"/>
    <x v="8"/>
    <x v="0"/>
    <n v="91"/>
    <n v="4441655.92"/>
    <n v="1198869.3400000001"/>
    <n v="3242786.58"/>
    <n v="1.46"/>
    <n v="3.68"/>
  </r>
  <r>
    <x v="220"/>
    <x v="1"/>
    <x v="8"/>
    <x v="2"/>
    <n v="291"/>
    <n v="10905174.119999999"/>
    <n v="2760860.19"/>
    <n v="8144313.9400000004"/>
    <n v="2.04"/>
    <n v="4.22"/>
  </r>
  <r>
    <x v="1167"/>
    <x v="1"/>
    <x v="5"/>
    <x v="1"/>
    <n v="371"/>
    <n v="21379098.129999999"/>
    <n v="8011233.71"/>
    <n v="13367864.42"/>
    <n v="0.63"/>
    <n v="4.43"/>
  </r>
  <r>
    <x v="523"/>
    <x v="1"/>
    <x v="5"/>
    <x v="0"/>
    <n v="275"/>
    <n v="22360486.879999999"/>
    <n v="6785453.0999999996"/>
    <n v="15575033.779999999"/>
    <n v="4"/>
    <n v="4.51"/>
  </r>
  <r>
    <x v="1213"/>
    <x v="1"/>
    <x v="7"/>
    <x v="1"/>
    <n v="213"/>
    <n v="9500991.7799999993"/>
    <n v="3238067.16"/>
    <n v="6262924.6299999999"/>
    <n v="3.49"/>
    <n v="4.95"/>
  </r>
  <r>
    <x v="182"/>
    <x v="1"/>
    <x v="7"/>
    <x v="1"/>
    <n v="334"/>
    <n v="26495832.41"/>
    <n v="7461137.1500000004"/>
    <n v="19034695.260000002"/>
    <n v="1.25"/>
    <n v="3.54"/>
  </r>
  <r>
    <x v="1214"/>
    <x v="1"/>
    <x v="9"/>
    <x v="2"/>
    <n v="454"/>
    <n v="17622770.329999998"/>
    <n v="6732332.3099999996"/>
    <n v="10890438.02"/>
    <n v="3.2"/>
    <n v="4.01"/>
  </r>
  <r>
    <x v="1215"/>
    <x v="1"/>
    <x v="7"/>
    <x v="1"/>
    <n v="177"/>
    <n v="14596393.060000001"/>
    <n v="5398658.4699999997"/>
    <n v="9197734.5999999996"/>
    <n v="4.33"/>
    <n v="4.99"/>
  </r>
  <r>
    <x v="709"/>
    <x v="1"/>
    <x v="7"/>
    <x v="1"/>
    <n v="71"/>
    <n v="4536961.55"/>
    <n v="1181576.52"/>
    <n v="3355385.03"/>
    <n v="4.55"/>
    <n v="4.6900000000000004"/>
  </r>
  <r>
    <x v="64"/>
    <x v="1"/>
    <x v="6"/>
    <x v="1"/>
    <n v="466"/>
    <n v="37775915.280000001"/>
    <n v="10467813.58"/>
    <n v="27308101.699999999"/>
    <n v="3.12"/>
    <n v="3.88"/>
  </r>
  <r>
    <x v="1216"/>
    <x v="1"/>
    <x v="5"/>
    <x v="0"/>
    <n v="414"/>
    <n v="20682405.32"/>
    <n v="7371658.5599999996"/>
    <n v="13310746.76"/>
    <n v="3.48"/>
    <n v="4.45"/>
  </r>
  <r>
    <x v="451"/>
    <x v="1"/>
    <x v="8"/>
    <x v="0"/>
    <n v="280"/>
    <n v="10050149.029999999"/>
    <n v="2555194"/>
    <n v="7494955.0300000003"/>
    <n v="1.96"/>
    <n v="4.5"/>
  </r>
  <r>
    <x v="994"/>
    <x v="1"/>
    <x v="8"/>
    <x v="0"/>
    <n v="191"/>
    <n v="8023016.3200000003"/>
    <n v="3006591.45"/>
    <n v="5016424.87"/>
    <n v="4.16"/>
    <n v="4.8899999999999997"/>
  </r>
  <r>
    <x v="809"/>
    <x v="1"/>
    <x v="5"/>
    <x v="0"/>
    <n v="359"/>
    <n v="30698759.469999999"/>
    <n v="8289966.4000000004"/>
    <n v="22408793.07"/>
    <n v="0.97"/>
    <n v="4.0999999999999996"/>
  </r>
  <r>
    <x v="781"/>
    <x v="1"/>
    <x v="8"/>
    <x v="0"/>
    <n v="153"/>
    <n v="7780637.0199999996"/>
    <n v="2647310.6"/>
    <n v="5133326.43"/>
    <n v="4.51"/>
    <n v="3.52"/>
  </r>
  <r>
    <x v="442"/>
    <x v="1"/>
    <x v="8"/>
    <x v="1"/>
    <n v="404"/>
    <n v="22063567.030000001"/>
    <n v="7702473.6299999999"/>
    <n v="14361093.4"/>
    <n v="0.56000000000000005"/>
    <n v="4.3099999999999996"/>
  </r>
  <r>
    <x v="229"/>
    <x v="1"/>
    <x v="6"/>
    <x v="0"/>
    <n v="473"/>
    <n v="39822930.170000002"/>
    <n v="9369487.8699999992"/>
    <n v="30453442.300000001"/>
    <n v="4.54"/>
    <n v="4.33"/>
  </r>
  <r>
    <x v="1097"/>
    <x v="1"/>
    <x v="7"/>
    <x v="0"/>
    <n v="458"/>
    <n v="25704034.059999999"/>
    <n v="6856459.2599999998"/>
    <n v="18847574.800000001"/>
    <n v="4.95"/>
    <n v="3.84"/>
  </r>
  <r>
    <x v="834"/>
    <x v="1"/>
    <x v="6"/>
    <x v="1"/>
    <n v="121"/>
    <n v="4866993.91"/>
    <n v="1640256.33"/>
    <n v="3226737.57"/>
    <n v="0.93"/>
    <n v="3.77"/>
  </r>
  <r>
    <x v="218"/>
    <x v="1"/>
    <x v="8"/>
    <x v="0"/>
    <n v="103"/>
    <n v="6120846.6500000004"/>
    <n v="1797237.56"/>
    <n v="4323609.09"/>
    <n v="4.43"/>
    <n v="4.99"/>
  </r>
  <r>
    <x v="1156"/>
    <x v="1"/>
    <x v="8"/>
    <x v="0"/>
    <n v="95"/>
    <n v="5748429.4500000002"/>
    <n v="1931440.89"/>
    <n v="3816988.56"/>
    <n v="2.64"/>
    <n v="3.98"/>
  </r>
  <r>
    <x v="1217"/>
    <x v="1"/>
    <x v="6"/>
    <x v="1"/>
    <n v="243"/>
    <n v="17493059.57"/>
    <n v="4610499.8600000003"/>
    <n v="12882559.710000001"/>
    <n v="1.92"/>
    <n v="3.7"/>
  </r>
  <r>
    <x v="239"/>
    <x v="1"/>
    <x v="9"/>
    <x v="0"/>
    <n v="180"/>
    <n v="13611208.199999999"/>
    <n v="3629790.49"/>
    <n v="9981417.6999999993"/>
    <n v="1.04"/>
    <n v="4.3600000000000003"/>
  </r>
  <r>
    <x v="1218"/>
    <x v="1"/>
    <x v="5"/>
    <x v="2"/>
    <n v="325"/>
    <n v="24843313.98"/>
    <n v="5600381.46"/>
    <n v="19242932.52"/>
    <n v="2.75"/>
    <n v="4.5999999999999996"/>
  </r>
  <r>
    <x v="62"/>
    <x v="1"/>
    <x v="8"/>
    <x v="0"/>
    <n v="222"/>
    <n v="17298047.399999999"/>
    <n v="4588474.0599999996"/>
    <n v="12709573.35"/>
    <n v="3.95"/>
    <n v="3.96"/>
  </r>
  <r>
    <x v="1219"/>
    <x v="1"/>
    <x v="6"/>
    <x v="2"/>
    <n v="160"/>
    <n v="11030532.310000001"/>
    <n v="2537112.15"/>
    <n v="8493420.1600000001"/>
    <n v="1.38"/>
    <n v="3.69"/>
  </r>
  <r>
    <x v="240"/>
    <x v="1"/>
    <x v="5"/>
    <x v="0"/>
    <n v="347"/>
    <n v="22137210.920000002"/>
    <n v="7605183.5999999996"/>
    <n v="14532027.32"/>
    <n v="1.84"/>
    <n v="3.92"/>
  </r>
  <r>
    <x v="1220"/>
    <x v="1"/>
    <x v="8"/>
    <x v="0"/>
    <n v="186"/>
    <n v="7390108.9699999997"/>
    <n v="2871756.56"/>
    <n v="4518352.4000000004"/>
    <n v="0.97"/>
    <n v="4.38"/>
  </r>
  <r>
    <x v="1175"/>
    <x v="1"/>
    <x v="5"/>
    <x v="0"/>
    <n v="488"/>
    <n v="23353602.859999999"/>
    <n v="6362576.3399999999"/>
    <n v="16991026.52"/>
    <n v="4.1900000000000004"/>
    <n v="3.56"/>
  </r>
  <r>
    <x v="554"/>
    <x v="1"/>
    <x v="5"/>
    <x v="0"/>
    <n v="476"/>
    <n v="23775370.989999998"/>
    <n v="7612080.6699999999"/>
    <n v="16163290.32"/>
    <n v="3.19"/>
    <n v="4.4800000000000004"/>
  </r>
  <r>
    <x v="425"/>
    <x v="1"/>
    <x v="9"/>
    <x v="0"/>
    <n v="269"/>
    <n v="22699952.670000002"/>
    <n v="5402931.8700000001"/>
    <n v="17297020.800000001"/>
    <n v="3.12"/>
    <n v="4.5999999999999996"/>
  </r>
  <r>
    <x v="1156"/>
    <x v="1"/>
    <x v="6"/>
    <x v="2"/>
    <n v="425"/>
    <n v="16619673.33"/>
    <n v="3630616.06"/>
    <n v="12989057.27"/>
    <n v="4.9800000000000004"/>
    <n v="4.55"/>
  </r>
  <r>
    <x v="813"/>
    <x v="1"/>
    <x v="9"/>
    <x v="0"/>
    <n v="407"/>
    <n v="26701460.91"/>
    <n v="8765440.3300000001"/>
    <n v="17936020.57"/>
    <n v="4.5999999999999996"/>
    <n v="3.53"/>
  </r>
  <r>
    <x v="259"/>
    <x v="1"/>
    <x v="8"/>
    <x v="0"/>
    <n v="137"/>
    <n v="11758151.640000001"/>
    <n v="2409997.85"/>
    <n v="9348153.7899999991"/>
    <n v="4.25"/>
    <n v="3.95"/>
  </r>
  <r>
    <x v="974"/>
    <x v="1"/>
    <x v="9"/>
    <x v="0"/>
    <n v="165"/>
    <n v="11906640.84"/>
    <n v="3819799.87"/>
    <n v="8086840.9699999997"/>
    <n v="3.9"/>
    <n v="4.18"/>
  </r>
  <r>
    <x v="154"/>
    <x v="1"/>
    <x v="8"/>
    <x v="0"/>
    <n v="60"/>
    <n v="3321080.93"/>
    <n v="962800.11"/>
    <n v="2358280.8199999998"/>
    <n v="4.0599999999999996"/>
    <n v="3.98"/>
  </r>
  <r>
    <x v="483"/>
    <x v="1"/>
    <x v="9"/>
    <x v="1"/>
    <n v="284"/>
    <n v="25080806.710000001"/>
    <n v="8137020.2300000004"/>
    <n v="16943786.48"/>
    <n v="0.78"/>
    <n v="4.01"/>
  </r>
  <r>
    <x v="532"/>
    <x v="1"/>
    <x v="8"/>
    <x v="1"/>
    <n v="213"/>
    <n v="9400305.2899999991"/>
    <n v="3645241.61"/>
    <n v="5755063.6799999997"/>
    <n v="2.75"/>
    <n v="3.66"/>
  </r>
  <r>
    <x v="926"/>
    <x v="1"/>
    <x v="5"/>
    <x v="2"/>
    <n v="287"/>
    <n v="15644390.27"/>
    <n v="5004001.63"/>
    <n v="10640388.630000001"/>
    <n v="1.02"/>
    <n v="4.82"/>
  </r>
  <r>
    <x v="1221"/>
    <x v="1"/>
    <x v="9"/>
    <x v="2"/>
    <n v="484"/>
    <n v="16944965.379999999"/>
    <n v="4697214.03"/>
    <n v="12247751.35"/>
    <n v="3.27"/>
    <n v="4.1900000000000004"/>
  </r>
  <r>
    <x v="135"/>
    <x v="1"/>
    <x v="8"/>
    <x v="1"/>
    <n v="471"/>
    <n v="28281700.120000001"/>
    <n v="8965522.7300000004"/>
    <n v="19316177.399999999"/>
    <n v="3.79"/>
    <n v="3.7"/>
  </r>
  <r>
    <x v="1222"/>
    <x v="1"/>
    <x v="5"/>
    <x v="2"/>
    <n v="218"/>
    <n v="9794413.5600000005"/>
    <n v="3403616.33"/>
    <n v="6390797.2300000004"/>
    <n v="2.86"/>
    <n v="3.67"/>
  </r>
  <r>
    <x v="429"/>
    <x v="1"/>
    <x v="9"/>
    <x v="2"/>
    <n v="357"/>
    <n v="18333693.670000002"/>
    <n v="6737493.1299999999"/>
    <n v="11596200.529999999"/>
    <n v="3.54"/>
    <n v="3.56"/>
  </r>
  <r>
    <x v="983"/>
    <x v="1"/>
    <x v="6"/>
    <x v="1"/>
    <n v="181"/>
    <n v="8413911.9600000009"/>
    <n v="3267012.12"/>
    <n v="5146899.84"/>
    <n v="2.99"/>
    <n v="4.3899999999999997"/>
  </r>
  <r>
    <x v="95"/>
    <x v="1"/>
    <x v="8"/>
    <x v="2"/>
    <n v="238"/>
    <n v="15882689.310000001"/>
    <n v="5255642.71"/>
    <n v="10627046.6"/>
    <n v="4.1100000000000003"/>
    <n v="4.3099999999999996"/>
  </r>
  <r>
    <x v="1223"/>
    <x v="1"/>
    <x v="7"/>
    <x v="1"/>
    <n v="172"/>
    <n v="12437587.24"/>
    <n v="3500506.84"/>
    <n v="8937080.4000000004"/>
    <n v="1.17"/>
    <n v="3.76"/>
  </r>
  <r>
    <x v="81"/>
    <x v="1"/>
    <x v="9"/>
    <x v="0"/>
    <n v="462"/>
    <n v="19815558.899999999"/>
    <n v="7326028.0300000003"/>
    <n v="12489530.869999999"/>
    <n v="2.4500000000000002"/>
    <n v="4.3899999999999997"/>
  </r>
  <r>
    <x v="289"/>
    <x v="1"/>
    <x v="6"/>
    <x v="2"/>
    <n v="66"/>
    <n v="4210898.2"/>
    <n v="1415599.97"/>
    <n v="2795298.23"/>
    <n v="2.61"/>
    <n v="4.25"/>
  </r>
  <r>
    <x v="669"/>
    <x v="1"/>
    <x v="6"/>
    <x v="0"/>
    <n v="79"/>
    <n v="3113411.46"/>
    <n v="948445.46"/>
    <n v="2164966"/>
    <n v="3.34"/>
    <n v="4.74"/>
  </r>
  <r>
    <x v="1224"/>
    <x v="1"/>
    <x v="7"/>
    <x v="0"/>
    <n v="67"/>
    <n v="3476192.86"/>
    <n v="1254768.55"/>
    <n v="2221424.31"/>
    <n v="3.55"/>
    <n v="3.98"/>
  </r>
  <r>
    <x v="1225"/>
    <x v="1"/>
    <x v="8"/>
    <x v="0"/>
    <n v="395"/>
    <n v="34918676.920000002"/>
    <n v="12730277.439999999"/>
    <n v="22188399.48"/>
    <n v="3.75"/>
    <n v="3.56"/>
  </r>
  <r>
    <x v="404"/>
    <x v="1"/>
    <x v="6"/>
    <x v="1"/>
    <n v="135"/>
    <n v="8211176.0899999999"/>
    <n v="2590369.81"/>
    <n v="5620806.2800000003"/>
    <n v="4.9800000000000004"/>
    <n v="3.52"/>
  </r>
  <r>
    <x v="230"/>
    <x v="1"/>
    <x v="8"/>
    <x v="2"/>
    <n v="475"/>
    <n v="29198386.48"/>
    <n v="6951113.6600000001"/>
    <n v="22247272.809999999"/>
    <n v="4.78"/>
    <n v="3.53"/>
  </r>
  <r>
    <x v="1226"/>
    <x v="1"/>
    <x v="6"/>
    <x v="0"/>
    <n v="442"/>
    <n v="36713900.170000002"/>
    <n v="14590785.130000001"/>
    <n v="22123115.039999999"/>
    <n v="1.52"/>
    <n v="4.3499999999999996"/>
  </r>
  <r>
    <x v="1227"/>
    <x v="1"/>
    <x v="5"/>
    <x v="2"/>
    <n v="166"/>
    <n v="9825881.9900000002"/>
    <n v="2664864.52"/>
    <n v="7161017.4699999997"/>
    <n v="2.21"/>
    <n v="3.58"/>
  </r>
  <r>
    <x v="1228"/>
    <x v="1"/>
    <x v="5"/>
    <x v="1"/>
    <n v="308"/>
    <n v="13986464.960000001"/>
    <n v="4309701.3600000003"/>
    <n v="9676763.5999999996"/>
    <n v="3.88"/>
    <n v="4.8600000000000003"/>
  </r>
  <r>
    <x v="614"/>
    <x v="1"/>
    <x v="5"/>
    <x v="1"/>
    <n v="413"/>
    <n v="15553558.98"/>
    <n v="3669123.18"/>
    <n v="11884435.800000001"/>
    <n v="4.22"/>
    <n v="4.38"/>
  </r>
  <r>
    <x v="195"/>
    <x v="1"/>
    <x v="5"/>
    <x v="0"/>
    <n v="418"/>
    <n v="26206545.100000001"/>
    <n v="10125637.6"/>
    <n v="16080907.51"/>
    <n v="1.48"/>
    <n v="4.9000000000000004"/>
  </r>
  <r>
    <x v="738"/>
    <x v="1"/>
    <x v="5"/>
    <x v="1"/>
    <n v="475"/>
    <n v="37117592.990000002"/>
    <n v="10403593.68"/>
    <n v="26713999.300000001"/>
    <n v="2.36"/>
    <n v="4.9400000000000004"/>
  </r>
  <r>
    <x v="882"/>
    <x v="1"/>
    <x v="8"/>
    <x v="1"/>
    <n v="447"/>
    <n v="19692389.91"/>
    <n v="6241995.5300000003"/>
    <n v="13450394.380000001"/>
    <n v="0.56000000000000005"/>
    <n v="4.22"/>
  </r>
  <r>
    <x v="441"/>
    <x v="1"/>
    <x v="7"/>
    <x v="1"/>
    <n v="491"/>
    <n v="22176560.940000001"/>
    <n v="8606337"/>
    <n v="13570223.939999999"/>
    <n v="3.22"/>
    <n v="4.6500000000000004"/>
  </r>
  <r>
    <x v="1178"/>
    <x v="1"/>
    <x v="8"/>
    <x v="0"/>
    <n v="492"/>
    <n v="23356467.239999998"/>
    <n v="6229067.1500000004"/>
    <n v="17127400.09"/>
    <n v="0.86"/>
    <n v="4.16"/>
  </r>
  <r>
    <x v="658"/>
    <x v="1"/>
    <x v="8"/>
    <x v="1"/>
    <n v="416"/>
    <n v="17830944.879999999"/>
    <n v="4485218.92"/>
    <n v="13345725.960000001"/>
    <n v="1.6"/>
    <n v="4.4000000000000004"/>
  </r>
  <r>
    <x v="503"/>
    <x v="1"/>
    <x v="6"/>
    <x v="0"/>
    <n v="445"/>
    <n v="25310994.469999999"/>
    <n v="7534032.9100000001"/>
    <n v="17776961.550000001"/>
    <n v="2.67"/>
    <n v="4.07"/>
  </r>
  <r>
    <x v="579"/>
    <x v="1"/>
    <x v="6"/>
    <x v="1"/>
    <n v="171"/>
    <n v="7351797.54"/>
    <n v="2197163"/>
    <n v="5154634.54"/>
    <n v="0.78"/>
    <n v="3.61"/>
  </r>
  <r>
    <x v="1225"/>
    <x v="1"/>
    <x v="9"/>
    <x v="2"/>
    <n v="392"/>
    <n v="24940889.149999999"/>
    <n v="5015203.83"/>
    <n v="19925685.32"/>
    <n v="1.41"/>
    <n v="3.89"/>
  </r>
  <r>
    <x v="1229"/>
    <x v="1"/>
    <x v="8"/>
    <x v="1"/>
    <n v="376"/>
    <n v="15186798.92"/>
    <n v="5940875.6900000004"/>
    <n v="9245923.2300000004"/>
    <n v="1.33"/>
    <n v="4.3099999999999996"/>
  </r>
  <r>
    <x v="1165"/>
    <x v="1"/>
    <x v="8"/>
    <x v="1"/>
    <n v="477"/>
    <n v="17890926.620000001"/>
    <n v="3771511.49"/>
    <n v="14119415.130000001"/>
    <n v="4.29"/>
    <n v="3.94"/>
  </r>
  <r>
    <x v="482"/>
    <x v="1"/>
    <x v="9"/>
    <x v="1"/>
    <n v="355"/>
    <n v="15742045.1"/>
    <n v="5897145.0999999996"/>
    <n v="9844900"/>
    <n v="1.05"/>
    <n v="4.28"/>
  </r>
  <r>
    <x v="1230"/>
    <x v="1"/>
    <x v="8"/>
    <x v="1"/>
    <n v="474"/>
    <n v="20919571.399999999"/>
    <n v="8120534.8700000001"/>
    <n v="12799036.529999999"/>
    <n v="3.61"/>
    <n v="4.59"/>
  </r>
  <r>
    <x v="1231"/>
    <x v="1"/>
    <x v="7"/>
    <x v="0"/>
    <n v="74"/>
    <n v="3170205.18"/>
    <n v="1025789.96"/>
    <n v="2144415.2200000002"/>
    <n v="3"/>
    <n v="3.62"/>
  </r>
  <r>
    <x v="1232"/>
    <x v="1"/>
    <x v="7"/>
    <x v="1"/>
    <n v="493"/>
    <n v="21861095.399999999"/>
    <n v="8502147.75"/>
    <n v="13358947.640000001"/>
    <n v="1.99"/>
    <n v="4.6500000000000004"/>
  </r>
  <r>
    <x v="1233"/>
    <x v="1"/>
    <x v="5"/>
    <x v="0"/>
    <n v="186"/>
    <n v="10759981.9"/>
    <n v="4252333.99"/>
    <n v="6507647.9100000001"/>
    <n v="2.0099999999999998"/>
    <n v="3.77"/>
  </r>
  <r>
    <x v="1234"/>
    <x v="1"/>
    <x v="7"/>
    <x v="2"/>
    <n v="372"/>
    <n v="32821244.010000002"/>
    <n v="9519052.3300000001"/>
    <n v="23302191.68"/>
    <n v="4.83"/>
    <n v="3.67"/>
  </r>
  <r>
    <x v="226"/>
    <x v="1"/>
    <x v="8"/>
    <x v="2"/>
    <n v="478"/>
    <n v="22958731.800000001"/>
    <n v="8738250.9499999993"/>
    <n v="14220480.85"/>
    <n v="1.31"/>
    <n v="4.7"/>
  </r>
  <r>
    <x v="276"/>
    <x v="1"/>
    <x v="8"/>
    <x v="0"/>
    <n v="115"/>
    <n v="7742183.6399999997"/>
    <n v="2922884.17"/>
    <n v="4819299.4800000004"/>
    <n v="1.99"/>
    <n v="4.67"/>
  </r>
  <r>
    <x v="1235"/>
    <x v="1"/>
    <x v="6"/>
    <x v="1"/>
    <n v="163"/>
    <n v="11332737.640000001"/>
    <n v="3065600.86"/>
    <n v="8267136.7800000003"/>
    <n v="4.3"/>
    <n v="3.99"/>
  </r>
  <r>
    <x v="1179"/>
    <x v="1"/>
    <x v="5"/>
    <x v="0"/>
    <n v="75"/>
    <n v="6231517.75"/>
    <n v="1457399.01"/>
    <n v="4774118.75"/>
    <n v="1.51"/>
    <n v="4.0999999999999996"/>
  </r>
  <r>
    <x v="1079"/>
    <x v="1"/>
    <x v="9"/>
    <x v="2"/>
    <n v="100"/>
    <n v="7568255.9400000004"/>
    <n v="2100530.44"/>
    <n v="5467725.5"/>
    <n v="0.57999999999999996"/>
    <n v="3.79"/>
  </r>
  <r>
    <x v="216"/>
    <x v="1"/>
    <x v="6"/>
    <x v="2"/>
    <n v="125"/>
    <n v="9399733.6300000008"/>
    <n v="2970295.14"/>
    <n v="6429438.4900000002"/>
    <n v="3.1"/>
    <n v="4.75"/>
  </r>
  <r>
    <x v="691"/>
    <x v="1"/>
    <x v="7"/>
    <x v="2"/>
    <n v="428"/>
    <n v="16580091.48"/>
    <n v="6031089.3200000003"/>
    <n v="10549002.16"/>
    <n v="4.8099999999999996"/>
    <n v="4.84"/>
  </r>
  <r>
    <x v="1236"/>
    <x v="1"/>
    <x v="9"/>
    <x v="2"/>
    <n v="176"/>
    <n v="10185123.74"/>
    <n v="2956561.32"/>
    <n v="7228562.4199999999"/>
    <n v="2.31"/>
    <n v="4.28"/>
  </r>
  <r>
    <x v="227"/>
    <x v="1"/>
    <x v="9"/>
    <x v="0"/>
    <n v="359"/>
    <n v="13733451.279999999"/>
    <n v="3755267.75"/>
    <n v="9978183.5399999991"/>
    <n v="3.96"/>
    <n v="4.99"/>
  </r>
  <r>
    <x v="391"/>
    <x v="1"/>
    <x v="5"/>
    <x v="1"/>
    <n v="377"/>
    <n v="16486406.789999999"/>
    <n v="3464542.2"/>
    <n v="13021864.59"/>
    <n v="4.46"/>
    <n v="4.8600000000000003"/>
  </r>
  <r>
    <x v="901"/>
    <x v="1"/>
    <x v="5"/>
    <x v="1"/>
    <n v="458"/>
    <n v="26334854.890000001"/>
    <n v="8667447.6199999992"/>
    <n v="17667407.27"/>
    <n v="1.86"/>
    <n v="4.5999999999999996"/>
  </r>
  <r>
    <x v="146"/>
    <x v="1"/>
    <x v="9"/>
    <x v="1"/>
    <n v="412"/>
    <n v="23900706.829999998"/>
    <n v="7849894.3799999999"/>
    <n v="16050812.449999999"/>
    <n v="3.17"/>
    <n v="4.3600000000000003"/>
  </r>
  <r>
    <x v="663"/>
    <x v="1"/>
    <x v="9"/>
    <x v="1"/>
    <n v="274"/>
    <n v="19474462.93"/>
    <n v="7015425.7599999998"/>
    <n v="12459037.17"/>
    <n v="1.92"/>
    <n v="3.84"/>
  </r>
  <r>
    <x v="745"/>
    <x v="1"/>
    <x v="5"/>
    <x v="2"/>
    <n v="137"/>
    <n v="10388014.939999999"/>
    <n v="4102852.26"/>
    <n v="6285162.6799999997"/>
    <n v="2.1"/>
    <n v="4.67"/>
  </r>
  <r>
    <x v="2"/>
    <x v="1"/>
    <x v="7"/>
    <x v="2"/>
    <n v="389"/>
    <n v="28577367.879999999"/>
    <n v="9541634.4800000004"/>
    <n v="19035733.399999999"/>
    <n v="3.85"/>
    <n v="4.12"/>
  </r>
  <r>
    <x v="1237"/>
    <x v="1"/>
    <x v="7"/>
    <x v="1"/>
    <n v="70"/>
    <n v="5279846.97"/>
    <n v="1467683.49"/>
    <n v="3812163.47"/>
    <n v="2.7"/>
    <n v="3.7"/>
  </r>
  <r>
    <x v="1238"/>
    <x v="1"/>
    <x v="8"/>
    <x v="0"/>
    <n v="150"/>
    <n v="12773666.57"/>
    <n v="4953809.99"/>
    <n v="7819856.5800000001"/>
    <n v="3.62"/>
    <n v="3.77"/>
  </r>
  <r>
    <x v="382"/>
    <x v="1"/>
    <x v="5"/>
    <x v="0"/>
    <n v="107"/>
    <n v="3783042.75"/>
    <n v="1137758.26"/>
    <n v="2645284.4900000002"/>
    <n v="1.79"/>
    <n v="4.5999999999999996"/>
  </r>
  <r>
    <x v="1199"/>
    <x v="1"/>
    <x v="5"/>
    <x v="0"/>
    <n v="478"/>
    <n v="25108349.690000001"/>
    <n v="9517691.6999999993"/>
    <n v="15590657.99"/>
    <n v="1.08"/>
    <n v="4.3600000000000003"/>
  </r>
  <r>
    <x v="658"/>
    <x v="1"/>
    <x v="9"/>
    <x v="2"/>
    <n v="274"/>
    <n v="10967729.42"/>
    <n v="3014629.78"/>
    <n v="7953099.6299999999"/>
    <n v="2.98"/>
    <n v="4.1100000000000003"/>
  </r>
  <r>
    <x v="994"/>
    <x v="1"/>
    <x v="9"/>
    <x v="1"/>
    <n v="286"/>
    <n v="13999328.890000001"/>
    <n v="3801975.52"/>
    <n v="10197353.369999999"/>
    <n v="1.74"/>
    <n v="4.24"/>
  </r>
  <r>
    <x v="4"/>
    <x v="1"/>
    <x v="9"/>
    <x v="0"/>
    <n v="175"/>
    <n v="11679751.92"/>
    <n v="2591366.81"/>
    <n v="9088385.1099999994"/>
    <n v="3.19"/>
    <n v="4.72"/>
  </r>
  <r>
    <x v="1239"/>
    <x v="1"/>
    <x v="8"/>
    <x v="0"/>
    <n v="260"/>
    <n v="17846543.800000001"/>
    <n v="6083003.1500000004"/>
    <n v="11763540.640000001"/>
    <n v="1.65"/>
    <n v="3.99"/>
  </r>
  <r>
    <x v="878"/>
    <x v="1"/>
    <x v="5"/>
    <x v="1"/>
    <n v="467"/>
    <n v="20998398.989999998"/>
    <n v="5078710.1500000004"/>
    <n v="15919688.84"/>
    <n v="2.23"/>
    <n v="4.1500000000000004"/>
  </r>
  <r>
    <x v="1240"/>
    <x v="1"/>
    <x v="8"/>
    <x v="0"/>
    <n v="94"/>
    <n v="6329916.7199999997"/>
    <n v="1992025.11"/>
    <n v="4337891.6100000003"/>
    <n v="3.27"/>
    <n v="3.62"/>
  </r>
  <r>
    <x v="1102"/>
    <x v="1"/>
    <x v="9"/>
    <x v="0"/>
    <n v="88"/>
    <n v="6579666.7199999997"/>
    <n v="1615083.17"/>
    <n v="4964583.55"/>
    <n v="3.72"/>
    <n v="4.37"/>
  </r>
  <r>
    <x v="1035"/>
    <x v="1"/>
    <x v="7"/>
    <x v="2"/>
    <n v="137"/>
    <n v="7811357.2199999997"/>
    <n v="1856187.63"/>
    <n v="5955169.5899999999"/>
    <n v="0.56000000000000005"/>
    <n v="4.47"/>
  </r>
  <r>
    <x v="37"/>
    <x v="1"/>
    <x v="5"/>
    <x v="0"/>
    <n v="58"/>
    <n v="3015079.26"/>
    <n v="1029025.57"/>
    <n v="1986053.69"/>
    <n v="1.7"/>
    <n v="4"/>
  </r>
  <r>
    <x v="508"/>
    <x v="1"/>
    <x v="9"/>
    <x v="2"/>
    <n v="426"/>
    <n v="35672993.420000002"/>
    <n v="10997851.439999999"/>
    <n v="24675141.98"/>
    <n v="3.04"/>
    <n v="4.49"/>
  </r>
  <r>
    <x v="49"/>
    <x v="1"/>
    <x v="7"/>
    <x v="1"/>
    <n v="307"/>
    <n v="24524494.629999999"/>
    <n v="9716872.5600000005"/>
    <n v="14807622.07"/>
    <n v="3.81"/>
    <n v="3.81"/>
  </r>
  <r>
    <x v="775"/>
    <x v="1"/>
    <x v="5"/>
    <x v="0"/>
    <n v="154"/>
    <n v="12841502.85"/>
    <n v="5010187.04"/>
    <n v="7831315.8099999996"/>
    <n v="1.54"/>
    <n v="4.8499999999999996"/>
  </r>
  <r>
    <x v="1241"/>
    <x v="1"/>
    <x v="7"/>
    <x v="0"/>
    <n v="166"/>
    <n v="5818485.5800000001"/>
    <n v="1276315.5"/>
    <n v="4542170.08"/>
    <n v="0.61"/>
    <n v="3.81"/>
  </r>
  <r>
    <x v="205"/>
    <x v="1"/>
    <x v="7"/>
    <x v="1"/>
    <n v="190"/>
    <n v="13702633.970000001"/>
    <n v="4825885.76"/>
    <n v="8876748.2100000009"/>
    <n v="3.91"/>
    <n v="4.6399999999999997"/>
  </r>
  <r>
    <x v="107"/>
    <x v="1"/>
    <x v="7"/>
    <x v="1"/>
    <n v="179"/>
    <n v="12964320.310000001"/>
    <n v="2769961.93"/>
    <n v="10194358.380000001"/>
    <n v="3.29"/>
    <n v="4.71"/>
  </r>
  <r>
    <x v="1135"/>
    <x v="1"/>
    <x v="9"/>
    <x v="2"/>
    <n v="390"/>
    <n v="33695966.240000002"/>
    <n v="11433812.689999999"/>
    <n v="22262153.550000001"/>
    <n v="4.0199999999999996"/>
    <n v="4.6500000000000004"/>
  </r>
  <r>
    <x v="1242"/>
    <x v="1"/>
    <x v="9"/>
    <x v="2"/>
    <n v="138"/>
    <n v="5982816.0499999998"/>
    <n v="1999985.82"/>
    <n v="3982830.22"/>
    <n v="0.75"/>
    <n v="3.77"/>
  </r>
  <r>
    <x v="257"/>
    <x v="1"/>
    <x v="8"/>
    <x v="2"/>
    <n v="202"/>
    <n v="15172631.880000001"/>
    <n v="4324016.2699999996"/>
    <n v="10848615.609999999"/>
    <n v="1.43"/>
    <n v="4.26"/>
  </r>
  <r>
    <x v="1243"/>
    <x v="1"/>
    <x v="8"/>
    <x v="1"/>
    <n v="235"/>
    <n v="10127909.939999999"/>
    <n v="3632717.19"/>
    <n v="6495192.75"/>
    <n v="1.91"/>
    <n v="4.45"/>
  </r>
  <r>
    <x v="1244"/>
    <x v="1"/>
    <x v="8"/>
    <x v="2"/>
    <n v="263"/>
    <n v="15068031.34"/>
    <n v="5216065.54"/>
    <n v="9851965.8000000007"/>
    <n v="1.39"/>
    <n v="4.68"/>
  </r>
  <r>
    <x v="420"/>
    <x v="1"/>
    <x v="8"/>
    <x v="1"/>
    <n v="265"/>
    <n v="21302455.739999998"/>
    <n v="5133644.6500000004"/>
    <n v="16168811.09"/>
    <n v="1.96"/>
    <n v="4.6500000000000004"/>
  </r>
  <r>
    <x v="503"/>
    <x v="1"/>
    <x v="8"/>
    <x v="0"/>
    <n v="319"/>
    <n v="14372460.9"/>
    <n v="3000130.83"/>
    <n v="11372330.08"/>
    <n v="2.2000000000000002"/>
    <n v="4.01"/>
  </r>
  <r>
    <x v="708"/>
    <x v="1"/>
    <x v="6"/>
    <x v="1"/>
    <n v="193"/>
    <n v="11915733.34"/>
    <n v="4506497.9000000004"/>
    <n v="7409235.4400000004"/>
    <n v="1.62"/>
    <n v="3.98"/>
  </r>
  <r>
    <x v="763"/>
    <x v="1"/>
    <x v="9"/>
    <x v="1"/>
    <n v="132"/>
    <n v="10976047.6"/>
    <n v="3726442.1"/>
    <n v="7249605.5"/>
    <n v="4.3600000000000003"/>
    <n v="4.79"/>
  </r>
  <r>
    <x v="226"/>
    <x v="1"/>
    <x v="9"/>
    <x v="0"/>
    <n v="83"/>
    <n v="4154433.46"/>
    <n v="904155.42"/>
    <n v="3250278.04"/>
    <n v="0.94"/>
    <n v="4.78"/>
  </r>
  <r>
    <x v="343"/>
    <x v="1"/>
    <x v="6"/>
    <x v="0"/>
    <n v="175"/>
    <n v="9316812.1699999999"/>
    <n v="2793964.17"/>
    <n v="6522848"/>
    <n v="3.41"/>
    <n v="4.2699999999999996"/>
  </r>
  <r>
    <x v="745"/>
    <x v="1"/>
    <x v="8"/>
    <x v="2"/>
    <n v="164"/>
    <n v="8500545.4399999995"/>
    <n v="3291947.12"/>
    <n v="5208598.32"/>
    <n v="1.3"/>
    <n v="3.51"/>
  </r>
  <r>
    <x v="668"/>
    <x v="1"/>
    <x v="5"/>
    <x v="2"/>
    <n v="484"/>
    <n v="42292535.350000001"/>
    <n v="14135665.699999999"/>
    <n v="28156869.649999999"/>
    <n v="3.48"/>
    <n v="4.63"/>
  </r>
  <r>
    <x v="1245"/>
    <x v="1"/>
    <x v="7"/>
    <x v="1"/>
    <n v="377"/>
    <n v="31260402.489999998"/>
    <n v="10694553.220000001"/>
    <n v="20565849.27"/>
    <n v="4.0199999999999996"/>
    <n v="4.7"/>
  </r>
  <r>
    <x v="843"/>
    <x v="1"/>
    <x v="6"/>
    <x v="0"/>
    <n v="158"/>
    <n v="11656805.48"/>
    <n v="2932904.18"/>
    <n v="8723901.3000000007"/>
    <n v="3.55"/>
    <n v="3.88"/>
  </r>
  <r>
    <x v="445"/>
    <x v="1"/>
    <x v="9"/>
    <x v="2"/>
    <n v="428"/>
    <n v="30006772.59"/>
    <n v="10159419.109999999"/>
    <n v="19847353.48"/>
    <n v="4.37"/>
    <n v="4.9400000000000004"/>
  </r>
  <r>
    <x v="1246"/>
    <x v="1"/>
    <x v="7"/>
    <x v="2"/>
    <n v="279"/>
    <n v="11117694.869999999"/>
    <n v="4014521.72"/>
    <n v="7103173.1500000004"/>
    <n v="4.1900000000000004"/>
    <n v="4.51"/>
  </r>
  <r>
    <x v="1247"/>
    <x v="1"/>
    <x v="9"/>
    <x v="0"/>
    <n v="466"/>
    <n v="21159088.16"/>
    <n v="5415101.5599999996"/>
    <n v="15743986.6"/>
    <n v="2.8"/>
    <n v="4.41"/>
  </r>
  <r>
    <x v="799"/>
    <x v="1"/>
    <x v="8"/>
    <x v="2"/>
    <n v="276"/>
    <n v="21698696.77"/>
    <n v="4421145.93"/>
    <n v="17277550.84"/>
    <n v="4.7"/>
    <n v="4.9000000000000004"/>
  </r>
  <r>
    <x v="1248"/>
    <x v="1"/>
    <x v="8"/>
    <x v="0"/>
    <n v="148"/>
    <n v="12008270.439999999"/>
    <n v="3191767.11"/>
    <n v="8816503.3300000001"/>
    <n v="3.64"/>
    <n v="4.04"/>
  </r>
  <r>
    <x v="1249"/>
    <x v="1"/>
    <x v="8"/>
    <x v="2"/>
    <n v="322"/>
    <n v="16658123.41"/>
    <n v="6199331.1399999997"/>
    <n v="10458792.27"/>
    <n v="3.25"/>
    <n v="3.96"/>
  </r>
  <r>
    <x v="1250"/>
    <x v="1"/>
    <x v="9"/>
    <x v="1"/>
    <n v="384"/>
    <n v="14937745.060000001"/>
    <n v="4930065.1500000004"/>
    <n v="10007679.92"/>
    <n v="4.38"/>
    <n v="3.85"/>
  </r>
  <r>
    <x v="310"/>
    <x v="1"/>
    <x v="6"/>
    <x v="2"/>
    <n v="128"/>
    <n v="6231494.1900000004"/>
    <n v="1318511.6100000001"/>
    <n v="4912982.58"/>
    <n v="1.84"/>
    <n v="4.66"/>
  </r>
  <r>
    <x v="681"/>
    <x v="1"/>
    <x v="6"/>
    <x v="0"/>
    <n v="401"/>
    <n v="26884874.789999999"/>
    <n v="5401310.3300000001"/>
    <n v="21483564.460000001"/>
    <n v="4.5999999999999996"/>
    <n v="3.83"/>
  </r>
  <r>
    <x v="1251"/>
    <x v="1"/>
    <x v="7"/>
    <x v="1"/>
    <n v="83"/>
    <n v="4590106.72"/>
    <n v="1508132.5"/>
    <n v="3081974.22"/>
    <n v="2.0499999999999998"/>
    <n v="4.28"/>
  </r>
  <r>
    <x v="1252"/>
    <x v="1"/>
    <x v="6"/>
    <x v="2"/>
    <n v="464"/>
    <n v="19350583.870000001"/>
    <n v="6130801.5999999996"/>
    <n v="13219782.26"/>
    <n v="0.78"/>
    <n v="4.0999999999999996"/>
  </r>
  <r>
    <x v="872"/>
    <x v="1"/>
    <x v="5"/>
    <x v="1"/>
    <n v="435"/>
    <n v="16980235.309999999"/>
    <n v="4540018.25"/>
    <n v="12440217.060000001"/>
    <n v="3.18"/>
    <n v="4.12"/>
  </r>
  <r>
    <x v="825"/>
    <x v="1"/>
    <x v="6"/>
    <x v="2"/>
    <n v="134"/>
    <n v="7716927.1399999997"/>
    <n v="1824862.85"/>
    <n v="5892064.29"/>
    <n v="4.53"/>
    <n v="4.78"/>
  </r>
  <r>
    <x v="1253"/>
    <x v="1"/>
    <x v="6"/>
    <x v="2"/>
    <n v="177"/>
    <n v="10273670.75"/>
    <n v="3168341.26"/>
    <n v="7105329.4900000002"/>
    <n v="1.65"/>
    <n v="4.63"/>
  </r>
  <r>
    <x v="1254"/>
    <x v="1"/>
    <x v="8"/>
    <x v="0"/>
    <n v="134"/>
    <n v="9560085.1600000001"/>
    <n v="2396975.52"/>
    <n v="7163109.6500000004"/>
    <n v="1.9"/>
    <n v="4.7699999999999996"/>
  </r>
  <r>
    <x v="876"/>
    <x v="1"/>
    <x v="8"/>
    <x v="1"/>
    <n v="118"/>
    <n v="10105287.189999999"/>
    <n v="3344816.03"/>
    <n v="6760471.1699999999"/>
    <n v="0.75"/>
    <n v="3.81"/>
  </r>
  <r>
    <x v="1255"/>
    <x v="1"/>
    <x v="8"/>
    <x v="0"/>
    <n v="246"/>
    <n v="20273890.210000001"/>
    <n v="7682161.04"/>
    <n v="12591729.16"/>
    <n v="2.99"/>
    <n v="4.2699999999999996"/>
  </r>
  <r>
    <x v="949"/>
    <x v="1"/>
    <x v="9"/>
    <x v="2"/>
    <n v="263"/>
    <n v="19942257.129999999"/>
    <n v="7307582.4900000002"/>
    <n v="12634674.640000001"/>
    <n v="1.04"/>
    <n v="3.6"/>
  </r>
  <r>
    <x v="687"/>
    <x v="1"/>
    <x v="8"/>
    <x v="0"/>
    <n v="67"/>
    <n v="5008461.25"/>
    <n v="1771150.88"/>
    <n v="3237310.38"/>
    <n v="3.68"/>
    <n v="3.96"/>
  </r>
  <r>
    <x v="1099"/>
    <x v="1"/>
    <x v="7"/>
    <x v="1"/>
    <n v="174"/>
    <n v="9428321.3499999996"/>
    <n v="3064534.57"/>
    <n v="6363786.7800000003"/>
    <n v="3.3"/>
    <n v="4.58"/>
  </r>
  <r>
    <x v="933"/>
    <x v="1"/>
    <x v="9"/>
    <x v="1"/>
    <n v="154"/>
    <n v="11737240.27"/>
    <n v="2540312.31"/>
    <n v="9196927.9600000009"/>
    <n v="0.99"/>
    <n v="3.85"/>
  </r>
  <r>
    <x v="22"/>
    <x v="1"/>
    <x v="5"/>
    <x v="2"/>
    <n v="419"/>
    <n v="19040676.960000001"/>
    <n v="7467914.0300000003"/>
    <n v="11572762.93"/>
    <n v="2.2599999999999998"/>
    <n v="4.7"/>
  </r>
  <r>
    <x v="825"/>
    <x v="1"/>
    <x v="9"/>
    <x v="0"/>
    <n v="162"/>
    <n v="9627674.1600000001"/>
    <n v="2550203.7999999998"/>
    <n v="7077470.3600000003"/>
    <n v="2.79"/>
    <n v="4.79"/>
  </r>
  <r>
    <x v="854"/>
    <x v="1"/>
    <x v="7"/>
    <x v="1"/>
    <n v="456"/>
    <n v="32803420.59"/>
    <n v="12913246.99"/>
    <n v="19890173.600000001"/>
    <n v="2.91"/>
    <n v="3.56"/>
  </r>
  <r>
    <x v="243"/>
    <x v="1"/>
    <x v="7"/>
    <x v="2"/>
    <n v="120"/>
    <n v="7389331.7000000002"/>
    <n v="1497232.38"/>
    <n v="5892099.3200000003"/>
    <n v="3.9"/>
    <n v="3.87"/>
  </r>
  <r>
    <x v="497"/>
    <x v="1"/>
    <x v="8"/>
    <x v="0"/>
    <n v="242"/>
    <n v="20269348.629999999"/>
    <n v="6491694.71"/>
    <n v="13777653.92"/>
    <n v="4.38"/>
    <n v="3.9"/>
  </r>
  <r>
    <x v="851"/>
    <x v="1"/>
    <x v="5"/>
    <x v="2"/>
    <n v="383"/>
    <n v="31494809.52"/>
    <n v="10545209.65"/>
    <n v="20949599.870000001"/>
    <n v="4.79"/>
    <n v="3.68"/>
  </r>
  <r>
    <x v="795"/>
    <x v="1"/>
    <x v="6"/>
    <x v="2"/>
    <n v="247"/>
    <n v="13227636.32"/>
    <n v="3101818.03"/>
    <n v="10125818.289999999"/>
    <n v="0.5"/>
    <n v="3.96"/>
  </r>
  <r>
    <x v="584"/>
    <x v="1"/>
    <x v="9"/>
    <x v="0"/>
    <n v="290"/>
    <n v="12335483.52"/>
    <n v="3607920.15"/>
    <n v="8727563.3699999992"/>
    <n v="1.33"/>
    <n v="4.1399999999999997"/>
  </r>
  <r>
    <x v="227"/>
    <x v="1"/>
    <x v="7"/>
    <x v="0"/>
    <n v="234"/>
    <n v="11939817.01"/>
    <n v="3779203.34"/>
    <n v="8160613.6699999999"/>
    <n v="2.2000000000000002"/>
    <n v="4.8099999999999996"/>
  </r>
  <r>
    <x v="846"/>
    <x v="1"/>
    <x v="9"/>
    <x v="1"/>
    <n v="261"/>
    <n v="20731911.34"/>
    <n v="5235181.0199999996"/>
    <n v="15496730.32"/>
    <n v="2.92"/>
    <n v="4.76"/>
  </r>
  <r>
    <x v="666"/>
    <x v="1"/>
    <x v="8"/>
    <x v="1"/>
    <n v="207"/>
    <n v="7930683.7699999996"/>
    <n v="2700159.46"/>
    <n v="5230524.3099999996"/>
    <n v="1.84"/>
    <n v="3.98"/>
  </r>
  <r>
    <x v="1256"/>
    <x v="1"/>
    <x v="9"/>
    <x v="1"/>
    <n v="256"/>
    <n v="19986912.949999999"/>
    <n v="7505094.3600000003"/>
    <n v="12481818.59"/>
    <n v="3.36"/>
    <n v="3.69"/>
  </r>
  <r>
    <x v="783"/>
    <x v="1"/>
    <x v="8"/>
    <x v="2"/>
    <n v="477"/>
    <n v="17239586.969999999"/>
    <n v="4272362.79"/>
    <n v="12967224.18"/>
    <n v="0.69"/>
    <n v="4.8"/>
  </r>
  <r>
    <x v="14"/>
    <x v="1"/>
    <x v="8"/>
    <x v="0"/>
    <n v="247"/>
    <n v="9702680.8200000003"/>
    <n v="2026990.56"/>
    <n v="7675690.2599999998"/>
    <n v="1.61"/>
    <n v="4.79"/>
  </r>
  <r>
    <x v="580"/>
    <x v="1"/>
    <x v="7"/>
    <x v="0"/>
    <n v="428"/>
    <n v="35081815.450000003"/>
    <n v="13939908.02"/>
    <n v="21141907.420000002"/>
    <n v="2.8"/>
    <n v="4.6500000000000004"/>
  </r>
  <r>
    <x v="759"/>
    <x v="1"/>
    <x v="7"/>
    <x v="1"/>
    <n v="123"/>
    <n v="7704180.1200000001"/>
    <n v="3059512.92"/>
    <n v="4644667.2"/>
    <n v="4.1100000000000003"/>
    <n v="4.97"/>
  </r>
  <r>
    <x v="28"/>
    <x v="1"/>
    <x v="7"/>
    <x v="2"/>
    <n v="230"/>
    <n v="11644931.34"/>
    <n v="3984968.81"/>
    <n v="7659962.5300000003"/>
    <n v="2.2000000000000002"/>
    <n v="4.09"/>
  </r>
  <r>
    <x v="671"/>
    <x v="1"/>
    <x v="7"/>
    <x v="1"/>
    <n v="127"/>
    <n v="7556488.71"/>
    <n v="2127572.62"/>
    <n v="5428916.0899999999"/>
    <n v="3.65"/>
    <n v="3.79"/>
  </r>
  <r>
    <x v="1257"/>
    <x v="1"/>
    <x v="8"/>
    <x v="2"/>
    <n v="130"/>
    <n v="8148917.6799999997"/>
    <n v="1961541.36"/>
    <n v="6187376.3300000001"/>
    <n v="3.83"/>
    <n v="4.47"/>
  </r>
  <r>
    <x v="804"/>
    <x v="1"/>
    <x v="8"/>
    <x v="0"/>
    <n v="487"/>
    <n v="20211587.309999999"/>
    <n v="6461654.1200000001"/>
    <n v="13749933.189999999"/>
    <n v="4.07"/>
    <n v="3.83"/>
  </r>
  <r>
    <x v="496"/>
    <x v="1"/>
    <x v="9"/>
    <x v="0"/>
    <n v="146"/>
    <n v="5429685.8600000003"/>
    <n v="1874340.48"/>
    <n v="3555345.38"/>
    <n v="4.8"/>
    <n v="4.93"/>
  </r>
  <r>
    <x v="1258"/>
    <x v="1"/>
    <x v="9"/>
    <x v="0"/>
    <n v="331"/>
    <n v="24960369.52"/>
    <n v="6491710.21"/>
    <n v="18468659.309999999"/>
    <n v="4.34"/>
    <n v="3.67"/>
  </r>
  <r>
    <x v="1090"/>
    <x v="1"/>
    <x v="9"/>
    <x v="1"/>
    <n v="118"/>
    <n v="5046381.92"/>
    <n v="1247954.26"/>
    <n v="3798427.66"/>
    <n v="0.99"/>
    <n v="4.97"/>
  </r>
  <r>
    <x v="556"/>
    <x v="1"/>
    <x v="6"/>
    <x v="1"/>
    <n v="168"/>
    <n v="10294337.25"/>
    <n v="3133269.06"/>
    <n v="7161068.1900000004"/>
    <n v="3.96"/>
    <n v="4.4400000000000004"/>
  </r>
  <r>
    <x v="1259"/>
    <x v="1"/>
    <x v="6"/>
    <x v="1"/>
    <n v="462"/>
    <n v="19880394.100000001"/>
    <n v="4222340.68"/>
    <n v="15658053.42"/>
    <n v="4.63"/>
    <n v="4.83"/>
  </r>
  <r>
    <x v="42"/>
    <x v="1"/>
    <x v="8"/>
    <x v="1"/>
    <n v="81"/>
    <n v="5938181.0499999998"/>
    <n v="1277809.8799999999"/>
    <n v="4660371.17"/>
    <n v="4.1900000000000004"/>
    <n v="4.34"/>
  </r>
  <r>
    <x v="1260"/>
    <x v="1"/>
    <x v="8"/>
    <x v="0"/>
    <n v="229"/>
    <n v="16020952.83"/>
    <n v="5267824.59"/>
    <n v="10753128.24"/>
    <n v="1.17"/>
    <n v="4.3899999999999997"/>
  </r>
  <r>
    <x v="590"/>
    <x v="1"/>
    <x v="5"/>
    <x v="2"/>
    <n v="277"/>
    <n v="18103750.460000001"/>
    <n v="6365864.5199999996"/>
    <n v="11737885.939999999"/>
    <n v="2.42"/>
    <n v="4.95"/>
  </r>
  <r>
    <x v="66"/>
    <x v="1"/>
    <x v="5"/>
    <x v="1"/>
    <n v="219"/>
    <n v="14463142.359999999"/>
    <n v="3086560.05"/>
    <n v="11376582.310000001"/>
    <n v="3.14"/>
    <n v="4.29"/>
  </r>
  <r>
    <x v="291"/>
    <x v="1"/>
    <x v="9"/>
    <x v="1"/>
    <n v="111"/>
    <n v="8915505.6600000001"/>
    <n v="3202293.33"/>
    <n v="5713212.3399999999"/>
    <n v="2.61"/>
    <n v="4.7"/>
  </r>
  <r>
    <x v="1234"/>
    <x v="1"/>
    <x v="6"/>
    <x v="0"/>
    <n v="179"/>
    <n v="9988620.3499999996"/>
    <n v="2962038.5"/>
    <n v="7026581.8499999996"/>
    <n v="2.36"/>
    <n v="3.8"/>
  </r>
  <r>
    <x v="554"/>
    <x v="1"/>
    <x v="9"/>
    <x v="1"/>
    <n v="493"/>
    <n v="17942327.399999999"/>
    <n v="4700721.5199999996"/>
    <n v="13241605.880000001"/>
    <n v="1.92"/>
    <n v="3.58"/>
  </r>
  <r>
    <x v="953"/>
    <x v="1"/>
    <x v="9"/>
    <x v="0"/>
    <n v="150"/>
    <n v="8223250.8300000001"/>
    <n v="3146098.66"/>
    <n v="5077152.17"/>
    <n v="1.41"/>
    <n v="4.32"/>
  </r>
  <r>
    <x v="733"/>
    <x v="1"/>
    <x v="8"/>
    <x v="1"/>
    <n v="415"/>
    <n v="21326330.399999999"/>
    <n v="8147684.0099999998"/>
    <n v="13178646.390000001"/>
    <n v="4.5999999999999996"/>
    <n v="3.51"/>
  </r>
  <r>
    <x v="387"/>
    <x v="1"/>
    <x v="7"/>
    <x v="2"/>
    <n v="426"/>
    <n v="20663251.170000002"/>
    <n v="4908240.49"/>
    <n v="15755010.68"/>
    <n v="2.04"/>
    <n v="3.67"/>
  </r>
  <r>
    <x v="136"/>
    <x v="1"/>
    <x v="8"/>
    <x v="1"/>
    <n v="355"/>
    <n v="31282876.039999999"/>
    <n v="11225582.42"/>
    <n v="20057293.620000001"/>
    <n v="3.84"/>
    <n v="4.32"/>
  </r>
  <r>
    <x v="936"/>
    <x v="1"/>
    <x v="5"/>
    <x v="2"/>
    <n v="232"/>
    <n v="11723014.65"/>
    <n v="4499401.49"/>
    <n v="7223613.1600000001"/>
    <n v="4.4400000000000004"/>
    <n v="4.59"/>
  </r>
  <r>
    <x v="1053"/>
    <x v="1"/>
    <x v="5"/>
    <x v="0"/>
    <n v="261"/>
    <n v="22291201.760000002"/>
    <n v="7454899.2199999997"/>
    <n v="14836302.550000001"/>
    <n v="2.17"/>
    <n v="4.6399999999999997"/>
  </r>
  <r>
    <x v="713"/>
    <x v="1"/>
    <x v="6"/>
    <x v="2"/>
    <n v="272"/>
    <n v="9577403.6999999993"/>
    <n v="2869374.44"/>
    <n v="6708029.25"/>
    <n v="3.12"/>
    <n v="4.37"/>
  </r>
  <r>
    <x v="245"/>
    <x v="1"/>
    <x v="6"/>
    <x v="0"/>
    <n v="157"/>
    <n v="5923347.0199999996"/>
    <n v="2064804.5"/>
    <n v="3858542.52"/>
    <n v="2.59"/>
    <n v="3.84"/>
  </r>
  <r>
    <x v="247"/>
    <x v="1"/>
    <x v="8"/>
    <x v="0"/>
    <n v="68"/>
    <n v="2705788.74"/>
    <n v="818563.63"/>
    <n v="1887225.11"/>
    <n v="3.61"/>
    <n v="3.89"/>
  </r>
  <r>
    <x v="1235"/>
    <x v="1"/>
    <x v="8"/>
    <x v="0"/>
    <n v="482"/>
    <n v="28663037.989999998"/>
    <n v="8661692.6199999992"/>
    <n v="20001345.370000001"/>
    <n v="2.08"/>
    <n v="4.8600000000000003"/>
  </r>
  <r>
    <x v="1261"/>
    <x v="1"/>
    <x v="6"/>
    <x v="1"/>
    <n v="322"/>
    <n v="16569398.800000001"/>
    <n v="5199947"/>
    <n v="11369451.800000001"/>
    <n v="1.9"/>
    <n v="4.59"/>
  </r>
  <r>
    <x v="662"/>
    <x v="1"/>
    <x v="9"/>
    <x v="0"/>
    <n v="98"/>
    <n v="8003262.8600000003"/>
    <n v="2619859.5299999998"/>
    <n v="5383403.3300000001"/>
    <n v="4.07"/>
    <n v="4.91"/>
  </r>
  <r>
    <x v="979"/>
    <x v="1"/>
    <x v="9"/>
    <x v="2"/>
    <n v="312"/>
    <n v="16741020.32"/>
    <n v="4872991.43"/>
    <n v="11868028.890000001"/>
    <n v="0.68"/>
    <n v="4.62"/>
  </r>
  <r>
    <x v="1262"/>
    <x v="1"/>
    <x v="5"/>
    <x v="2"/>
    <n v="178"/>
    <n v="6731869.2699999996"/>
    <n v="2151672"/>
    <n v="4580197.26"/>
    <n v="3.53"/>
    <n v="4.18"/>
  </r>
  <r>
    <x v="927"/>
    <x v="1"/>
    <x v="8"/>
    <x v="2"/>
    <n v="206"/>
    <n v="12469430.74"/>
    <n v="3443547.23"/>
    <n v="9025883.5099999998"/>
    <n v="2.66"/>
    <n v="4.49"/>
  </r>
  <r>
    <x v="8"/>
    <x v="1"/>
    <x v="8"/>
    <x v="2"/>
    <n v="383"/>
    <n v="24900085.579999998"/>
    <n v="8943790.0899999999"/>
    <n v="15956295.5"/>
    <n v="1.81"/>
    <n v="4.62"/>
  </r>
  <r>
    <x v="1263"/>
    <x v="1"/>
    <x v="7"/>
    <x v="1"/>
    <n v="350"/>
    <n v="19574276.300000001"/>
    <n v="7414244.21"/>
    <n v="12160032.08"/>
    <n v="2.89"/>
    <n v="4.09"/>
  </r>
  <r>
    <x v="1264"/>
    <x v="1"/>
    <x v="9"/>
    <x v="2"/>
    <n v="51"/>
    <n v="2983029.65"/>
    <n v="909764.18"/>
    <n v="2073265.47"/>
    <n v="4.54"/>
    <n v="4.29"/>
  </r>
  <r>
    <x v="374"/>
    <x v="1"/>
    <x v="9"/>
    <x v="0"/>
    <n v="318"/>
    <n v="21943906.07"/>
    <n v="5790240.2999999998"/>
    <n v="16153665.77"/>
    <n v="3.5"/>
    <n v="4.2699999999999996"/>
  </r>
  <r>
    <x v="610"/>
    <x v="1"/>
    <x v="9"/>
    <x v="0"/>
    <n v="353"/>
    <n v="12373316.41"/>
    <n v="4852158.78"/>
    <n v="7521157.6299999999"/>
    <n v="4.9000000000000004"/>
    <n v="3.86"/>
  </r>
  <r>
    <x v="513"/>
    <x v="1"/>
    <x v="9"/>
    <x v="1"/>
    <n v="328"/>
    <n v="18474020.59"/>
    <n v="6878364.8399999999"/>
    <n v="11595655.75"/>
    <n v="3.82"/>
    <n v="4.79"/>
  </r>
  <r>
    <x v="1265"/>
    <x v="1"/>
    <x v="8"/>
    <x v="1"/>
    <n v="95"/>
    <n v="6461313.6200000001"/>
    <n v="1639557.57"/>
    <n v="4821756.05"/>
    <n v="3.96"/>
    <n v="4.96"/>
  </r>
  <r>
    <x v="1106"/>
    <x v="1"/>
    <x v="6"/>
    <x v="1"/>
    <n v="321"/>
    <n v="16697682.890000001"/>
    <n v="3550847.24"/>
    <n v="13146835.65"/>
    <n v="2.82"/>
    <n v="4.25"/>
  </r>
  <r>
    <x v="1266"/>
    <x v="1"/>
    <x v="7"/>
    <x v="0"/>
    <n v="405"/>
    <n v="16834212.030000001"/>
    <n v="5629889.6399999997"/>
    <n v="11204322.390000001"/>
    <n v="4.17"/>
    <n v="4.4000000000000004"/>
  </r>
  <r>
    <x v="1267"/>
    <x v="1"/>
    <x v="5"/>
    <x v="2"/>
    <n v="100"/>
    <n v="4554549.2"/>
    <n v="1315811.74"/>
    <n v="3238737.46"/>
    <n v="3.13"/>
    <n v="3.81"/>
  </r>
  <r>
    <x v="1268"/>
    <x v="1"/>
    <x v="5"/>
    <x v="2"/>
    <n v="102"/>
    <n v="4064434.16"/>
    <n v="994324.44"/>
    <n v="3070109.72"/>
    <n v="4.3099999999999996"/>
    <n v="3.77"/>
  </r>
  <r>
    <x v="1269"/>
    <x v="1"/>
    <x v="8"/>
    <x v="0"/>
    <n v="241"/>
    <n v="19405834.710000001"/>
    <n v="4890783.33"/>
    <n v="14515051.369999999"/>
    <n v="4.05"/>
    <n v="3.68"/>
  </r>
  <r>
    <x v="1270"/>
    <x v="1"/>
    <x v="7"/>
    <x v="2"/>
    <n v="436"/>
    <n v="19971757.469999999"/>
    <n v="7142915.5899999999"/>
    <n v="12828841.880000001"/>
    <n v="0.69"/>
    <n v="3.98"/>
  </r>
  <r>
    <x v="593"/>
    <x v="1"/>
    <x v="5"/>
    <x v="2"/>
    <n v="316"/>
    <n v="23301347.789999999"/>
    <n v="4993027.34"/>
    <n v="18308320.449999999"/>
    <n v="3.82"/>
    <n v="3.96"/>
  </r>
  <r>
    <x v="665"/>
    <x v="1"/>
    <x v="6"/>
    <x v="1"/>
    <n v="63"/>
    <n v="4617306.84"/>
    <n v="1668814.22"/>
    <n v="2948492.62"/>
    <n v="0.92"/>
    <n v="4.3"/>
  </r>
  <r>
    <x v="867"/>
    <x v="1"/>
    <x v="9"/>
    <x v="2"/>
    <n v="59"/>
    <n v="4421145.34"/>
    <n v="1661198.5"/>
    <n v="2759946.84"/>
    <n v="1.86"/>
    <n v="4.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CA7A16F-97ED-4280-8419-E4C06598D00C}" name="PivotTable7"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D18" firstHeaderRow="1" firstDataRow="2" firstDataCol="1"/>
  <pivotFields count="4">
    <pivotField axis="axisRow" allDrilled="1" showAll="0" dataSourceSort="1" defaultAttributeDrillState="1">
      <items count="2">
        <item x="0"/>
        <item t="default"/>
      </items>
    </pivotField>
    <pivotField axis="axisRow" allDrilled="1" subtotalTop="0" showAll="0" dataSourceSort="1" defaultSubtotal="0">
      <items count="13">
        <item x="0" e="0"/>
        <item x="1" e="0"/>
        <item x="2" e="0"/>
        <item x="3" e="0"/>
        <item x="4" e="0"/>
        <item x="5" e="0"/>
        <item x="6" e="0"/>
        <item x="7" e="0"/>
        <item x="8" e="0"/>
        <item x="9" e="0"/>
        <item x="10" e="0"/>
        <item x="11" e="0"/>
        <item x="12" e="0"/>
      </items>
    </pivotField>
    <pivotField axis="axisCol" allDrilled="1" subtotalTop="0" showAll="0" dataSourceSort="1" defaultSubtotal="0" defaultAttributeDrillState="1">
      <items count="2">
        <item x="0"/>
        <item x="1"/>
      </items>
    </pivotField>
    <pivotField dataField="1" subtotalTop="0" showAll="0" defaultSubtotal="0"/>
  </pivotFields>
  <rowFields count="2">
    <field x="1"/>
    <field x="0"/>
  </rowFields>
  <rowItems count="14">
    <i>
      <x/>
    </i>
    <i>
      <x v="1"/>
    </i>
    <i>
      <x v="2"/>
    </i>
    <i>
      <x v="3"/>
    </i>
    <i>
      <x v="4"/>
    </i>
    <i>
      <x v="5"/>
    </i>
    <i>
      <x v="6"/>
    </i>
    <i>
      <x v="7"/>
    </i>
    <i>
      <x v="8"/>
    </i>
    <i>
      <x v="9"/>
    </i>
    <i>
      <x v="10"/>
    </i>
    <i>
      <x v="11"/>
    </i>
    <i>
      <x v="12"/>
    </i>
    <i t="grand">
      <x/>
    </i>
  </rowItems>
  <colFields count="1">
    <field x="2"/>
  </colFields>
  <colItems count="3">
    <i>
      <x/>
    </i>
    <i>
      <x v="1"/>
    </i>
    <i t="grand">
      <x/>
    </i>
  </colItems>
  <dataFields count="1">
    <dataField name="Sum of Units_Sold" fld="3" baseField="0" baseItem="0"/>
  </dataFields>
  <chartFormats count="2">
    <chartFormat chart="2" format="4" series="1">
      <pivotArea type="data" outline="0" fieldPosition="0">
        <references count="2">
          <reference field="4294967294" count="1" selected="0">
            <x v="0"/>
          </reference>
          <reference field="2" count="1" selected="0">
            <x v="0"/>
          </reference>
        </references>
      </pivotArea>
    </chartFormat>
    <chartFormat chart="2" format="5" series="1">
      <pivotArea type="data" outline="0" fieldPosition="0">
        <references count="2">
          <reference field="4294967294" count="1" selected="0">
            <x v="0"/>
          </reference>
          <reference field="2" count="1" selected="0">
            <x v="1"/>
          </reference>
        </references>
      </pivotArea>
    </chartFormat>
  </chartFormats>
  <pivotHierarchies count="18">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2">
    <rowHierarchyUsage hierarchyUsage="11"/>
    <rowHierarchyUsage hierarchyUsage="10"/>
  </rowHierarchiesUsage>
  <colHierarchiesUsage count="1">
    <colHierarchyUsage hierarchyUsage="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car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38A9399-0F7B-4703-8CEA-A2FFF476D878}"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L3:O15" firstHeaderRow="1" firstDataRow="2" firstDataCol="1"/>
  <pivotFields count="10">
    <pivotField showAll="0">
      <items count="22">
        <item x="0"/>
        <item x="1"/>
        <item x="2"/>
        <item x="3"/>
        <item x="4"/>
        <item x="5"/>
        <item x="6"/>
        <item x="7"/>
        <item x="8"/>
        <item x="9"/>
        <item x="10"/>
        <item x="11"/>
        <item x="12"/>
        <item x="13"/>
        <item x="14"/>
        <item x="15"/>
        <item x="16"/>
        <item x="17"/>
        <item x="18"/>
        <item x="19"/>
        <item x="20"/>
        <item t="default"/>
      </items>
    </pivotField>
    <pivotField axis="axisCol" showAll="0">
      <items count="3">
        <item x="0"/>
        <item x="1"/>
        <item t="default"/>
      </items>
    </pivotField>
    <pivotField axis="axisRow" showAll="0">
      <items count="11">
        <item x="9"/>
        <item x="8"/>
        <item x="0"/>
        <item x="6"/>
        <item x="1"/>
        <item x="2"/>
        <item x="4"/>
        <item x="3"/>
        <item x="5"/>
        <item x="7"/>
        <item t="default"/>
      </items>
    </pivotField>
    <pivotField showAll="0">
      <items count="4">
        <item x="1"/>
        <item x="0"/>
        <item x="2"/>
        <item t="default"/>
      </items>
    </pivotField>
    <pivotField showAll="0"/>
    <pivotField showAll="0"/>
    <pivotField dataField="1" showAll="0"/>
    <pivotField showAll="0"/>
    <pivotField showAll="0"/>
    <pivotField showAll="0"/>
  </pivotFields>
  <rowFields count="1">
    <field x="2"/>
  </rowFields>
  <rowItems count="11">
    <i>
      <x/>
    </i>
    <i>
      <x v="1"/>
    </i>
    <i>
      <x v="2"/>
    </i>
    <i>
      <x v="3"/>
    </i>
    <i>
      <x v="4"/>
    </i>
    <i>
      <x v="5"/>
    </i>
    <i>
      <x v="6"/>
    </i>
    <i>
      <x v="7"/>
    </i>
    <i>
      <x v="8"/>
    </i>
    <i>
      <x v="9"/>
    </i>
    <i t="grand">
      <x/>
    </i>
  </rowItems>
  <colFields count="1">
    <field x="1"/>
  </colFields>
  <colItems count="3">
    <i>
      <x/>
    </i>
    <i>
      <x v="1"/>
    </i>
    <i t="grand">
      <x/>
    </i>
  </colItems>
  <dataFields count="1">
    <dataField name="Sum of Profit" fld="6" baseField="0" baseItem="0"/>
  </dataFields>
  <chartFormats count="24">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2" format="24" series="1">
      <pivotArea type="data" outline="0" fieldPosition="0">
        <references count="2">
          <reference field="4294967294" count="1" selected="0">
            <x v="0"/>
          </reference>
          <reference field="1" count="1" selected="0">
            <x v="0"/>
          </reference>
        </references>
      </pivotArea>
    </chartFormat>
    <chartFormat chart="2" format="25">
      <pivotArea type="data" outline="0" fieldPosition="0">
        <references count="3">
          <reference field="4294967294" count="1" selected="0">
            <x v="0"/>
          </reference>
          <reference field="1" count="1" selected="0">
            <x v="0"/>
          </reference>
          <reference field="2" count="1" selected="0">
            <x v="0"/>
          </reference>
        </references>
      </pivotArea>
    </chartFormat>
    <chartFormat chart="2" format="26">
      <pivotArea type="data" outline="0" fieldPosition="0">
        <references count="3">
          <reference field="4294967294" count="1" selected="0">
            <x v="0"/>
          </reference>
          <reference field="1" count="1" selected="0">
            <x v="0"/>
          </reference>
          <reference field="2" count="1" selected="0">
            <x v="1"/>
          </reference>
        </references>
      </pivotArea>
    </chartFormat>
    <chartFormat chart="2" format="27">
      <pivotArea type="data" outline="0" fieldPosition="0">
        <references count="3">
          <reference field="4294967294" count="1" selected="0">
            <x v="0"/>
          </reference>
          <reference field="1" count="1" selected="0">
            <x v="0"/>
          </reference>
          <reference field="2" count="1" selected="0">
            <x v="2"/>
          </reference>
        </references>
      </pivotArea>
    </chartFormat>
    <chartFormat chart="2" format="28">
      <pivotArea type="data" outline="0" fieldPosition="0">
        <references count="3">
          <reference field="4294967294" count="1" selected="0">
            <x v="0"/>
          </reference>
          <reference field="1" count="1" selected="0">
            <x v="0"/>
          </reference>
          <reference field="2" count="1" selected="0">
            <x v="3"/>
          </reference>
        </references>
      </pivotArea>
    </chartFormat>
    <chartFormat chart="2" format="29">
      <pivotArea type="data" outline="0" fieldPosition="0">
        <references count="3">
          <reference field="4294967294" count="1" selected="0">
            <x v="0"/>
          </reference>
          <reference field="1" count="1" selected="0">
            <x v="0"/>
          </reference>
          <reference field="2" count="1" selected="0">
            <x v="4"/>
          </reference>
        </references>
      </pivotArea>
    </chartFormat>
    <chartFormat chart="2" format="30">
      <pivotArea type="data" outline="0" fieldPosition="0">
        <references count="3">
          <reference field="4294967294" count="1" selected="0">
            <x v="0"/>
          </reference>
          <reference field="1" count="1" selected="0">
            <x v="0"/>
          </reference>
          <reference field="2" count="1" selected="0">
            <x v="5"/>
          </reference>
        </references>
      </pivotArea>
    </chartFormat>
    <chartFormat chart="2" format="31">
      <pivotArea type="data" outline="0" fieldPosition="0">
        <references count="3">
          <reference field="4294967294" count="1" selected="0">
            <x v="0"/>
          </reference>
          <reference field="1" count="1" selected="0">
            <x v="0"/>
          </reference>
          <reference field="2" count="1" selected="0">
            <x v="6"/>
          </reference>
        </references>
      </pivotArea>
    </chartFormat>
    <chartFormat chart="2" format="32">
      <pivotArea type="data" outline="0" fieldPosition="0">
        <references count="3">
          <reference field="4294967294" count="1" selected="0">
            <x v="0"/>
          </reference>
          <reference field="1" count="1" selected="0">
            <x v="0"/>
          </reference>
          <reference field="2" count="1" selected="0">
            <x v="7"/>
          </reference>
        </references>
      </pivotArea>
    </chartFormat>
    <chartFormat chart="2" format="33">
      <pivotArea type="data" outline="0" fieldPosition="0">
        <references count="3">
          <reference field="4294967294" count="1" selected="0">
            <x v="0"/>
          </reference>
          <reference field="1" count="1" selected="0">
            <x v="0"/>
          </reference>
          <reference field="2" count="1" selected="0">
            <x v="8"/>
          </reference>
        </references>
      </pivotArea>
    </chartFormat>
    <chartFormat chart="2" format="34">
      <pivotArea type="data" outline="0" fieldPosition="0">
        <references count="3">
          <reference field="4294967294" count="1" selected="0">
            <x v="0"/>
          </reference>
          <reference field="1" count="1" selected="0">
            <x v="0"/>
          </reference>
          <reference field="2" count="1" selected="0">
            <x v="9"/>
          </reference>
        </references>
      </pivotArea>
    </chartFormat>
    <chartFormat chart="2" format="35" series="1">
      <pivotArea type="data" outline="0" fieldPosition="0">
        <references count="2">
          <reference field="4294967294" count="1" selected="0">
            <x v="0"/>
          </reference>
          <reference field="1" count="1" selected="0">
            <x v="1"/>
          </reference>
        </references>
      </pivotArea>
    </chartFormat>
    <chartFormat chart="2" format="36">
      <pivotArea type="data" outline="0" fieldPosition="0">
        <references count="3">
          <reference field="4294967294" count="1" selected="0">
            <x v="0"/>
          </reference>
          <reference field="1" count="1" selected="0">
            <x v="1"/>
          </reference>
          <reference field="2" count="1" selected="0">
            <x v="0"/>
          </reference>
        </references>
      </pivotArea>
    </chartFormat>
    <chartFormat chart="2" format="37">
      <pivotArea type="data" outline="0" fieldPosition="0">
        <references count="3">
          <reference field="4294967294" count="1" selected="0">
            <x v="0"/>
          </reference>
          <reference field="1" count="1" selected="0">
            <x v="1"/>
          </reference>
          <reference field="2" count="1" selected="0">
            <x v="1"/>
          </reference>
        </references>
      </pivotArea>
    </chartFormat>
    <chartFormat chart="2" format="38">
      <pivotArea type="data" outline="0" fieldPosition="0">
        <references count="3">
          <reference field="4294967294" count="1" selected="0">
            <x v="0"/>
          </reference>
          <reference field="1" count="1" selected="0">
            <x v="1"/>
          </reference>
          <reference field="2" count="1" selected="0">
            <x v="2"/>
          </reference>
        </references>
      </pivotArea>
    </chartFormat>
    <chartFormat chart="2" format="39">
      <pivotArea type="data" outline="0" fieldPosition="0">
        <references count="3">
          <reference field="4294967294" count="1" selected="0">
            <x v="0"/>
          </reference>
          <reference field="1" count="1" selected="0">
            <x v="1"/>
          </reference>
          <reference field="2" count="1" selected="0">
            <x v="3"/>
          </reference>
        </references>
      </pivotArea>
    </chartFormat>
    <chartFormat chart="2" format="40">
      <pivotArea type="data" outline="0" fieldPosition="0">
        <references count="3">
          <reference field="4294967294" count="1" selected="0">
            <x v="0"/>
          </reference>
          <reference field="1" count="1" selected="0">
            <x v="1"/>
          </reference>
          <reference field="2" count="1" selected="0">
            <x v="4"/>
          </reference>
        </references>
      </pivotArea>
    </chartFormat>
    <chartFormat chart="2" format="41">
      <pivotArea type="data" outline="0" fieldPosition="0">
        <references count="3">
          <reference field="4294967294" count="1" selected="0">
            <x v="0"/>
          </reference>
          <reference field="1" count="1" selected="0">
            <x v="1"/>
          </reference>
          <reference field="2" count="1" selected="0">
            <x v="5"/>
          </reference>
        </references>
      </pivotArea>
    </chartFormat>
    <chartFormat chart="2" format="42">
      <pivotArea type="data" outline="0" fieldPosition="0">
        <references count="3">
          <reference field="4294967294" count="1" selected="0">
            <x v="0"/>
          </reference>
          <reference field="1" count="1" selected="0">
            <x v="1"/>
          </reference>
          <reference field="2" count="1" selected="0">
            <x v="6"/>
          </reference>
        </references>
      </pivotArea>
    </chartFormat>
    <chartFormat chart="2" format="43">
      <pivotArea type="data" outline="0" fieldPosition="0">
        <references count="3">
          <reference field="4294967294" count="1" selected="0">
            <x v="0"/>
          </reference>
          <reference field="1" count="1" selected="0">
            <x v="1"/>
          </reference>
          <reference field="2" count="1" selected="0">
            <x v="7"/>
          </reference>
        </references>
      </pivotArea>
    </chartFormat>
    <chartFormat chart="2" format="44">
      <pivotArea type="data" outline="0" fieldPosition="0">
        <references count="3">
          <reference field="4294967294" count="1" selected="0">
            <x v="0"/>
          </reference>
          <reference field="1" count="1" selected="0">
            <x v="1"/>
          </reference>
          <reference field="2" count="1" selected="0">
            <x v="8"/>
          </reference>
        </references>
      </pivotArea>
    </chartFormat>
    <chartFormat chart="2" format="45">
      <pivotArea type="data" outline="0" fieldPosition="0">
        <references count="3">
          <reference field="4294967294" count="1" selected="0">
            <x v="0"/>
          </reference>
          <reference field="1" count="1" selected="0">
            <x v="1"/>
          </reference>
          <reference field="2"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6DFAAF5-7238-4A67-9E5C-39B35101527E}" name="PivotTable2"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3:B6" firstHeaderRow="1" firstDataRow="1" firstDataCol="1"/>
  <pivotFields count="3">
    <pivotField axis="axisRow" allDrilled="1" showAll="0" dataSourceSort="1" defaultAttributeDrillState="1">
      <items count="3">
        <item x="0"/>
        <item x="1"/>
        <item t="default"/>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Sum of Revenue" fld="1" baseField="0" baseItem="0"/>
  </dataFields>
  <chartFormats count="3">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0" count="1" selected="0">
            <x v="1"/>
          </reference>
        </references>
      </pivotArea>
    </chartFormat>
    <chartFormat chart="4" format="4">
      <pivotArea type="data" outline="0" fieldPosition="0">
        <references count="2">
          <reference field="4294967294" count="1" selected="0">
            <x v="0"/>
          </reference>
          <reference field="0" count="1" selected="0">
            <x v="0"/>
          </reference>
        </references>
      </pivotArea>
    </chartFormat>
  </chartFormats>
  <pivotHierarchies count="18">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car_data">
        <x15:activeTabTopLevelEntity name="[car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593C285-1326-4DFD-B7C2-778A9A20A14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22:J43" firstHeaderRow="1" firstDataRow="2" firstDataCol="1"/>
  <pivotFields count="10">
    <pivotField axis="axisRow" showAll="0">
      <items count="22">
        <item x="0"/>
        <item x="1"/>
        <item x="2"/>
        <item x="3"/>
        <item x="4"/>
        <item x="5"/>
        <item x="6"/>
        <item x="7"/>
        <item x="8"/>
        <item x="9"/>
        <item x="10"/>
        <item x="11"/>
        <item x="12"/>
        <item x="13"/>
        <item x="14"/>
        <item x="15"/>
        <item x="16"/>
        <item x="17"/>
        <item x="18"/>
        <item x="19"/>
        <item x="20"/>
        <item t="default"/>
      </items>
    </pivotField>
    <pivotField axis="axisCol" showAll="0">
      <items count="3">
        <item x="0"/>
        <item x="1"/>
        <item t="default"/>
      </items>
    </pivotField>
    <pivotField showAll="0">
      <items count="11">
        <item x="9"/>
        <item x="8"/>
        <item x="0"/>
        <item x="6"/>
        <item x="1"/>
        <item x="2"/>
        <item x="4"/>
        <item x="3"/>
        <item x="5"/>
        <item x="7"/>
        <item t="default"/>
      </items>
    </pivotField>
    <pivotField showAll="0">
      <items count="4">
        <item x="1"/>
        <item x="0"/>
        <item x="2"/>
        <item t="default"/>
      </items>
    </pivotField>
    <pivotField dataField="1" showAll="0"/>
    <pivotField showAll="0"/>
    <pivotField showAll="0"/>
    <pivotField showAll="0"/>
    <pivotField showAll="0"/>
    <pivotField showAll="0"/>
  </pivotFields>
  <rowFields count="1">
    <field x="0"/>
  </rowFields>
  <rowItems count="20">
    <i>
      <x v="1"/>
    </i>
    <i>
      <x v="2"/>
    </i>
    <i>
      <x v="3"/>
    </i>
    <i>
      <x v="4"/>
    </i>
    <i>
      <x v="5"/>
    </i>
    <i>
      <x v="6"/>
    </i>
    <i>
      <x v="7"/>
    </i>
    <i>
      <x v="8"/>
    </i>
    <i>
      <x v="9"/>
    </i>
    <i>
      <x v="10"/>
    </i>
    <i>
      <x v="11"/>
    </i>
    <i>
      <x v="12"/>
    </i>
    <i>
      <x v="13"/>
    </i>
    <i>
      <x v="14"/>
    </i>
    <i>
      <x v="15"/>
    </i>
    <i>
      <x v="16"/>
    </i>
    <i>
      <x v="17"/>
    </i>
    <i>
      <x v="18"/>
    </i>
    <i>
      <x v="19"/>
    </i>
    <i t="grand">
      <x/>
    </i>
  </rowItems>
  <colFields count="1">
    <field x="1"/>
  </colFields>
  <colItems count="3">
    <i>
      <x/>
    </i>
    <i>
      <x v="1"/>
    </i>
    <i t="grand">
      <x/>
    </i>
  </colItems>
  <dataFields count="1">
    <dataField name="Sum of Units_Sold" fld="4" baseField="0" baseItem="0"/>
  </dataFields>
  <formats count="1">
    <format dxfId="24">
      <pivotArea dataOnly="0" labelOnly="1" fieldPosition="0">
        <references count="1">
          <reference field="0"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F284041-77DB-493E-897D-3C08385DA97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8:J20" firstHeaderRow="1" firstDataRow="2" firstDataCol="1"/>
  <pivotFields count="10">
    <pivotField showAll="0">
      <items count="22">
        <item x="0"/>
        <item x="1"/>
        <item x="2"/>
        <item x="3"/>
        <item x="4"/>
        <item x="5"/>
        <item x="6"/>
        <item x="7"/>
        <item x="8"/>
        <item x="9"/>
        <item x="10"/>
        <item x="11"/>
        <item x="12"/>
        <item x="13"/>
        <item x="14"/>
        <item x="15"/>
        <item x="16"/>
        <item x="17"/>
        <item x="18"/>
        <item x="19"/>
        <item x="20"/>
        <item t="default"/>
      </items>
    </pivotField>
    <pivotField axis="axisCol" showAll="0">
      <items count="3">
        <item x="0"/>
        <item x="1"/>
        <item t="default"/>
      </items>
    </pivotField>
    <pivotField showAll="0">
      <items count="11">
        <item x="9"/>
        <item x="8"/>
        <item x="0"/>
        <item x="6"/>
        <item x="1"/>
        <item x="2"/>
        <item x="4"/>
        <item x="3"/>
        <item x="5"/>
        <item x="7"/>
        <item t="default"/>
      </items>
    </pivotField>
    <pivotField showAll="0">
      <items count="4">
        <item x="1"/>
        <item x="0"/>
        <item x="2"/>
        <item t="default"/>
      </items>
    </pivotField>
    <pivotField dataField="1" showAll="0"/>
    <pivotField showAll="0"/>
    <pivotField showAll="0"/>
    <pivotField showAll="0"/>
    <pivotField showAll="0"/>
    <pivotField showAll="0"/>
  </pivotFields>
  <rowItems count="1">
    <i/>
  </rowItems>
  <colFields count="1">
    <field x="1"/>
  </colFields>
  <colItems count="3">
    <i>
      <x/>
    </i>
    <i>
      <x v="1"/>
    </i>
    <i t="grand">
      <x/>
    </i>
  </colItems>
  <dataFields count="1">
    <dataField name="Sum of Units_Sold" fld="4"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63A4BF4-890C-4AD7-823D-CCE7B197F9C0}"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8:D39" firstHeaderRow="1" firstDataRow="2" firstDataCol="1"/>
  <pivotFields count="10">
    <pivotField axis="axisRow" showAll="0">
      <items count="22">
        <item x="0"/>
        <item x="1"/>
        <item x="2"/>
        <item x="3"/>
        <item x="4"/>
        <item x="5"/>
        <item x="6"/>
        <item x="7"/>
        <item x="8"/>
        <item x="9"/>
        <item x="10"/>
        <item x="11"/>
        <item x="12"/>
        <item x="13"/>
        <item x="14"/>
        <item x="15"/>
        <item x="16"/>
        <item x="17"/>
        <item x="18"/>
        <item x="19"/>
        <item x="20"/>
        <item t="default"/>
      </items>
    </pivotField>
    <pivotField axis="axisCol" showAll="0">
      <items count="3">
        <item x="0"/>
        <item x="1"/>
        <item t="default"/>
      </items>
    </pivotField>
    <pivotField showAll="0">
      <items count="11">
        <item x="9"/>
        <item x="8"/>
        <item x="0"/>
        <item x="6"/>
        <item x="1"/>
        <item x="2"/>
        <item x="4"/>
        <item x="3"/>
        <item x="5"/>
        <item x="7"/>
        <item t="default"/>
      </items>
    </pivotField>
    <pivotField showAll="0">
      <items count="4">
        <item x="1"/>
        <item x="0"/>
        <item x="2"/>
        <item t="default"/>
      </items>
    </pivotField>
    <pivotField dataField="1" showAll="0"/>
    <pivotField showAll="0"/>
    <pivotField showAll="0"/>
    <pivotField showAll="0"/>
    <pivotField showAll="0"/>
    <pivotField showAll="0"/>
  </pivotFields>
  <rowFields count="1">
    <field x="0"/>
  </rowFields>
  <rowItems count="20">
    <i>
      <x v="1"/>
    </i>
    <i>
      <x v="2"/>
    </i>
    <i>
      <x v="3"/>
    </i>
    <i>
      <x v="4"/>
    </i>
    <i>
      <x v="5"/>
    </i>
    <i>
      <x v="6"/>
    </i>
    <i>
      <x v="7"/>
    </i>
    <i>
      <x v="8"/>
    </i>
    <i>
      <x v="9"/>
    </i>
    <i>
      <x v="10"/>
    </i>
    <i>
      <x v="11"/>
    </i>
    <i>
      <x v="12"/>
    </i>
    <i>
      <x v="13"/>
    </i>
    <i>
      <x v="14"/>
    </i>
    <i>
      <x v="15"/>
    </i>
    <i>
      <x v="16"/>
    </i>
    <i>
      <x v="17"/>
    </i>
    <i>
      <x v="18"/>
    </i>
    <i>
      <x v="19"/>
    </i>
    <i t="grand">
      <x/>
    </i>
  </rowItems>
  <colFields count="1">
    <field x="1"/>
  </colFields>
  <colItems count="3">
    <i>
      <x/>
    </i>
    <i>
      <x v="1"/>
    </i>
    <i t="grand">
      <x/>
    </i>
  </colItems>
  <dataFields count="1">
    <dataField name="Sum of Units_Sold" fld="4" baseField="0" baseItem="0"/>
  </dataFields>
  <formats count="1">
    <format dxfId="25">
      <pivotArea dataOnly="0" labelOnly="1" fieldPosition="0">
        <references count="1">
          <reference field="0"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C4B8AF7-8131-496B-8AFD-602E09902498}"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0:D15" firstHeaderRow="1" firstDataRow="2" firstDataCol="1"/>
  <pivotFields count="10">
    <pivotField showAll="0">
      <items count="22">
        <item x="0"/>
        <item x="1"/>
        <item x="2"/>
        <item x="3"/>
        <item x="4"/>
        <item x="5"/>
        <item x="6"/>
        <item x="7"/>
        <item x="8"/>
        <item x="9"/>
        <item x="10"/>
        <item x="11"/>
        <item x="12"/>
        <item x="13"/>
        <item x="14"/>
        <item x="15"/>
        <item x="16"/>
        <item x="17"/>
        <item x="18"/>
        <item x="19"/>
        <item x="20"/>
        <item t="default"/>
      </items>
    </pivotField>
    <pivotField axis="axisCol" showAll="0">
      <items count="3">
        <item x="0"/>
        <item x="1"/>
        <item t="default"/>
      </items>
    </pivotField>
    <pivotField showAll="0">
      <items count="11">
        <item x="9"/>
        <item x="8"/>
        <item x="0"/>
        <item x="6"/>
        <item x="1"/>
        <item x="2"/>
        <item x="4"/>
        <item x="3"/>
        <item x="5"/>
        <item x="7"/>
        <item t="default"/>
      </items>
    </pivotField>
    <pivotField axis="axisRow" showAll="0">
      <items count="4">
        <item x="1"/>
        <item x="0"/>
        <item x="2"/>
        <item t="default"/>
      </items>
    </pivotField>
    <pivotField showAll="0"/>
    <pivotField dataField="1" showAll="0"/>
    <pivotField showAll="0"/>
    <pivotField showAll="0"/>
    <pivotField showAll="0"/>
    <pivotField showAll="0"/>
  </pivotFields>
  <rowFields count="1">
    <field x="3"/>
  </rowFields>
  <rowItems count="4">
    <i>
      <x/>
    </i>
    <i>
      <x v="1"/>
    </i>
    <i>
      <x v="2"/>
    </i>
    <i t="grand">
      <x/>
    </i>
  </rowItems>
  <colFields count="1">
    <field x="1"/>
  </colFields>
  <colItems count="3">
    <i>
      <x/>
    </i>
    <i>
      <x v="1"/>
    </i>
    <i t="grand">
      <x/>
    </i>
  </colItems>
  <dataFields count="1">
    <dataField name="Sum of Revenue" fld="5" baseField="0" baseItem="0"/>
  </dataFields>
  <chartFormats count="2">
    <chartFormat chart="2" format="2" series="1">
      <pivotArea type="data" outline="0" fieldPosition="0">
        <references count="2">
          <reference field="4294967294" count="1" selected="0">
            <x v="0"/>
          </reference>
          <reference field="1" count="1" selected="0">
            <x v="0"/>
          </reference>
        </references>
      </pivotArea>
    </chartFormat>
    <chartFormat chart="2" format="3"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A814E5D8-66E1-40B8-A520-A3B7B50B61CD}" autoFormatId="16" applyNumberFormats="0" applyBorderFormats="0" applyFontFormats="0" applyPatternFormats="0" applyAlignmentFormats="0" applyWidthHeightFormats="0">
  <queryTableRefresh nextId="11">
    <queryTableFields count="10">
      <queryTableField id="1" name="Date" tableColumnId="1"/>
      <queryTableField id="2" name="Company" tableColumnId="2"/>
      <queryTableField id="3" name="Model" tableColumnId="3"/>
      <queryTableField id="4" name="Region" tableColumnId="4"/>
      <queryTableField id="5" name="Units_Sold" tableColumnId="5"/>
      <queryTableField id="6" name="Revenue" tableColumnId="6"/>
      <queryTableField id="7" name="Profit" tableColumnId="7"/>
      <queryTableField id="8" name="Production_Cost" tableColumnId="8"/>
      <queryTableField id="9" name="Dealer_Discount" tableColumnId="9"/>
      <queryTableField id="10" name="Customer_Rating" tableColumnId="10"/>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3" xr16:uid="{0481D33C-A0C4-4D65-BD60-622F78CCEEF3}" autoFormatId="16" applyNumberFormats="0" applyBorderFormats="0" applyFontFormats="0" applyPatternFormats="0" applyAlignmentFormats="0" applyWidthHeightFormats="0">
  <queryTableRefresh nextId="11">
    <queryTableFields count="10">
      <queryTableField id="1" name="Date" tableColumnId="1"/>
      <queryTableField id="2" name="Company" tableColumnId="2"/>
      <queryTableField id="3" name="Model" tableColumnId="3"/>
      <queryTableField id="4" name="Region" tableColumnId="4"/>
      <queryTableField id="5" name="Units_Sold" tableColumnId="5"/>
      <queryTableField id="6" name="Revenue" tableColumnId="6"/>
      <queryTableField id="7" name="Profit" tableColumnId="7"/>
      <queryTableField id="8" name="Production_Cost" tableColumnId="8"/>
      <queryTableField id="9" name="Dealer_Discount" tableColumnId="9"/>
      <queryTableField id="10" name="Customer_Rating" tableColumnId="10"/>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connectionId="1" xr16:uid="{8AB62FEE-607D-46EC-8758-D08CF3A90291}" autoFormatId="16" applyNumberFormats="0" applyBorderFormats="0" applyFontFormats="0" applyPatternFormats="0" applyAlignmentFormats="0" applyWidthHeightFormats="0">
  <queryTableRefresh nextId="14" unboundColumnsRight="1">
    <queryTableFields count="11">
      <queryTableField id="1" name="Date" tableColumnId="1"/>
      <queryTableField id="2" name="Company" tableColumnId="2"/>
      <queryTableField id="3" name="Model" tableColumnId="3"/>
      <queryTableField id="4" name="Region" tableColumnId="4"/>
      <queryTableField id="5" name="Units_Sold" tableColumnId="5"/>
      <queryTableField id="6" name="Revenue" tableColumnId="6"/>
      <queryTableField id="7" name="Profit" tableColumnId="7"/>
      <queryTableField id="8" name="Production_Cost" tableColumnId="8"/>
      <queryTableField id="9" name="Dealer_Discount" tableColumnId="9"/>
      <queryTableField id="10" name="Customer_Rating" tableColumnId="10"/>
      <queryTableField id="13" dataBound="0" tableColumnId="1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8BCBDBB8-D7EA-4ACD-8FA9-35EDA9D511C0}" sourceName="[Range].[Date (Month)]">
  <pivotTables>
    <pivotTable tabId="15" name="PivotTable7"/>
    <pivotTable tabId="6" name="PivotTable2"/>
  </pivotTables>
  <data>
    <olap pivotCacheId="628300337">
      <levels count="2">
        <level uniqueName="[Range].[Date (Month)].[(All)]" sourceCaption="(All)" count="0"/>
        <level uniqueName="[Range].[Date (Month)].[Date (Month)]" sourceCaption="Date (Month)" count="13">
          <ranges>
            <range startItem="0">
              <i n="[Range].[Date (Month)].&amp;[]" c=""/>
              <i n="[Range].[Date (Month)].&amp;[Jan]" c="Jan"/>
              <i n="[Range].[Date (Month)].&amp;[Feb]" c="Feb"/>
              <i n="[Range].[Date (Month)].&amp;[Mar]" c="Mar"/>
              <i n="[Range].[Date (Month)].&amp;[Apr]" c="Apr"/>
              <i n="[Range].[Date (Month)].&amp;[May]" c="May"/>
              <i n="[Range].[Date (Month)].&amp;[Jun]" c="Jun"/>
              <i n="[Range].[Date (Month)].&amp;[Jul]" c="Jul"/>
              <i n="[Range].[Date (Month)].&amp;[Aug]" c="Aug"/>
              <i n="[Range].[Date (Month)].&amp;[Sep]" c="Sep"/>
              <i n="[Range].[Date (Month)].&amp;[Oct]" c="Oct"/>
              <i n="[Range].[Date (Month)].&amp;[Nov]" c="Nov"/>
              <i n="[Range].[Date (Month)].&amp;[Dec]" c="Dec"/>
            </range>
          </ranges>
        </level>
      </levels>
      <selections count="1">
        <selection n="[Range].[Date (Month)].[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001F253-F180-46D5-BAE3-5901B776C6E9}" sourceName="Region">
  <pivotTables>
    <pivotTable tabId="6" name="PivotTable6"/>
    <pivotTable tabId="6" name="PivotTable1"/>
    <pivotTable tabId="6" name="PivotTable3"/>
    <pivotTable tabId="6" name="PivotTable5"/>
    <pivotTable tabId="6" name="PivotTable7"/>
  </pivotTables>
  <data>
    <tabular pivotCacheId="1776176694">
      <items count="3">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mpany" xr10:uid="{D4B473FA-0851-481F-9AC8-94F718ACC36E}" sourceName="[car_data].[Company]">
  <pivotTables>
    <pivotTable tabId="6" name="PivotTable2"/>
    <pivotTable tabId="15" name="PivotTable7"/>
  </pivotTables>
  <data>
    <olap pivotCacheId="628300337">
      <levels count="2">
        <level uniqueName="[car_data].[Company].[(All)]" sourceCaption="(All)" count="0"/>
        <level uniqueName="[car_data].[Company].[Company]" sourceCaption="Company" count="2">
          <ranges>
            <range startItem="0">
              <i n="[car_data].[Company].&amp;[Tesla]" c="Tesla"/>
              <i n="[car_data].[Company].&amp;[Toyota]" c="Toyota"/>
            </range>
          </ranges>
        </level>
      </levels>
      <selections count="1">
        <selection n="[car_data].[Company].[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del" xr10:uid="{84190934-B7B6-45A9-AB8B-4995E358CC44}" sourceName="Model">
  <pivotTables>
    <pivotTable tabId="6" name="PivotTable5"/>
    <pivotTable tabId="6" name="PivotTable1"/>
    <pivotTable tabId="6" name="PivotTable3"/>
    <pivotTable tabId="6" name="PivotTable6"/>
    <pivotTable tabId="6" name="PivotTable7"/>
  </pivotTables>
  <data>
    <tabular pivotCacheId="1776176694">
      <items count="10">
        <i x="9" s="1"/>
        <i x="8" s="1"/>
        <i x="0" s="1"/>
        <i x="6" s="1"/>
        <i x="1" s="1"/>
        <i x="2" s="1"/>
        <i x="4" s="1"/>
        <i x="3" s="1"/>
        <i x="5" s="1"/>
        <i x="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BB1DD007-F468-4CCB-8CEF-8D9B807462B4}" cache="Slicer_Date__Month" caption="Date (Month)" level="1" style="SlicerStyleLight2" rowHeight="241300"/>
  <slicer name="Region" xr10:uid="{6D64EB91-E7A0-45CA-9B64-DAC9FE92980F}" cache="Slicer_Region" caption="Region" style="SlicerStyleLight2" rowHeight="241300"/>
  <slicer name="Company" xr10:uid="{6C8D162B-B9A4-44AD-98FC-0AF7DCD7D767}" cache="Slicer_Company" caption="Company" level="1" style="SlicerStyleLight2" rowHeight="241300"/>
  <slicer name="Model" xr10:uid="{F67AFEFD-5DED-4B3C-878C-BB045FFF9A85}" cache="Slicer_Model" caption="Model" style="SlicerStyleLight2"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B68BFA7-5A94-48BC-AC10-497334664086}" name="Sheet1" displayName="Sheet1" ref="A1:J1101" tableType="queryTable" totalsRowShown="0">
  <autoFilter ref="A1:J1101" xr:uid="{AB68BFA7-5A94-48BC-AC10-497334664086}"/>
  <tableColumns count="10">
    <tableColumn id="1" xr3:uid="{6545BAF9-D990-42AA-ABBC-ED276C9E699B}" uniqueName="1" name="Date" queryTableFieldId="1"/>
    <tableColumn id="2" xr3:uid="{33473F57-2844-425C-AAEC-953CE3064CD7}" uniqueName="2" name="Company" queryTableFieldId="2" dataDxfId="31"/>
    <tableColumn id="3" xr3:uid="{3AFE3B9A-1D1F-4E11-8425-F79468213214}" uniqueName="3" name="Model" queryTableFieldId="3" dataDxfId="30"/>
    <tableColumn id="4" xr3:uid="{53E38F96-AF74-4500-A006-AA28E3B80600}" uniqueName="4" name="Region" queryTableFieldId="4" dataDxfId="29"/>
    <tableColumn id="5" xr3:uid="{E1C05D20-90A4-4B2A-AF4F-C1F953156DF1}" uniqueName="5" name="Units_Sold" queryTableFieldId="5"/>
    <tableColumn id="6" xr3:uid="{4C06EED5-40AD-4B58-8F51-63BC636085F0}" uniqueName="6" name="Revenue" queryTableFieldId="6"/>
    <tableColumn id="7" xr3:uid="{4AEB192F-E991-47D1-8616-19B94228202C}" uniqueName="7" name="Profit" queryTableFieldId="7"/>
    <tableColumn id="8" xr3:uid="{17BDF24C-FDE2-416A-8FF6-B7F29BCEA92D}" uniqueName="8" name="Production_Cost" queryTableFieldId="8"/>
    <tableColumn id="9" xr3:uid="{8AB0A988-F840-4B62-A179-DE32B629EE2C}" uniqueName="9" name="Dealer_Discount" queryTableFieldId="9"/>
    <tableColumn id="10" xr3:uid="{A9F6E7F2-CF5E-4132-BAFB-58FCA56F19CA}" uniqueName="10" name="Customer_Rating" queryTableFieldId="1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9A46BFD-FA09-41BD-9DA4-FCE786916342}" name="Sheet1__2" displayName="Sheet1__2" ref="A1:J1101" tableType="queryTable" totalsRowShown="0">
  <autoFilter ref="A1:J1101" xr:uid="{89A46BFD-FA09-41BD-9DA4-FCE786916342}"/>
  <tableColumns count="10">
    <tableColumn id="1" xr3:uid="{6C361FDD-5578-4E77-910C-305D08DF9B77}" uniqueName="1" name="Date" queryTableFieldId="1"/>
    <tableColumn id="2" xr3:uid="{FEC9F073-0D2A-4101-94F2-C5F05F461BC0}" uniqueName="2" name="Company" queryTableFieldId="2" dataDxfId="28"/>
    <tableColumn id="3" xr3:uid="{9AE02C43-E1A8-4DFB-B339-22C4F7F33C65}" uniqueName="3" name="Model" queryTableFieldId="3" dataDxfId="27"/>
    <tableColumn id="4" xr3:uid="{AE015B31-A999-47D0-867B-AED85E5E420D}" uniqueName="4" name="Region" queryTableFieldId="4" dataDxfId="26"/>
    <tableColumn id="5" xr3:uid="{5E39C441-BA62-47B6-8B53-3578635CB0AF}" uniqueName="5" name="Units_Sold" queryTableFieldId="5"/>
    <tableColumn id="6" xr3:uid="{37D77604-11C1-44B0-8E22-2D5AAA0DA349}" uniqueName="6" name="Revenue" queryTableFieldId="6"/>
    <tableColumn id="7" xr3:uid="{14DACC88-783A-405B-A5BB-A6CB5C794F3F}" uniqueName="7" name="Profit" queryTableFieldId="7"/>
    <tableColumn id="8" xr3:uid="{E1BBDA4F-A910-4F54-BF86-019904C348DF}" uniqueName="8" name="Production_Cost" queryTableFieldId="8"/>
    <tableColumn id="9" xr3:uid="{04F713E8-99AF-4AD1-9775-43CFAEA2E304}" uniqueName="9" name="Dealer_Discount" queryTableFieldId="9"/>
    <tableColumn id="10" xr3:uid="{0920D366-18F8-41AD-8E05-4815F7F2ED17}" uniqueName="10" name="Customer_Rating" queryTableFieldId="10"/>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EF9C809-BC77-4544-B764-4800254BB8E9}" name="car_data" displayName="car_data" ref="A1:K2201" tableType="queryTable" totalsRowShown="0">
  <autoFilter ref="A1:K2201" xr:uid="{DEF9C809-BC77-4544-B764-4800254BB8E9}"/>
  <tableColumns count="11">
    <tableColumn id="1" xr3:uid="{5AF33CC1-ED82-4C50-AEB7-73C89CA9FA9C}" uniqueName="1" name="Date" queryTableFieldId="1" dataDxfId="23"/>
    <tableColumn id="2" xr3:uid="{36BA4ACE-05D4-4E6C-BEC3-EC2655280D60}" uniqueName="2" name="Company" queryTableFieldId="2" dataDxfId="22"/>
    <tableColumn id="3" xr3:uid="{0091A4A0-C905-46B1-AFFA-D2FE7C23EB10}" uniqueName="3" name="Model" queryTableFieldId="3" dataDxfId="21"/>
    <tableColumn id="4" xr3:uid="{14F76DC4-BF5A-4CF0-926C-373612E1A4B0}" uniqueName="4" name="Region" queryTableFieldId="4" dataDxfId="20"/>
    <tableColumn id="5" xr3:uid="{9598AF7D-FA89-4E02-9907-F12DCD243447}" uniqueName="5" name="Units_Sold" queryTableFieldId="5"/>
    <tableColumn id="6" xr3:uid="{A70AC04D-C0F6-4BF2-8CF0-2276EC111D45}" uniqueName="6" name="Revenue" queryTableFieldId="6" dataDxfId="19"/>
    <tableColumn id="7" xr3:uid="{05A1DD6B-B603-4739-BCF1-B0568BFEC56E}" uniqueName="7" name="Profit" queryTableFieldId="7"/>
    <tableColumn id="8" xr3:uid="{AC4D01DD-01E8-45C0-B884-4ADE0AFB1156}" uniqueName="8" name="Production_Cost" queryTableFieldId="8"/>
    <tableColumn id="9" xr3:uid="{FF66C643-2EB0-481A-9BAE-0D02B354CCA6}" uniqueName="9" name="Dealer_Discount" queryTableFieldId="9"/>
    <tableColumn id="10" xr3:uid="{62E04EC6-CB51-44DD-9111-B3CDB07C4624}" uniqueName="10" name="Customer_Rating" queryTableFieldId="10"/>
    <tableColumn id="13" xr3:uid="{D618021C-2342-483F-962C-C6CA0910E311}" uniqueName="13" name="month" queryTableFieldId="13" dataDxfId="18">
      <calculatedColumnFormula>TEXT(A2,"mmm yyyy")</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C12CB6-740B-4CA2-86B9-1693A284EEAB}">
  <dimension ref="A1:J1101"/>
  <sheetViews>
    <sheetView workbookViewId="0"/>
  </sheetViews>
  <sheetFormatPr defaultRowHeight="15" x14ac:dyDescent="0.25"/>
  <cols>
    <col min="1" max="1" width="7.42578125" bestFit="1" customWidth="1"/>
    <col min="2" max="2" width="11.5703125" bestFit="1" customWidth="1"/>
    <col min="3" max="3" width="10.5703125" bestFit="1" customWidth="1"/>
    <col min="4" max="4" width="14" bestFit="1" customWidth="1"/>
    <col min="5" max="5" width="12.85546875" bestFit="1" customWidth="1"/>
    <col min="6" max="7" width="12" bestFit="1" customWidth="1"/>
    <col min="8" max="9" width="18" bestFit="1" customWidth="1"/>
    <col min="10" max="10" width="18.5703125" bestFit="1" customWidth="1"/>
  </cols>
  <sheetData>
    <row r="1" spans="1:10" x14ac:dyDescent="0.25">
      <c r="A1" t="s">
        <v>0</v>
      </c>
      <c r="B1" t="s">
        <v>1</v>
      </c>
      <c r="C1" t="s">
        <v>2</v>
      </c>
      <c r="D1" t="s">
        <v>3</v>
      </c>
      <c r="E1" t="s">
        <v>4</v>
      </c>
      <c r="F1" t="s">
        <v>5</v>
      </c>
      <c r="G1" t="s">
        <v>6</v>
      </c>
      <c r="H1" t="s">
        <v>7</v>
      </c>
      <c r="I1" t="s">
        <v>8</v>
      </c>
      <c r="J1" t="s">
        <v>9</v>
      </c>
    </row>
    <row r="2" spans="1:10" x14ac:dyDescent="0.25">
      <c r="A2">
        <v>43879</v>
      </c>
      <c r="B2" t="s">
        <v>10</v>
      </c>
      <c r="C2" t="s">
        <v>11</v>
      </c>
      <c r="D2" t="s">
        <v>12</v>
      </c>
      <c r="E2">
        <v>152</v>
      </c>
      <c r="F2">
        <v>11979099.369999999</v>
      </c>
      <c r="G2">
        <v>4352163.03</v>
      </c>
      <c r="H2">
        <v>7626936.3399999999</v>
      </c>
      <c r="I2">
        <v>4.01</v>
      </c>
      <c r="J2">
        <v>4.4000000000000004</v>
      </c>
    </row>
    <row r="3" spans="1:10" x14ac:dyDescent="0.25">
      <c r="A3">
        <v>43931</v>
      </c>
      <c r="B3" t="s">
        <v>10</v>
      </c>
      <c r="C3" t="s">
        <v>13</v>
      </c>
      <c r="D3" t="s">
        <v>14</v>
      </c>
      <c r="E3">
        <v>171</v>
      </c>
      <c r="F3">
        <v>7452128.46</v>
      </c>
      <c r="G3">
        <v>2894282.08</v>
      </c>
      <c r="H3">
        <v>4557846.3899999997</v>
      </c>
      <c r="I3">
        <v>4.4000000000000004</v>
      </c>
      <c r="J3">
        <v>4.4000000000000004</v>
      </c>
    </row>
    <row r="4" spans="1:10" x14ac:dyDescent="0.25">
      <c r="A4">
        <v>44204</v>
      </c>
      <c r="B4" t="s">
        <v>10</v>
      </c>
      <c r="C4" t="s">
        <v>11</v>
      </c>
      <c r="D4" t="s">
        <v>12</v>
      </c>
      <c r="E4">
        <v>201</v>
      </c>
      <c r="F4">
        <v>14230572.07</v>
      </c>
      <c r="G4">
        <v>5531675.0199999996</v>
      </c>
      <c r="H4">
        <v>8698897.0500000007</v>
      </c>
      <c r="I4">
        <v>3.75</v>
      </c>
      <c r="J4">
        <v>4.91</v>
      </c>
    </row>
    <row r="5" spans="1:10" x14ac:dyDescent="0.25">
      <c r="A5">
        <v>45161</v>
      </c>
      <c r="B5" t="s">
        <v>10</v>
      </c>
      <c r="C5" t="s">
        <v>15</v>
      </c>
      <c r="D5" t="s">
        <v>12</v>
      </c>
      <c r="E5">
        <v>435</v>
      </c>
      <c r="F5">
        <v>19575162.34</v>
      </c>
      <c r="G5">
        <v>7112030.3300000001</v>
      </c>
      <c r="H5">
        <v>12463132.02</v>
      </c>
      <c r="I5">
        <v>1.87</v>
      </c>
      <c r="J5">
        <v>4.29</v>
      </c>
    </row>
    <row r="6" spans="1:10" x14ac:dyDescent="0.25">
      <c r="A6">
        <v>43966</v>
      </c>
      <c r="B6" t="s">
        <v>10</v>
      </c>
      <c r="C6" t="s">
        <v>13</v>
      </c>
      <c r="D6" t="s">
        <v>12</v>
      </c>
      <c r="E6">
        <v>285</v>
      </c>
      <c r="F6">
        <v>10336503.51</v>
      </c>
      <c r="G6">
        <v>3049734.38</v>
      </c>
      <c r="H6">
        <v>7286769.1299999999</v>
      </c>
      <c r="I6">
        <v>2.2999999999999998</v>
      </c>
      <c r="J6">
        <v>3.57</v>
      </c>
    </row>
    <row r="7" spans="1:10" x14ac:dyDescent="0.25">
      <c r="A7">
        <v>44441</v>
      </c>
      <c r="B7" t="s">
        <v>10</v>
      </c>
      <c r="C7" t="s">
        <v>13</v>
      </c>
      <c r="D7" t="s">
        <v>12</v>
      </c>
      <c r="E7">
        <v>237</v>
      </c>
      <c r="F7">
        <v>13070526.630000001</v>
      </c>
      <c r="G7">
        <v>4035995.68</v>
      </c>
      <c r="H7">
        <v>9034530.9499999993</v>
      </c>
      <c r="I7">
        <v>4.03</v>
      </c>
      <c r="J7">
        <v>3.8</v>
      </c>
    </row>
    <row r="8" spans="1:10" x14ac:dyDescent="0.25">
      <c r="A8">
        <v>45422</v>
      </c>
      <c r="B8" t="s">
        <v>10</v>
      </c>
      <c r="C8" t="s">
        <v>16</v>
      </c>
      <c r="D8" t="s">
        <v>17</v>
      </c>
      <c r="E8">
        <v>104</v>
      </c>
      <c r="F8">
        <v>9264080.6699999999</v>
      </c>
      <c r="G8">
        <v>2840806.45</v>
      </c>
      <c r="H8">
        <v>6423274.2199999997</v>
      </c>
      <c r="I8">
        <v>4.37</v>
      </c>
      <c r="J8">
        <v>4.5199999999999996</v>
      </c>
    </row>
    <row r="9" spans="1:10" x14ac:dyDescent="0.25">
      <c r="A9">
        <v>44892</v>
      </c>
      <c r="B9" t="s">
        <v>10</v>
      </c>
      <c r="C9" t="s">
        <v>15</v>
      </c>
      <c r="D9" t="s">
        <v>14</v>
      </c>
      <c r="E9">
        <v>378</v>
      </c>
      <c r="F9">
        <v>14582422.619999999</v>
      </c>
      <c r="G9">
        <v>3065559.06</v>
      </c>
      <c r="H9">
        <v>11516863.550000001</v>
      </c>
      <c r="I9">
        <v>4.8499999999999996</v>
      </c>
      <c r="J9">
        <v>4.71</v>
      </c>
    </row>
    <row r="10" spans="1:10" x14ac:dyDescent="0.25">
      <c r="A10">
        <v>44974</v>
      </c>
      <c r="B10" t="s">
        <v>10</v>
      </c>
      <c r="C10" t="s">
        <v>16</v>
      </c>
      <c r="D10" t="s">
        <v>14</v>
      </c>
      <c r="E10">
        <v>314</v>
      </c>
      <c r="F10">
        <v>11265737.18</v>
      </c>
      <c r="G10">
        <v>3986057.04</v>
      </c>
      <c r="H10">
        <v>7279680.1399999997</v>
      </c>
      <c r="I10">
        <v>1.58</v>
      </c>
      <c r="J10">
        <v>4.5199999999999996</v>
      </c>
    </row>
    <row r="11" spans="1:10" x14ac:dyDescent="0.25">
      <c r="A11">
        <v>44634</v>
      </c>
      <c r="B11" t="s">
        <v>10</v>
      </c>
      <c r="C11" t="s">
        <v>11</v>
      </c>
      <c r="D11" t="s">
        <v>17</v>
      </c>
      <c r="E11">
        <v>477</v>
      </c>
      <c r="F11">
        <v>29685966.239999998</v>
      </c>
      <c r="G11">
        <v>11670215.199999999</v>
      </c>
      <c r="H11">
        <v>18015751.039999999</v>
      </c>
      <c r="I11">
        <v>4.59</v>
      </c>
      <c r="J11">
        <v>3.89</v>
      </c>
    </row>
    <row r="12" spans="1:10" x14ac:dyDescent="0.25">
      <c r="A12">
        <v>45415</v>
      </c>
      <c r="B12" t="s">
        <v>10</v>
      </c>
      <c r="C12" t="s">
        <v>13</v>
      </c>
      <c r="D12" t="s">
        <v>12</v>
      </c>
      <c r="E12">
        <v>409</v>
      </c>
      <c r="F12">
        <v>31306854.93</v>
      </c>
      <c r="G12">
        <v>9860683.3100000005</v>
      </c>
      <c r="H12">
        <v>21446171.609999999</v>
      </c>
      <c r="I12">
        <v>1.44</v>
      </c>
      <c r="J12">
        <v>4.3499999999999996</v>
      </c>
    </row>
    <row r="13" spans="1:10" x14ac:dyDescent="0.25">
      <c r="A13">
        <v>44726</v>
      </c>
      <c r="B13" t="s">
        <v>10</v>
      </c>
      <c r="C13" t="s">
        <v>11</v>
      </c>
      <c r="D13" t="s">
        <v>14</v>
      </c>
      <c r="E13">
        <v>240</v>
      </c>
      <c r="F13">
        <v>19518159.02</v>
      </c>
      <c r="G13">
        <v>6051589.0700000003</v>
      </c>
      <c r="H13">
        <v>13466569.949999999</v>
      </c>
      <c r="I13">
        <v>2.2799999999999998</v>
      </c>
      <c r="J13">
        <v>4.8899999999999997</v>
      </c>
    </row>
    <row r="14" spans="1:10" x14ac:dyDescent="0.25">
      <c r="A14">
        <v>43961</v>
      </c>
      <c r="B14" t="s">
        <v>10</v>
      </c>
      <c r="C14" t="s">
        <v>15</v>
      </c>
      <c r="D14" t="s">
        <v>12</v>
      </c>
      <c r="E14">
        <v>400</v>
      </c>
      <c r="F14">
        <v>34281233.170000002</v>
      </c>
      <c r="G14">
        <v>13105766.85</v>
      </c>
      <c r="H14">
        <v>21175466.32</v>
      </c>
      <c r="I14">
        <v>1.38</v>
      </c>
      <c r="J14">
        <v>3.57</v>
      </c>
    </row>
    <row r="15" spans="1:10" x14ac:dyDescent="0.25">
      <c r="A15">
        <v>44009</v>
      </c>
      <c r="B15" t="s">
        <v>10</v>
      </c>
      <c r="C15" t="s">
        <v>13</v>
      </c>
      <c r="D15" t="s">
        <v>17</v>
      </c>
      <c r="E15">
        <v>345</v>
      </c>
      <c r="F15">
        <v>28100029.780000001</v>
      </c>
      <c r="G15">
        <v>7040068.4400000004</v>
      </c>
      <c r="H15">
        <v>21059961.34</v>
      </c>
      <c r="I15">
        <v>2.93</v>
      </c>
      <c r="J15">
        <v>4.38</v>
      </c>
    </row>
    <row r="16" spans="1:10" x14ac:dyDescent="0.25">
      <c r="A16">
        <v>44406</v>
      </c>
      <c r="B16" t="s">
        <v>10</v>
      </c>
      <c r="C16" t="s">
        <v>15</v>
      </c>
      <c r="D16" t="s">
        <v>17</v>
      </c>
      <c r="E16">
        <v>266</v>
      </c>
      <c r="F16">
        <v>13420071.880000001</v>
      </c>
      <c r="G16">
        <v>3911424.66</v>
      </c>
      <c r="H16">
        <v>9508647.2100000009</v>
      </c>
      <c r="I16">
        <v>1.1299999999999999</v>
      </c>
      <c r="J16">
        <v>4.7</v>
      </c>
    </row>
    <row r="17" spans="1:10" x14ac:dyDescent="0.25">
      <c r="A17">
        <v>45005</v>
      </c>
      <c r="B17" t="s">
        <v>10</v>
      </c>
      <c r="C17" t="s">
        <v>15</v>
      </c>
      <c r="D17" t="s">
        <v>17</v>
      </c>
      <c r="E17">
        <v>114</v>
      </c>
      <c r="F17">
        <v>4088040.27</v>
      </c>
      <c r="G17">
        <v>1289039.6499999999</v>
      </c>
      <c r="H17">
        <v>2799000.62</v>
      </c>
      <c r="I17">
        <v>2.2799999999999998</v>
      </c>
      <c r="J17">
        <v>3.94</v>
      </c>
    </row>
    <row r="18" spans="1:10" x14ac:dyDescent="0.25">
      <c r="A18">
        <v>44364</v>
      </c>
      <c r="B18" t="s">
        <v>10</v>
      </c>
      <c r="C18" t="s">
        <v>13</v>
      </c>
      <c r="D18" t="s">
        <v>12</v>
      </c>
      <c r="E18">
        <v>112</v>
      </c>
      <c r="F18">
        <v>8943242.4000000004</v>
      </c>
      <c r="G18">
        <v>2312977.65</v>
      </c>
      <c r="H18">
        <v>6630264.75</v>
      </c>
      <c r="I18">
        <v>3.78</v>
      </c>
      <c r="J18">
        <v>4.66</v>
      </c>
    </row>
    <row r="19" spans="1:10" x14ac:dyDescent="0.25">
      <c r="A19">
        <v>45591</v>
      </c>
      <c r="B19" t="s">
        <v>10</v>
      </c>
      <c r="C19" t="s">
        <v>11</v>
      </c>
      <c r="D19" t="s">
        <v>17</v>
      </c>
      <c r="E19">
        <v>310</v>
      </c>
      <c r="F19">
        <v>26643429.98</v>
      </c>
      <c r="G19">
        <v>7187986.96</v>
      </c>
      <c r="H19">
        <v>19455443.02</v>
      </c>
      <c r="I19">
        <v>4.62</v>
      </c>
      <c r="J19">
        <v>4.78</v>
      </c>
    </row>
    <row r="20" spans="1:10" x14ac:dyDescent="0.25">
      <c r="A20">
        <v>44629</v>
      </c>
      <c r="B20" t="s">
        <v>10</v>
      </c>
      <c r="C20" t="s">
        <v>11</v>
      </c>
      <c r="D20" t="s">
        <v>12</v>
      </c>
      <c r="E20">
        <v>317</v>
      </c>
      <c r="F20">
        <v>16864207.059999999</v>
      </c>
      <c r="G20">
        <v>6531310.5899999999</v>
      </c>
      <c r="H20">
        <v>10332896.470000001</v>
      </c>
      <c r="I20">
        <v>1.9</v>
      </c>
      <c r="J20">
        <v>3.99</v>
      </c>
    </row>
    <row r="21" spans="1:10" x14ac:dyDescent="0.25">
      <c r="A21">
        <v>44976</v>
      </c>
      <c r="B21" t="s">
        <v>10</v>
      </c>
      <c r="C21" t="s">
        <v>13</v>
      </c>
      <c r="D21" t="s">
        <v>14</v>
      </c>
      <c r="E21">
        <v>148</v>
      </c>
      <c r="F21">
        <v>9993163.9900000002</v>
      </c>
      <c r="G21">
        <v>3448197.61</v>
      </c>
      <c r="H21">
        <v>6544966.3799999999</v>
      </c>
      <c r="I21">
        <v>3.03</v>
      </c>
      <c r="J21">
        <v>4.07</v>
      </c>
    </row>
    <row r="22" spans="1:10" x14ac:dyDescent="0.25">
      <c r="A22">
        <v>44016</v>
      </c>
      <c r="B22" t="s">
        <v>10</v>
      </c>
      <c r="C22" t="s">
        <v>15</v>
      </c>
      <c r="D22" t="s">
        <v>14</v>
      </c>
      <c r="E22">
        <v>480</v>
      </c>
      <c r="F22">
        <v>35629662.380000003</v>
      </c>
      <c r="G22">
        <v>8830562.0700000003</v>
      </c>
      <c r="H22">
        <v>26799100.32</v>
      </c>
      <c r="I22">
        <v>3.03</v>
      </c>
      <c r="J22">
        <v>4.66</v>
      </c>
    </row>
    <row r="23" spans="1:10" x14ac:dyDescent="0.25">
      <c r="A23">
        <v>45657</v>
      </c>
      <c r="B23" t="s">
        <v>10</v>
      </c>
      <c r="C23" t="s">
        <v>15</v>
      </c>
      <c r="D23" t="s">
        <v>14</v>
      </c>
      <c r="E23">
        <v>408</v>
      </c>
      <c r="F23">
        <v>15187329.75</v>
      </c>
      <c r="G23">
        <v>3916317.57</v>
      </c>
      <c r="H23">
        <v>11271012.18</v>
      </c>
      <c r="I23">
        <v>1</v>
      </c>
      <c r="J23">
        <v>4.16</v>
      </c>
    </row>
    <row r="24" spans="1:10" x14ac:dyDescent="0.25">
      <c r="A24">
        <v>45649</v>
      </c>
      <c r="B24" t="s">
        <v>10</v>
      </c>
      <c r="C24" t="s">
        <v>16</v>
      </c>
      <c r="D24" t="s">
        <v>14</v>
      </c>
      <c r="E24">
        <v>228</v>
      </c>
      <c r="F24">
        <v>8374121.9900000002</v>
      </c>
      <c r="G24">
        <v>2283773.11</v>
      </c>
      <c r="H24">
        <v>6090348.8799999999</v>
      </c>
      <c r="I24">
        <v>1.91</v>
      </c>
      <c r="J24">
        <v>4.26</v>
      </c>
    </row>
    <row r="25" spans="1:10" x14ac:dyDescent="0.25">
      <c r="A25">
        <v>44656</v>
      </c>
      <c r="B25" t="s">
        <v>10</v>
      </c>
      <c r="C25" t="s">
        <v>13</v>
      </c>
      <c r="D25" t="s">
        <v>12</v>
      </c>
      <c r="E25">
        <v>271</v>
      </c>
      <c r="F25">
        <v>11561735.33</v>
      </c>
      <c r="G25">
        <v>3227071.38</v>
      </c>
      <c r="H25">
        <v>8334663.9500000002</v>
      </c>
      <c r="I25">
        <v>2.93</v>
      </c>
      <c r="J25">
        <v>3.8</v>
      </c>
    </row>
    <row r="26" spans="1:10" x14ac:dyDescent="0.25">
      <c r="A26">
        <v>45216</v>
      </c>
      <c r="B26" t="s">
        <v>10</v>
      </c>
      <c r="C26" t="s">
        <v>15</v>
      </c>
      <c r="D26" t="s">
        <v>14</v>
      </c>
      <c r="E26">
        <v>62</v>
      </c>
      <c r="F26">
        <v>2432501.4900000002</v>
      </c>
      <c r="G26">
        <v>832036.43</v>
      </c>
      <c r="H26">
        <v>1600465.06</v>
      </c>
      <c r="I26">
        <v>1.23</v>
      </c>
      <c r="J26">
        <v>4.8899999999999997</v>
      </c>
    </row>
    <row r="27" spans="1:10" x14ac:dyDescent="0.25">
      <c r="A27">
        <v>44021</v>
      </c>
      <c r="B27" t="s">
        <v>10</v>
      </c>
      <c r="C27" t="s">
        <v>16</v>
      </c>
      <c r="D27" t="s">
        <v>12</v>
      </c>
      <c r="E27">
        <v>94</v>
      </c>
      <c r="F27">
        <v>4818426.16</v>
      </c>
      <c r="G27">
        <v>1825707.2</v>
      </c>
      <c r="H27">
        <v>2992718.95</v>
      </c>
      <c r="I27">
        <v>2.5499999999999998</v>
      </c>
      <c r="J27">
        <v>3.83</v>
      </c>
    </row>
    <row r="28" spans="1:10" x14ac:dyDescent="0.25">
      <c r="A28">
        <v>44884</v>
      </c>
      <c r="B28" t="s">
        <v>10</v>
      </c>
      <c r="C28" t="s">
        <v>16</v>
      </c>
      <c r="D28" t="s">
        <v>12</v>
      </c>
      <c r="E28">
        <v>389</v>
      </c>
      <c r="F28">
        <v>32711299.77</v>
      </c>
      <c r="G28">
        <v>9556002.7599999998</v>
      </c>
      <c r="H28">
        <v>23155297.010000002</v>
      </c>
      <c r="I28">
        <v>4.13</v>
      </c>
      <c r="J28">
        <v>4.84</v>
      </c>
    </row>
    <row r="29" spans="1:10" x14ac:dyDescent="0.25">
      <c r="A29">
        <v>44933</v>
      </c>
      <c r="B29" t="s">
        <v>10</v>
      </c>
      <c r="C29" t="s">
        <v>13</v>
      </c>
      <c r="D29" t="s">
        <v>14</v>
      </c>
      <c r="E29">
        <v>280</v>
      </c>
      <c r="F29">
        <v>23765158</v>
      </c>
      <c r="G29">
        <v>8212610.0199999996</v>
      </c>
      <c r="H29">
        <v>15552547.98</v>
      </c>
      <c r="I29">
        <v>3.41</v>
      </c>
      <c r="J29">
        <v>3.5</v>
      </c>
    </row>
    <row r="30" spans="1:10" x14ac:dyDescent="0.25">
      <c r="A30">
        <v>45389</v>
      </c>
      <c r="B30" t="s">
        <v>10</v>
      </c>
      <c r="C30" t="s">
        <v>11</v>
      </c>
      <c r="D30" t="s">
        <v>14</v>
      </c>
      <c r="E30">
        <v>282</v>
      </c>
      <c r="F30">
        <v>14597157.310000001</v>
      </c>
      <c r="G30">
        <v>5358161.45</v>
      </c>
      <c r="H30">
        <v>9238995.8699999992</v>
      </c>
      <c r="I30">
        <v>2.9</v>
      </c>
      <c r="J30">
        <v>4.2300000000000004</v>
      </c>
    </row>
    <row r="31" spans="1:10" x14ac:dyDescent="0.25">
      <c r="A31">
        <v>45334</v>
      </c>
      <c r="B31" t="s">
        <v>10</v>
      </c>
      <c r="C31" t="s">
        <v>11</v>
      </c>
      <c r="D31" t="s">
        <v>14</v>
      </c>
      <c r="E31">
        <v>274</v>
      </c>
      <c r="F31">
        <v>11396371.09</v>
      </c>
      <c r="G31">
        <v>3789030.88</v>
      </c>
      <c r="H31">
        <v>7607340.21</v>
      </c>
      <c r="I31">
        <v>4.74</v>
      </c>
      <c r="J31">
        <v>3.98</v>
      </c>
    </row>
    <row r="32" spans="1:10" x14ac:dyDescent="0.25">
      <c r="A32">
        <v>44407</v>
      </c>
      <c r="B32" t="s">
        <v>10</v>
      </c>
      <c r="C32" t="s">
        <v>13</v>
      </c>
      <c r="D32" t="s">
        <v>17</v>
      </c>
      <c r="E32">
        <v>145</v>
      </c>
      <c r="F32">
        <v>9525863.4700000007</v>
      </c>
      <c r="G32">
        <v>3040967.74</v>
      </c>
      <c r="H32">
        <v>6484895.7300000004</v>
      </c>
      <c r="I32">
        <v>0.79</v>
      </c>
      <c r="J32">
        <v>3.88</v>
      </c>
    </row>
    <row r="33" spans="1:10" x14ac:dyDescent="0.25">
      <c r="A33">
        <v>44345</v>
      </c>
      <c r="B33" t="s">
        <v>10</v>
      </c>
      <c r="C33" t="s">
        <v>15</v>
      </c>
      <c r="D33" t="s">
        <v>12</v>
      </c>
      <c r="E33">
        <v>317</v>
      </c>
      <c r="F33">
        <v>15484824.33</v>
      </c>
      <c r="G33">
        <v>4653968.58</v>
      </c>
      <c r="H33">
        <v>10830855.75</v>
      </c>
      <c r="I33">
        <v>1.85</v>
      </c>
      <c r="J33">
        <v>3.93</v>
      </c>
    </row>
    <row r="34" spans="1:10" x14ac:dyDescent="0.25">
      <c r="A34">
        <v>45196</v>
      </c>
      <c r="B34" t="s">
        <v>10</v>
      </c>
      <c r="C34" t="s">
        <v>16</v>
      </c>
      <c r="D34" t="s">
        <v>14</v>
      </c>
      <c r="E34">
        <v>130</v>
      </c>
      <c r="F34">
        <v>6457484.25</v>
      </c>
      <c r="G34">
        <v>1321698.56</v>
      </c>
      <c r="H34">
        <v>5135785.6900000004</v>
      </c>
      <c r="I34">
        <v>2.35</v>
      </c>
      <c r="J34">
        <v>3.55</v>
      </c>
    </row>
    <row r="35" spans="1:10" x14ac:dyDescent="0.25">
      <c r="A35">
        <v>44675</v>
      </c>
      <c r="B35" t="s">
        <v>10</v>
      </c>
      <c r="C35" t="s">
        <v>18</v>
      </c>
      <c r="D35" t="s">
        <v>12</v>
      </c>
      <c r="E35">
        <v>273</v>
      </c>
      <c r="F35">
        <v>23192612.280000001</v>
      </c>
      <c r="G35">
        <v>8165831.7000000002</v>
      </c>
      <c r="H35">
        <v>15026780.58</v>
      </c>
      <c r="I35">
        <v>1.1499999999999999</v>
      </c>
      <c r="J35">
        <v>4.2300000000000004</v>
      </c>
    </row>
    <row r="36" spans="1:10" x14ac:dyDescent="0.25">
      <c r="A36">
        <v>44347</v>
      </c>
      <c r="B36" t="s">
        <v>10</v>
      </c>
      <c r="C36" t="s">
        <v>15</v>
      </c>
      <c r="D36" t="s">
        <v>14</v>
      </c>
      <c r="E36">
        <v>209</v>
      </c>
      <c r="F36">
        <v>13670506.060000001</v>
      </c>
      <c r="G36">
        <v>3847709.59</v>
      </c>
      <c r="H36">
        <v>9822796.4700000007</v>
      </c>
      <c r="I36">
        <v>0.86</v>
      </c>
      <c r="J36">
        <v>4.05</v>
      </c>
    </row>
    <row r="37" spans="1:10" x14ac:dyDescent="0.25">
      <c r="A37">
        <v>44200</v>
      </c>
      <c r="B37" t="s">
        <v>10</v>
      </c>
      <c r="C37" t="s">
        <v>18</v>
      </c>
      <c r="D37" t="s">
        <v>12</v>
      </c>
      <c r="E37">
        <v>450</v>
      </c>
      <c r="F37">
        <v>33773354.630000003</v>
      </c>
      <c r="G37">
        <v>11025087.82</v>
      </c>
      <c r="H37">
        <v>22748266.809999999</v>
      </c>
      <c r="I37">
        <v>3.35</v>
      </c>
      <c r="J37">
        <v>4.45</v>
      </c>
    </row>
    <row r="38" spans="1:10" x14ac:dyDescent="0.25">
      <c r="A38">
        <v>45474</v>
      </c>
      <c r="B38" t="s">
        <v>10</v>
      </c>
      <c r="C38" t="s">
        <v>16</v>
      </c>
      <c r="D38" t="s">
        <v>17</v>
      </c>
      <c r="E38">
        <v>444</v>
      </c>
      <c r="F38">
        <v>35477266.340000004</v>
      </c>
      <c r="G38">
        <v>8526286.0099999998</v>
      </c>
      <c r="H38">
        <v>26950980.329999998</v>
      </c>
      <c r="I38">
        <v>1.18</v>
      </c>
      <c r="J38">
        <v>4.26</v>
      </c>
    </row>
    <row r="39" spans="1:10" x14ac:dyDescent="0.25">
      <c r="A39">
        <v>45549</v>
      </c>
      <c r="B39" t="s">
        <v>10</v>
      </c>
      <c r="C39" t="s">
        <v>11</v>
      </c>
      <c r="D39" t="s">
        <v>17</v>
      </c>
      <c r="E39">
        <v>398</v>
      </c>
      <c r="F39">
        <v>32719474.239999998</v>
      </c>
      <c r="G39">
        <v>10954748.890000001</v>
      </c>
      <c r="H39">
        <v>21764725.34</v>
      </c>
      <c r="I39">
        <v>1.49</v>
      </c>
      <c r="J39">
        <v>4.57</v>
      </c>
    </row>
    <row r="40" spans="1:10" x14ac:dyDescent="0.25">
      <c r="A40">
        <v>44816</v>
      </c>
      <c r="B40" t="s">
        <v>10</v>
      </c>
      <c r="C40" t="s">
        <v>13</v>
      </c>
      <c r="D40" t="s">
        <v>12</v>
      </c>
      <c r="E40">
        <v>196</v>
      </c>
      <c r="F40">
        <v>10618619.34</v>
      </c>
      <c r="G40">
        <v>4043195.3</v>
      </c>
      <c r="H40">
        <v>6575424.04</v>
      </c>
      <c r="I40">
        <v>4.7300000000000004</v>
      </c>
      <c r="J40">
        <v>4.0999999999999996</v>
      </c>
    </row>
    <row r="41" spans="1:10" x14ac:dyDescent="0.25">
      <c r="A41">
        <v>45248</v>
      </c>
      <c r="B41" t="s">
        <v>10</v>
      </c>
      <c r="C41" t="s">
        <v>18</v>
      </c>
      <c r="D41" t="s">
        <v>12</v>
      </c>
      <c r="E41">
        <v>88</v>
      </c>
      <c r="F41">
        <v>7613773.1500000004</v>
      </c>
      <c r="G41">
        <v>2836098.6</v>
      </c>
      <c r="H41">
        <v>4777674.54</v>
      </c>
      <c r="I41">
        <v>2.0299999999999998</v>
      </c>
      <c r="J41">
        <v>3.67</v>
      </c>
    </row>
    <row r="42" spans="1:10" x14ac:dyDescent="0.25">
      <c r="A42">
        <v>44302</v>
      </c>
      <c r="B42" t="s">
        <v>10</v>
      </c>
      <c r="C42" t="s">
        <v>15</v>
      </c>
      <c r="D42" t="s">
        <v>14</v>
      </c>
      <c r="E42">
        <v>200</v>
      </c>
      <c r="F42">
        <v>12955927.710000001</v>
      </c>
      <c r="G42">
        <v>3379464.61</v>
      </c>
      <c r="H42">
        <v>9576463.0999999996</v>
      </c>
      <c r="I42">
        <v>1.53</v>
      </c>
      <c r="J42">
        <v>3.76</v>
      </c>
    </row>
    <row r="43" spans="1:10" x14ac:dyDescent="0.25">
      <c r="A43">
        <v>43886</v>
      </c>
      <c r="B43" t="s">
        <v>10</v>
      </c>
      <c r="C43" t="s">
        <v>15</v>
      </c>
      <c r="D43" t="s">
        <v>14</v>
      </c>
      <c r="E43">
        <v>161</v>
      </c>
      <c r="F43">
        <v>10551303.189999999</v>
      </c>
      <c r="G43">
        <v>3102820.51</v>
      </c>
      <c r="H43">
        <v>7448482.6799999997</v>
      </c>
      <c r="I43">
        <v>1.59</v>
      </c>
      <c r="J43">
        <v>3.64</v>
      </c>
    </row>
    <row r="44" spans="1:10" x14ac:dyDescent="0.25">
      <c r="A44">
        <v>44296</v>
      </c>
      <c r="B44" t="s">
        <v>10</v>
      </c>
      <c r="C44" t="s">
        <v>18</v>
      </c>
      <c r="D44" t="s">
        <v>14</v>
      </c>
      <c r="E44">
        <v>189</v>
      </c>
      <c r="F44">
        <v>12418460.449999999</v>
      </c>
      <c r="G44">
        <v>2775187.28</v>
      </c>
      <c r="H44">
        <v>9643273.1699999999</v>
      </c>
      <c r="I44">
        <v>1.35</v>
      </c>
      <c r="J44">
        <v>3.92</v>
      </c>
    </row>
    <row r="45" spans="1:10" x14ac:dyDescent="0.25">
      <c r="A45">
        <v>44124</v>
      </c>
      <c r="B45" t="s">
        <v>10</v>
      </c>
      <c r="C45" t="s">
        <v>18</v>
      </c>
      <c r="D45" t="s">
        <v>17</v>
      </c>
      <c r="E45">
        <v>196</v>
      </c>
      <c r="F45">
        <v>14685802.220000001</v>
      </c>
      <c r="G45">
        <v>3239364.12</v>
      </c>
      <c r="H45">
        <v>11446438.1</v>
      </c>
      <c r="I45">
        <v>4.49</v>
      </c>
      <c r="J45">
        <v>4.67</v>
      </c>
    </row>
    <row r="46" spans="1:10" x14ac:dyDescent="0.25">
      <c r="A46">
        <v>44372</v>
      </c>
      <c r="B46" t="s">
        <v>10</v>
      </c>
      <c r="C46" t="s">
        <v>18</v>
      </c>
      <c r="D46" t="s">
        <v>12</v>
      </c>
      <c r="E46">
        <v>457</v>
      </c>
      <c r="F46">
        <v>37383086.560000002</v>
      </c>
      <c r="G46">
        <v>7957849.8300000001</v>
      </c>
      <c r="H46">
        <v>29425236.73</v>
      </c>
      <c r="I46">
        <v>4.03</v>
      </c>
      <c r="J46">
        <v>4.5</v>
      </c>
    </row>
    <row r="47" spans="1:10" x14ac:dyDescent="0.25">
      <c r="A47">
        <v>45310</v>
      </c>
      <c r="B47" t="s">
        <v>10</v>
      </c>
      <c r="C47" t="s">
        <v>13</v>
      </c>
      <c r="D47" t="s">
        <v>12</v>
      </c>
      <c r="E47">
        <v>303</v>
      </c>
      <c r="F47">
        <v>10758268.869999999</v>
      </c>
      <c r="G47">
        <v>4084975.92</v>
      </c>
      <c r="H47">
        <v>6673292.9500000002</v>
      </c>
      <c r="I47">
        <v>3.49</v>
      </c>
      <c r="J47">
        <v>3.51</v>
      </c>
    </row>
    <row r="48" spans="1:10" x14ac:dyDescent="0.25">
      <c r="A48">
        <v>45016</v>
      </c>
      <c r="B48" t="s">
        <v>10</v>
      </c>
      <c r="C48" t="s">
        <v>13</v>
      </c>
      <c r="D48" t="s">
        <v>17</v>
      </c>
      <c r="E48">
        <v>433</v>
      </c>
      <c r="F48">
        <v>22427240.329999998</v>
      </c>
      <c r="G48">
        <v>6792700.8600000003</v>
      </c>
      <c r="H48">
        <v>15634539.470000001</v>
      </c>
      <c r="I48">
        <v>2.52</v>
      </c>
      <c r="J48">
        <v>4.99</v>
      </c>
    </row>
    <row r="49" spans="1:10" x14ac:dyDescent="0.25">
      <c r="A49">
        <v>44381</v>
      </c>
      <c r="B49" t="s">
        <v>10</v>
      </c>
      <c r="C49" t="s">
        <v>11</v>
      </c>
      <c r="D49" t="s">
        <v>12</v>
      </c>
      <c r="E49">
        <v>210</v>
      </c>
      <c r="F49">
        <v>7558770.4500000002</v>
      </c>
      <c r="G49">
        <v>2276862.34</v>
      </c>
      <c r="H49">
        <v>5281908.1100000003</v>
      </c>
      <c r="I49">
        <v>1.3</v>
      </c>
      <c r="J49">
        <v>4.05</v>
      </c>
    </row>
    <row r="50" spans="1:10" x14ac:dyDescent="0.25">
      <c r="A50">
        <v>45639</v>
      </c>
      <c r="B50" t="s">
        <v>10</v>
      </c>
      <c r="C50" t="s">
        <v>15</v>
      </c>
      <c r="D50" t="s">
        <v>17</v>
      </c>
      <c r="E50">
        <v>441</v>
      </c>
      <c r="F50">
        <v>36032913.82</v>
      </c>
      <c r="G50">
        <v>9674023.7899999991</v>
      </c>
      <c r="H50">
        <v>26358890.030000001</v>
      </c>
      <c r="I50">
        <v>3.06</v>
      </c>
      <c r="J50">
        <v>3.64</v>
      </c>
    </row>
    <row r="51" spans="1:10" x14ac:dyDescent="0.25">
      <c r="A51">
        <v>45061</v>
      </c>
      <c r="B51" t="s">
        <v>10</v>
      </c>
      <c r="C51" t="s">
        <v>13</v>
      </c>
      <c r="D51" t="s">
        <v>14</v>
      </c>
      <c r="E51">
        <v>420</v>
      </c>
      <c r="F51">
        <v>29399283.48</v>
      </c>
      <c r="G51">
        <v>10287033.789999999</v>
      </c>
      <c r="H51">
        <v>19112249.690000001</v>
      </c>
      <c r="I51">
        <v>3.15</v>
      </c>
      <c r="J51">
        <v>4.97</v>
      </c>
    </row>
    <row r="52" spans="1:10" x14ac:dyDescent="0.25">
      <c r="A52">
        <v>44804</v>
      </c>
      <c r="B52" t="s">
        <v>10</v>
      </c>
      <c r="C52" t="s">
        <v>11</v>
      </c>
      <c r="D52" t="s">
        <v>17</v>
      </c>
      <c r="E52">
        <v>100</v>
      </c>
      <c r="F52">
        <v>8406256.0500000007</v>
      </c>
      <c r="G52">
        <v>2301399.84</v>
      </c>
      <c r="H52">
        <v>6104856.21</v>
      </c>
      <c r="I52">
        <v>4.08</v>
      </c>
      <c r="J52">
        <v>4.25</v>
      </c>
    </row>
    <row r="53" spans="1:10" x14ac:dyDescent="0.25">
      <c r="A53">
        <v>45486</v>
      </c>
      <c r="B53" t="s">
        <v>10</v>
      </c>
      <c r="C53" t="s">
        <v>18</v>
      </c>
      <c r="D53" t="s">
        <v>12</v>
      </c>
      <c r="E53">
        <v>333</v>
      </c>
      <c r="F53">
        <v>23906344.149999999</v>
      </c>
      <c r="G53">
        <v>5430720.2199999997</v>
      </c>
      <c r="H53">
        <v>18475623.93</v>
      </c>
      <c r="I53">
        <v>1.54</v>
      </c>
      <c r="J53">
        <v>4.25</v>
      </c>
    </row>
    <row r="54" spans="1:10" x14ac:dyDescent="0.25">
      <c r="A54">
        <v>44821</v>
      </c>
      <c r="B54" t="s">
        <v>10</v>
      </c>
      <c r="C54" t="s">
        <v>18</v>
      </c>
      <c r="D54" t="s">
        <v>17</v>
      </c>
      <c r="E54">
        <v>53</v>
      </c>
      <c r="F54">
        <v>1925881.04</v>
      </c>
      <c r="G54">
        <v>521731.85</v>
      </c>
      <c r="H54">
        <v>1404149.2</v>
      </c>
      <c r="I54">
        <v>1.3</v>
      </c>
      <c r="J54">
        <v>4.91</v>
      </c>
    </row>
    <row r="55" spans="1:10" x14ac:dyDescent="0.25">
      <c r="A55">
        <v>44212</v>
      </c>
      <c r="B55" t="s">
        <v>10</v>
      </c>
      <c r="C55" t="s">
        <v>18</v>
      </c>
      <c r="D55" t="s">
        <v>12</v>
      </c>
      <c r="E55">
        <v>95</v>
      </c>
      <c r="F55">
        <v>8105166.4400000004</v>
      </c>
      <c r="G55">
        <v>2642027</v>
      </c>
      <c r="H55">
        <v>5463139.4400000004</v>
      </c>
      <c r="I55">
        <v>0.56999999999999995</v>
      </c>
      <c r="J55">
        <v>4.8899999999999997</v>
      </c>
    </row>
    <row r="56" spans="1:10" x14ac:dyDescent="0.25">
      <c r="A56">
        <v>45316</v>
      </c>
      <c r="B56" t="s">
        <v>10</v>
      </c>
      <c r="C56" t="s">
        <v>11</v>
      </c>
      <c r="D56" t="s">
        <v>17</v>
      </c>
      <c r="E56">
        <v>351</v>
      </c>
      <c r="F56">
        <v>30946271.280000001</v>
      </c>
      <c r="G56">
        <v>6414419.4699999997</v>
      </c>
      <c r="H56">
        <v>24531851.809999999</v>
      </c>
      <c r="I56">
        <v>4.34</v>
      </c>
      <c r="J56">
        <v>3.94</v>
      </c>
    </row>
    <row r="57" spans="1:10" x14ac:dyDescent="0.25">
      <c r="A57">
        <v>45464</v>
      </c>
      <c r="B57" t="s">
        <v>10</v>
      </c>
      <c r="C57" t="s">
        <v>13</v>
      </c>
      <c r="D57" t="s">
        <v>17</v>
      </c>
      <c r="E57">
        <v>465</v>
      </c>
      <c r="F57">
        <v>38042820.369999997</v>
      </c>
      <c r="G57">
        <v>12805806.77</v>
      </c>
      <c r="H57">
        <v>25237013.609999999</v>
      </c>
      <c r="I57">
        <v>1.26</v>
      </c>
      <c r="J57">
        <v>4.34</v>
      </c>
    </row>
    <row r="58" spans="1:10" x14ac:dyDescent="0.25">
      <c r="A58">
        <v>44993</v>
      </c>
      <c r="B58" t="s">
        <v>10</v>
      </c>
      <c r="C58" t="s">
        <v>18</v>
      </c>
      <c r="D58" t="s">
        <v>17</v>
      </c>
      <c r="E58">
        <v>272</v>
      </c>
      <c r="F58">
        <v>22149428.59</v>
      </c>
      <c r="G58">
        <v>4739903.1399999997</v>
      </c>
      <c r="H58">
        <v>17409525.440000001</v>
      </c>
      <c r="I58">
        <v>0.82</v>
      </c>
      <c r="J58">
        <v>3.81</v>
      </c>
    </row>
    <row r="59" spans="1:10" x14ac:dyDescent="0.25">
      <c r="A59">
        <v>44782</v>
      </c>
      <c r="B59" t="s">
        <v>10</v>
      </c>
      <c r="C59" t="s">
        <v>16</v>
      </c>
      <c r="D59" t="s">
        <v>17</v>
      </c>
      <c r="E59">
        <v>480</v>
      </c>
      <c r="F59">
        <v>42937421.640000001</v>
      </c>
      <c r="G59">
        <v>15971999.369999999</v>
      </c>
      <c r="H59">
        <v>26965422.27</v>
      </c>
      <c r="I59">
        <v>2.83</v>
      </c>
      <c r="J59">
        <v>4.82</v>
      </c>
    </row>
    <row r="60" spans="1:10" x14ac:dyDescent="0.25">
      <c r="A60">
        <v>44410</v>
      </c>
      <c r="B60" t="s">
        <v>10</v>
      </c>
      <c r="C60" t="s">
        <v>15</v>
      </c>
      <c r="D60" t="s">
        <v>12</v>
      </c>
      <c r="E60">
        <v>322</v>
      </c>
      <c r="F60">
        <v>26299942.07</v>
      </c>
      <c r="G60">
        <v>9801350.2100000009</v>
      </c>
      <c r="H60">
        <v>16498591.859999999</v>
      </c>
      <c r="I60">
        <v>3.69</v>
      </c>
      <c r="J60">
        <v>4.33</v>
      </c>
    </row>
    <row r="61" spans="1:10" x14ac:dyDescent="0.25">
      <c r="A61">
        <v>44199</v>
      </c>
      <c r="B61" t="s">
        <v>10</v>
      </c>
      <c r="C61" t="s">
        <v>18</v>
      </c>
      <c r="D61" t="s">
        <v>17</v>
      </c>
      <c r="E61">
        <v>219</v>
      </c>
      <c r="F61">
        <v>17413755.120000001</v>
      </c>
      <c r="G61">
        <v>4144078.79</v>
      </c>
      <c r="H61">
        <v>13269676.33</v>
      </c>
      <c r="I61">
        <v>4.4000000000000004</v>
      </c>
      <c r="J61">
        <v>4.87</v>
      </c>
    </row>
    <row r="62" spans="1:10" x14ac:dyDescent="0.25">
      <c r="A62">
        <v>44104</v>
      </c>
      <c r="B62" t="s">
        <v>10</v>
      </c>
      <c r="C62" t="s">
        <v>11</v>
      </c>
      <c r="D62" t="s">
        <v>17</v>
      </c>
      <c r="E62">
        <v>440</v>
      </c>
      <c r="F62">
        <v>27536694.329999998</v>
      </c>
      <c r="G62">
        <v>6618195.6699999999</v>
      </c>
      <c r="H62">
        <v>20918498.66</v>
      </c>
      <c r="I62">
        <v>3.42</v>
      </c>
      <c r="J62">
        <v>4.55</v>
      </c>
    </row>
    <row r="63" spans="1:10" x14ac:dyDescent="0.25">
      <c r="A63">
        <v>44333</v>
      </c>
      <c r="B63" t="s">
        <v>10</v>
      </c>
      <c r="C63" t="s">
        <v>13</v>
      </c>
      <c r="D63" t="s">
        <v>17</v>
      </c>
      <c r="E63">
        <v>449</v>
      </c>
      <c r="F63">
        <v>16968728.870000001</v>
      </c>
      <c r="G63">
        <v>3778538.35</v>
      </c>
      <c r="H63">
        <v>13190190.529999999</v>
      </c>
      <c r="I63">
        <v>0.62</v>
      </c>
      <c r="J63">
        <v>4.37</v>
      </c>
    </row>
    <row r="64" spans="1:10" x14ac:dyDescent="0.25">
      <c r="A64">
        <v>44869</v>
      </c>
      <c r="B64" t="s">
        <v>10</v>
      </c>
      <c r="C64" t="s">
        <v>13</v>
      </c>
      <c r="D64" t="s">
        <v>12</v>
      </c>
      <c r="E64">
        <v>337</v>
      </c>
      <c r="F64">
        <v>22513422.41</v>
      </c>
      <c r="G64">
        <v>8843532.25</v>
      </c>
      <c r="H64">
        <v>13669890.17</v>
      </c>
      <c r="I64">
        <v>2.6</v>
      </c>
      <c r="J64">
        <v>4.3099999999999996</v>
      </c>
    </row>
    <row r="65" spans="1:10" x14ac:dyDescent="0.25">
      <c r="A65">
        <v>44200</v>
      </c>
      <c r="B65" t="s">
        <v>10</v>
      </c>
      <c r="C65" t="s">
        <v>18</v>
      </c>
      <c r="D65" t="s">
        <v>17</v>
      </c>
      <c r="E65">
        <v>174</v>
      </c>
      <c r="F65">
        <v>14118593.609999999</v>
      </c>
      <c r="G65">
        <v>3217896.82</v>
      </c>
      <c r="H65">
        <v>10900696.800000001</v>
      </c>
      <c r="I65">
        <v>1.63</v>
      </c>
      <c r="J65">
        <v>3.56</v>
      </c>
    </row>
    <row r="66" spans="1:10" x14ac:dyDescent="0.25">
      <c r="A66">
        <v>44357</v>
      </c>
      <c r="B66" t="s">
        <v>10</v>
      </c>
      <c r="C66" t="s">
        <v>13</v>
      </c>
      <c r="D66" t="s">
        <v>17</v>
      </c>
      <c r="E66">
        <v>320</v>
      </c>
      <c r="F66">
        <v>17539355.289999999</v>
      </c>
      <c r="G66">
        <v>6570030.2199999997</v>
      </c>
      <c r="H66">
        <v>10969325.07</v>
      </c>
      <c r="I66">
        <v>2.85</v>
      </c>
      <c r="J66">
        <v>4.6500000000000004</v>
      </c>
    </row>
    <row r="67" spans="1:10" x14ac:dyDescent="0.25">
      <c r="A67">
        <v>44811</v>
      </c>
      <c r="B67" t="s">
        <v>10</v>
      </c>
      <c r="C67" t="s">
        <v>18</v>
      </c>
      <c r="D67" t="s">
        <v>12</v>
      </c>
      <c r="E67">
        <v>157</v>
      </c>
      <c r="F67">
        <v>10873659.26</v>
      </c>
      <c r="G67">
        <v>4163855.85</v>
      </c>
      <c r="H67">
        <v>6709803.4100000001</v>
      </c>
      <c r="I67">
        <v>0.73</v>
      </c>
      <c r="J67">
        <v>4.3</v>
      </c>
    </row>
    <row r="68" spans="1:10" x14ac:dyDescent="0.25">
      <c r="A68">
        <v>45081</v>
      </c>
      <c r="B68" t="s">
        <v>10</v>
      </c>
      <c r="C68" t="s">
        <v>15</v>
      </c>
      <c r="D68" t="s">
        <v>17</v>
      </c>
      <c r="E68">
        <v>96</v>
      </c>
      <c r="F68">
        <v>7053424.4699999997</v>
      </c>
      <c r="G68">
        <v>2626197.17</v>
      </c>
      <c r="H68">
        <v>4427227.3</v>
      </c>
      <c r="I68">
        <v>1.1000000000000001</v>
      </c>
      <c r="J68">
        <v>4.95</v>
      </c>
    </row>
    <row r="69" spans="1:10" x14ac:dyDescent="0.25">
      <c r="A69">
        <v>44468</v>
      </c>
      <c r="B69" t="s">
        <v>10</v>
      </c>
      <c r="C69" t="s">
        <v>11</v>
      </c>
      <c r="D69" t="s">
        <v>17</v>
      </c>
      <c r="E69">
        <v>155</v>
      </c>
      <c r="F69">
        <v>8178203.9299999997</v>
      </c>
      <c r="G69">
        <v>1970642.6</v>
      </c>
      <c r="H69">
        <v>6207561.3300000001</v>
      </c>
      <c r="I69">
        <v>1.72</v>
      </c>
      <c r="J69">
        <v>4.16</v>
      </c>
    </row>
    <row r="70" spans="1:10" x14ac:dyDescent="0.25">
      <c r="A70">
        <v>44004</v>
      </c>
      <c r="B70" t="s">
        <v>10</v>
      </c>
      <c r="C70" t="s">
        <v>15</v>
      </c>
      <c r="D70" t="s">
        <v>17</v>
      </c>
      <c r="E70">
        <v>488</v>
      </c>
      <c r="F70">
        <v>23813096.550000001</v>
      </c>
      <c r="G70">
        <v>8647327.5</v>
      </c>
      <c r="H70">
        <v>15165769.050000001</v>
      </c>
      <c r="I70">
        <v>0.86</v>
      </c>
      <c r="J70">
        <v>4.1399999999999997</v>
      </c>
    </row>
    <row r="71" spans="1:10" x14ac:dyDescent="0.25">
      <c r="A71">
        <v>44047</v>
      </c>
      <c r="B71" t="s">
        <v>10</v>
      </c>
      <c r="C71" t="s">
        <v>15</v>
      </c>
      <c r="D71" t="s">
        <v>12</v>
      </c>
      <c r="E71">
        <v>445</v>
      </c>
      <c r="F71">
        <v>25584123.309999999</v>
      </c>
      <c r="G71">
        <v>9346932.6699999999</v>
      </c>
      <c r="H71">
        <v>16237190.640000001</v>
      </c>
      <c r="I71">
        <v>1.2</v>
      </c>
      <c r="J71">
        <v>3.88</v>
      </c>
    </row>
    <row r="72" spans="1:10" x14ac:dyDescent="0.25">
      <c r="A72">
        <v>43921</v>
      </c>
      <c r="B72" t="s">
        <v>10</v>
      </c>
      <c r="C72" t="s">
        <v>15</v>
      </c>
      <c r="D72" t="s">
        <v>12</v>
      </c>
      <c r="E72">
        <v>175</v>
      </c>
      <c r="F72">
        <v>7028530.4199999999</v>
      </c>
      <c r="G72">
        <v>2554356.3199999998</v>
      </c>
      <c r="H72">
        <v>4474174.09</v>
      </c>
      <c r="I72">
        <v>4.71</v>
      </c>
      <c r="J72">
        <v>4.46</v>
      </c>
    </row>
    <row r="73" spans="1:10" x14ac:dyDescent="0.25">
      <c r="A73">
        <v>45325</v>
      </c>
      <c r="B73" t="s">
        <v>10</v>
      </c>
      <c r="C73" t="s">
        <v>15</v>
      </c>
      <c r="D73" t="s">
        <v>12</v>
      </c>
      <c r="E73">
        <v>238</v>
      </c>
      <c r="F73">
        <v>17989070.640000001</v>
      </c>
      <c r="G73">
        <v>5201165.41</v>
      </c>
      <c r="H73">
        <v>12787905.23</v>
      </c>
      <c r="I73">
        <v>3.25</v>
      </c>
      <c r="J73">
        <v>4.13</v>
      </c>
    </row>
    <row r="74" spans="1:10" x14ac:dyDescent="0.25">
      <c r="A74">
        <v>44541</v>
      </c>
      <c r="B74" t="s">
        <v>10</v>
      </c>
      <c r="C74" t="s">
        <v>16</v>
      </c>
      <c r="D74" t="s">
        <v>12</v>
      </c>
      <c r="E74">
        <v>125</v>
      </c>
      <c r="F74">
        <v>8266505.8200000003</v>
      </c>
      <c r="G74">
        <v>3044311.97</v>
      </c>
      <c r="H74">
        <v>5222193.8499999996</v>
      </c>
      <c r="I74">
        <v>1.04</v>
      </c>
      <c r="J74">
        <v>4.01</v>
      </c>
    </row>
    <row r="75" spans="1:10" x14ac:dyDescent="0.25">
      <c r="A75">
        <v>45343</v>
      </c>
      <c r="B75" t="s">
        <v>10</v>
      </c>
      <c r="C75" t="s">
        <v>16</v>
      </c>
      <c r="D75" t="s">
        <v>14</v>
      </c>
      <c r="E75">
        <v>269</v>
      </c>
      <c r="F75">
        <v>10095609.09</v>
      </c>
      <c r="G75">
        <v>3956007.22</v>
      </c>
      <c r="H75">
        <v>6139601.8700000001</v>
      </c>
      <c r="I75">
        <v>4.3499999999999996</v>
      </c>
      <c r="J75">
        <v>4.5599999999999996</v>
      </c>
    </row>
    <row r="76" spans="1:10" x14ac:dyDescent="0.25">
      <c r="A76">
        <v>45200</v>
      </c>
      <c r="B76" t="s">
        <v>10</v>
      </c>
      <c r="C76" t="s">
        <v>13</v>
      </c>
      <c r="D76" t="s">
        <v>17</v>
      </c>
      <c r="E76">
        <v>253</v>
      </c>
      <c r="F76">
        <v>9093796.7300000004</v>
      </c>
      <c r="G76">
        <v>2249142.5099999998</v>
      </c>
      <c r="H76">
        <v>6844654.2199999997</v>
      </c>
      <c r="I76">
        <v>4.13</v>
      </c>
      <c r="J76">
        <v>4.0199999999999996</v>
      </c>
    </row>
    <row r="77" spans="1:10" x14ac:dyDescent="0.25">
      <c r="A77">
        <v>44906</v>
      </c>
      <c r="B77" t="s">
        <v>10</v>
      </c>
      <c r="C77" t="s">
        <v>13</v>
      </c>
      <c r="D77" t="s">
        <v>14</v>
      </c>
      <c r="E77">
        <v>303</v>
      </c>
      <c r="F77">
        <v>17835137.73</v>
      </c>
      <c r="G77">
        <v>5712577.7300000004</v>
      </c>
      <c r="H77">
        <v>12122560.01</v>
      </c>
      <c r="I77">
        <v>3.27</v>
      </c>
      <c r="J77">
        <v>4.45</v>
      </c>
    </row>
    <row r="78" spans="1:10" x14ac:dyDescent="0.25">
      <c r="A78">
        <v>45368</v>
      </c>
      <c r="B78" t="s">
        <v>10</v>
      </c>
      <c r="C78" t="s">
        <v>11</v>
      </c>
      <c r="D78" t="s">
        <v>12</v>
      </c>
      <c r="E78">
        <v>339</v>
      </c>
      <c r="F78">
        <v>16729361.609999999</v>
      </c>
      <c r="G78">
        <v>6640537.6100000003</v>
      </c>
      <c r="H78">
        <v>10088824</v>
      </c>
      <c r="I78">
        <v>4.7</v>
      </c>
      <c r="J78">
        <v>4.25</v>
      </c>
    </row>
    <row r="79" spans="1:10" x14ac:dyDescent="0.25">
      <c r="A79">
        <v>45345</v>
      </c>
      <c r="B79" t="s">
        <v>10</v>
      </c>
      <c r="C79" t="s">
        <v>11</v>
      </c>
      <c r="D79" t="s">
        <v>17</v>
      </c>
      <c r="E79">
        <v>374</v>
      </c>
      <c r="F79">
        <v>27159134.739999998</v>
      </c>
      <c r="G79">
        <v>7518456.9400000004</v>
      </c>
      <c r="H79">
        <v>19640677.789999999</v>
      </c>
      <c r="I79">
        <v>4.75</v>
      </c>
      <c r="J79">
        <v>4.92</v>
      </c>
    </row>
    <row r="80" spans="1:10" x14ac:dyDescent="0.25">
      <c r="A80">
        <v>44643</v>
      </c>
      <c r="B80" t="s">
        <v>10</v>
      </c>
      <c r="C80" t="s">
        <v>11</v>
      </c>
      <c r="D80" t="s">
        <v>14</v>
      </c>
      <c r="E80">
        <v>433</v>
      </c>
      <c r="F80">
        <v>30310951.670000002</v>
      </c>
      <c r="G80">
        <v>7268873.5999999996</v>
      </c>
      <c r="H80">
        <v>23042078.079999998</v>
      </c>
      <c r="I80">
        <v>3.55</v>
      </c>
      <c r="J80">
        <v>4.3600000000000003</v>
      </c>
    </row>
    <row r="81" spans="1:10" x14ac:dyDescent="0.25">
      <c r="A81">
        <v>43958</v>
      </c>
      <c r="B81" t="s">
        <v>10</v>
      </c>
      <c r="C81" t="s">
        <v>15</v>
      </c>
      <c r="D81" t="s">
        <v>12</v>
      </c>
      <c r="E81">
        <v>82</v>
      </c>
      <c r="F81">
        <v>4936720.54</v>
      </c>
      <c r="G81">
        <v>1435976.69</v>
      </c>
      <c r="H81">
        <v>3500743.84</v>
      </c>
      <c r="I81">
        <v>4.74</v>
      </c>
      <c r="J81">
        <v>4.08</v>
      </c>
    </row>
    <row r="82" spans="1:10" x14ac:dyDescent="0.25">
      <c r="A82">
        <v>45100</v>
      </c>
      <c r="B82" t="s">
        <v>10</v>
      </c>
      <c r="C82" t="s">
        <v>13</v>
      </c>
      <c r="D82" t="s">
        <v>12</v>
      </c>
      <c r="E82">
        <v>466</v>
      </c>
      <c r="F82">
        <v>33007554.699999999</v>
      </c>
      <c r="G82">
        <v>11838592.82</v>
      </c>
      <c r="H82">
        <v>21168961.879999999</v>
      </c>
      <c r="I82">
        <v>1.73</v>
      </c>
      <c r="J82">
        <v>3.82</v>
      </c>
    </row>
    <row r="83" spans="1:10" x14ac:dyDescent="0.25">
      <c r="A83">
        <v>44314</v>
      </c>
      <c r="B83" t="s">
        <v>10</v>
      </c>
      <c r="C83" t="s">
        <v>15</v>
      </c>
      <c r="D83" t="s">
        <v>12</v>
      </c>
      <c r="E83">
        <v>351</v>
      </c>
      <c r="F83">
        <v>12636772.34</v>
      </c>
      <c r="G83">
        <v>4816018.0999999996</v>
      </c>
      <c r="H83">
        <v>7820754.25</v>
      </c>
      <c r="I83">
        <v>3.57</v>
      </c>
      <c r="J83">
        <v>3.61</v>
      </c>
    </row>
    <row r="84" spans="1:10" x14ac:dyDescent="0.25">
      <c r="A84">
        <v>44515</v>
      </c>
      <c r="B84" t="s">
        <v>10</v>
      </c>
      <c r="C84" t="s">
        <v>18</v>
      </c>
      <c r="D84" t="s">
        <v>14</v>
      </c>
      <c r="E84">
        <v>313</v>
      </c>
      <c r="F84">
        <v>17589602.829999998</v>
      </c>
      <c r="G84">
        <v>4637978.3899999997</v>
      </c>
      <c r="H84">
        <v>12951624.439999999</v>
      </c>
      <c r="I84">
        <v>2.0299999999999998</v>
      </c>
      <c r="J84">
        <v>3.89</v>
      </c>
    </row>
    <row r="85" spans="1:10" x14ac:dyDescent="0.25">
      <c r="A85">
        <v>44922</v>
      </c>
      <c r="B85" t="s">
        <v>10</v>
      </c>
      <c r="C85" t="s">
        <v>15</v>
      </c>
      <c r="D85" t="s">
        <v>12</v>
      </c>
      <c r="E85">
        <v>440</v>
      </c>
      <c r="F85">
        <v>18259588.829999998</v>
      </c>
      <c r="G85">
        <v>4759408.7</v>
      </c>
      <c r="H85">
        <v>13500180.130000001</v>
      </c>
      <c r="I85">
        <v>3.33</v>
      </c>
      <c r="J85">
        <v>4.82</v>
      </c>
    </row>
    <row r="86" spans="1:10" x14ac:dyDescent="0.25">
      <c r="A86">
        <v>45366</v>
      </c>
      <c r="B86" t="s">
        <v>10</v>
      </c>
      <c r="C86" t="s">
        <v>13</v>
      </c>
      <c r="D86" t="s">
        <v>14</v>
      </c>
      <c r="E86">
        <v>469</v>
      </c>
      <c r="F86">
        <v>27195917.890000001</v>
      </c>
      <c r="G86">
        <v>5615518.9100000001</v>
      </c>
      <c r="H86">
        <v>21580398.98</v>
      </c>
      <c r="I86">
        <v>2.97</v>
      </c>
      <c r="J86">
        <v>4.1399999999999997</v>
      </c>
    </row>
    <row r="87" spans="1:10" x14ac:dyDescent="0.25">
      <c r="A87">
        <v>43943</v>
      </c>
      <c r="B87" t="s">
        <v>10</v>
      </c>
      <c r="C87" t="s">
        <v>18</v>
      </c>
      <c r="D87" t="s">
        <v>14</v>
      </c>
      <c r="E87">
        <v>457</v>
      </c>
      <c r="F87">
        <v>36274791.170000002</v>
      </c>
      <c r="G87">
        <v>7323843.0300000003</v>
      </c>
      <c r="H87">
        <v>28950948.140000001</v>
      </c>
      <c r="I87">
        <v>2.36</v>
      </c>
      <c r="J87">
        <v>4.0599999999999996</v>
      </c>
    </row>
    <row r="88" spans="1:10" x14ac:dyDescent="0.25">
      <c r="A88">
        <v>44469</v>
      </c>
      <c r="B88" t="s">
        <v>10</v>
      </c>
      <c r="C88" t="s">
        <v>16</v>
      </c>
      <c r="D88" t="s">
        <v>12</v>
      </c>
      <c r="E88">
        <v>145</v>
      </c>
      <c r="F88">
        <v>7792908.2300000004</v>
      </c>
      <c r="G88">
        <v>1666502.01</v>
      </c>
      <c r="H88">
        <v>6126406.2300000004</v>
      </c>
      <c r="I88">
        <v>4.3600000000000003</v>
      </c>
      <c r="J88">
        <v>4.1399999999999997</v>
      </c>
    </row>
    <row r="89" spans="1:10" x14ac:dyDescent="0.25">
      <c r="A89">
        <v>44110</v>
      </c>
      <c r="B89" t="s">
        <v>10</v>
      </c>
      <c r="C89" t="s">
        <v>16</v>
      </c>
      <c r="D89" t="s">
        <v>12</v>
      </c>
      <c r="E89">
        <v>62</v>
      </c>
      <c r="F89">
        <v>4693088.87</v>
      </c>
      <c r="G89">
        <v>1653622.86</v>
      </c>
      <c r="H89">
        <v>3039466.01</v>
      </c>
      <c r="I89">
        <v>2.2000000000000002</v>
      </c>
      <c r="J89">
        <v>4.3</v>
      </c>
    </row>
    <row r="90" spans="1:10" x14ac:dyDescent="0.25">
      <c r="A90">
        <v>44601</v>
      </c>
      <c r="B90" t="s">
        <v>10</v>
      </c>
      <c r="C90" t="s">
        <v>11</v>
      </c>
      <c r="D90" t="s">
        <v>14</v>
      </c>
      <c r="E90">
        <v>133</v>
      </c>
      <c r="F90">
        <v>10700536.359999999</v>
      </c>
      <c r="G90">
        <v>3595274.07</v>
      </c>
      <c r="H90">
        <v>7105262.2999999998</v>
      </c>
      <c r="I90">
        <v>4.53</v>
      </c>
      <c r="J90">
        <v>4.08</v>
      </c>
    </row>
    <row r="91" spans="1:10" x14ac:dyDescent="0.25">
      <c r="A91">
        <v>44567</v>
      </c>
      <c r="B91" t="s">
        <v>10</v>
      </c>
      <c r="C91" t="s">
        <v>16</v>
      </c>
      <c r="D91" t="s">
        <v>17</v>
      </c>
      <c r="E91">
        <v>445</v>
      </c>
      <c r="F91">
        <v>39035303.140000001</v>
      </c>
      <c r="G91">
        <v>9000423.3699999992</v>
      </c>
      <c r="H91">
        <v>30034879.77</v>
      </c>
      <c r="I91">
        <v>2.1</v>
      </c>
      <c r="J91">
        <v>4.9400000000000004</v>
      </c>
    </row>
    <row r="92" spans="1:10" x14ac:dyDescent="0.25">
      <c r="A92">
        <v>45051</v>
      </c>
      <c r="B92" t="s">
        <v>10</v>
      </c>
      <c r="C92" t="s">
        <v>18</v>
      </c>
      <c r="D92" t="s">
        <v>14</v>
      </c>
      <c r="E92">
        <v>272</v>
      </c>
      <c r="F92">
        <v>23741082.920000002</v>
      </c>
      <c r="G92">
        <v>6773625.8799999999</v>
      </c>
      <c r="H92">
        <v>16967457.039999999</v>
      </c>
      <c r="I92">
        <v>3.34</v>
      </c>
      <c r="J92">
        <v>4.17</v>
      </c>
    </row>
    <row r="93" spans="1:10" x14ac:dyDescent="0.25">
      <c r="A93">
        <v>45308</v>
      </c>
      <c r="B93" t="s">
        <v>10</v>
      </c>
      <c r="C93" t="s">
        <v>16</v>
      </c>
      <c r="D93" t="s">
        <v>17</v>
      </c>
      <c r="E93">
        <v>148</v>
      </c>
      <c r="F93">
        <v>10083869.140000001</v>
      </c>
      <c r="G93">
        <v>2916853.83</v>
      </c>
      <c r="H93">
        <v>7167015.3099999996</v>
      </c>
      <c r="I93">
        <v>1.46</v>
      </c>
      <c r="J93">
        <v>4.92</v>
      </c>
    </row>
    <row r="94" spans="1:10" x14ac:dyDescent="0.25">
      <c r="A94">
        <v>44825</v>
      </c>
      <c r="B94" t="s">
        <v>10</v>
      </c>
      <c r="C94" t="s">
        <v>16</v>
      </c>
      <c r="D94" t="s">
        <v>12</v>
      </c>
      <c r="E94">
        <v>193</v>
      </c>
      <c r="F94">
        <v>15136796.59</v>
      </c>
      <c r="G94">
        <v>5778604.9900000002</v>
      </c>
      <c r="H94">
        <v>9358191.5999999996</v>
      </c>
      <c r="I94">
        <v>2.72</v>
      </c>
      <c r="J94">
        <v>3.59</v>
      </c>
    </row>
    <row r="95" spans="1:10" x14ac:dyDescent="0.25">
      <c r="A95">
        <v>44126</v>
      </c>
      <c r="B95" t="s">
        <v>10</v>
      </c>
      <c r="C95" t="s">
        <v>13</v>
      </c>
      <c r="D95" t="s">
        <v>14</v>
      </c>
      <c r="E95">
        <v>272</v>
      </c>
      <c r="F95">
        <v>10355832.470000001</v>
      </c>
      <c r="G95">
        <v>2615809.64</v>
      </c>
      <c r="H95">
        <v>7740022.8399999999</v>
      </c>
      <c r="I95">
        <v>2.96</v>
      </c>
      <c r="J95">
        <v>4.5599999999999996</v>
      </c>
    </row>
    <row r="96" spans="1:10" x14ac:dyDescent="0.25">
      <c r="A96">
        <v>45425</v>
      </c>
      <c r="B96" t="s">
        <v>10</v>
      </c>
      <c r="C96" t="s">
        <v>16</v>
      </c>
      <c r="D96" t="s">
        <v>12</v>
      </c>
      <c r="E96">
        <v>288</v>
      </c>
      <c r="F96">
        <v>12344988.24</v>
      </c>
      <c r="G96">
        <v>3057827.34</v>
      </c>
      <c r="H96">
        <v>9287160.9100000001</v>
      </c>
      <c r="I96">
        <v>3.28</v>
      </c>
      <c r="J96">
        <v>3.65</v>
      </c>
    </row>
    <row r="97" spans="1:10" x14ac:dyDescent="0.25">
      <c r="A97">
        <v>44300</v>
      </c>
      <c r="B97" t="s">
        <v>10</v>
      </c>
      <c r="C97" t="s">
        <v>11</v>
      </c>
      <c r="D97" t="s">
        <v>12</v>
      </c>
      <c r="E97">
        <v>56</v>
      </c>
      <c r="F97">
        <v>3272361.74</v>
      </c>
      <c r="G97">
        <v>1163274.5900000001</v>
      </c>
      <c r="H97">
        <v>2109087.16</v>
      </c>
      <c r="I97">
        <v>2.2799999999999998</v>
      </c>
      <c r="J97">
        <v>4.84</v>
      </c>
    </row>
    <row r="98" spans="1:10" x14ac:dyDescent="0.25">
      <c r="A98">
        <v>43891</v>
      </c>
      <c r="B98" t="s">
        <v>10</v>
      </c>
      <c r="C98" t="s">
        <v>16</v>
      </c>
      <c r="D98" t="s">
        <v>14</v>
      </c>
      <c r="E98">
        <v>243</v>
      </c>
      <c r="F98">
        <v>9592226.4499999993</v>
      </c>
      <c r="G98">
        <v>3674134.07</v>
      </c>
      <c r="H98">
        <v>5918092.3899999997</v>
      </c>
      <c r="I98">
        <v>4.9400000000000004</v>
      </c>
      <c r="J98">
        <v>4.0599999999999996</v>
      </c>
    </row>
    <row r="99" spans="1:10" x14ac:dyDescent="0.25">
      <c r="A99">
        <v>44987</v>
      </c>
      <c r="B99" t="s">
        <v>10</v>
      </c>
      <c r="C99" t="s">
        <v>11</v>
      </c>
      <c r="D99" t="s">
        <v>14</v>
      </c>
      <c r="E99">
        <v>370</v>
      </c>
      <c r="F99">
        <v>30865325.359999999</v>
      </c>
      <c r="G99">
        <v>10885057.039999999</v>
      </c>
      <c r="H99">
        <v>19980268.32</v>
      </c>
      <c r="I99">
        <v>4.58</v>
      </c>
      <c r="J99">
        <v>4.3899999999999997</v>
      </c>
    </row>
    <row r="100" spans="1:10" x14ac:dyDescent="0.25">
      <c r="A100">
        <v>44815</v>
      </c>
      <c r="B100" t="s">
        <v>10</v>
      </c>
      <c r="C100" t="s">
        <v>15</v>
      </c>
      <c r="D100" t="s">
        <v>12</v>
      </c>
      <c r="E100">
        <v>341</v>
      </c>
      <c r="F100">
        <v>18991748.530000001</v>
      </c>
      <c r="G100">
        <v>7279534.4900000002</v>
      </c>
      <c r="H100">
        <v>11712214.039999999</v>
      </c>
      <c r="I100">
        <v>4</v>
      </c>
      <c r="J100">
        <v>4.34</v>
      </c>
    </row>
    <row r="101" spans="1:10" x14ac:dyDescent="0.25">
      <c r="A101">
        <v>44548</v>
      </c>
      <c r="B101" t="s">
        <v>10</v>
      </c>
      <c r="C101" t="s">
        <v>13</v>
      </c>
      <c r="D101" t="s">
        <v>14</v>
      </c>
      <c r="E101">
        <v>140</v>
      </c>
      <c r="F101">
        <v>6815175.9900000002</v>
      </c>
      <c r="G101">
        <v>2275924.5699999998</v>
      </c>
      <c r="H101">
        <v>4539251.41</v>
      </c>
      <c r="I101">
        <v>2.46</v>
      </c>
      <c r="J101">
        <v>3.88</v>
      </c>
    </row>
    <row r="102" spans="1:10" x14ac:dyDescent="0.25">
      <c r="A102">
        <v>45316</v>
      </c>
      <c r="B102" t="s">
        <v>10</v>
      </c>
      <c r="C102" t="s">
        <v>13</v>
      </c>
      <c r="D102" t="s">
        <v>14</v>
      </c>
      <c r="E102">
        <v>291</v>
      </c>
      <c r="F102">
        <v>17685913.579999998</v>
      </c>
      <c r="G102">
        <v>6875210.46</v>
      </c>
      <c r="H102">
        <v>10810703.119999999</v>
      </c>
      <c r="I102">
        <v>1.03</v>
      </c>
      <c r="J102">
        <v>3.68</v>
      </c>
    </row>
    <row r="103" spans="1:10" x14ac:dyDescent="0.25">
      <c r="A103">
        <v>44082</v>
      </c>
      <c r="B103" t="s">
        <v>10</v>
      </c>
      <c r="C103" t="s">
        <v>11</v>
      </c>
      <c r="D103" t="s">
        <v>12</v>
      </c>
      <c r="E103">
        <v>410</v>
      </c>
      <c r="F103">
        <v>31131972.859999999</v>
      </c>
      <c r="G103">
        <v>8212368.9500000002</v>
      </c>
      <c r="H103">
        <v>22919603.91</v>
      </c>
      <c r="I103">
        <v>1.57</v>
      </c>
      <c r="J103">
        <v>4.0999999999999996</v>
      </c>
    </row>
    <row r="104" spans="1:10" x14ac:dyDescent="0.25">
      <c r="A104">
        <v>44048</v>
      </c>
      <c r="B104" t="s">
        <v>10</v>
      </c>
      <c r="C104" t="s">
        <v>15</v>
      </c>
      <c r="D104" t="s">
        <v>12</v>
      </c>
      <c r="E104">
        <v>418</v>
      </c>
      <c r="F104">
        <v>16535671.49</v>
      </c>
      <c r="G104">
        <v>4866877.6399999997</v>
      </c>
      <c r="H104">
        <v>11668793.84</v>
      </c>
      <c r="I104">
        <v>2.46</v>
      </c>
      <c r="J104">
        <v>4.7</v>
      </c>
    </row>
    <row r="105" spans="1:10" x14ac:dyDescent="0.25">
      <c r="A105">
        <v>44956</v>
      </c>
      <c r="B105" t="s">
        <v>10</v>
      </c>
      <c r="C105" t="s">
        <v>13</v>
      </c>
      <c r="D105" t="s">
        <v>12</v>
      </c>
      <c r="E105">
        <v>222</v>
      </c>
      <c r="F105">
        <v>19612220.469999999</v>
      </c>
      <c r="G105">
        <v>7675595.8499999996</v>
      </c>
      <c r="H105">
        <v>11936624.630000001</v>
      </c>
      <c r="I105">
        <v>4.51</v>
      </c>
      <c r="J105">
        <v>4.29</v>
      </c>
    </row>
    <row r="106" spans="1:10" x14ac:dyDescent="0.25">
      <c r="A106">
        <v>44294</v>
      </c>
      <c r="B106" t="s">
        <v>10</v>
      </c>
      <c r="C106" t="s">
        <v>16</v>
      </c>
      <c r="D106" t="s">
        <v>12</v>
      </c>
      <c r="E106">
        <v>252</v>
      </c>
      <c r="F106">
        <v>21558943.809999999</v>
      </c>
      <c r="G106">
        <v>7532737.3600000003</v>
      </c>
      <c r="H106">
        <v>14026206.449999999</v>
      </c>
      <c r="I106">
        <v>3.63</v>
      </c>
      <c r="J106">
        <v>3.61</v>
      </c>
    </row>
    <row r="107" spans="1:10" x14ac:dyDescent="0.25">
      <c r="A107">
        <v>44471</v>
      </c>
      <c r="B107" t="s">
        <v>10</v>
      </c>
      <c r="C107" t="s">
        <v>11</v>
      </c>
      <c r="D107" t="s">
        <v>14</v>
      </c>
      <c r="E107">
        <v>96</v>
      </c>
      <c r="F107">
        <v>6683224.8099999996</v>
      </c>
      <c r="G107">
        <v>1743320.94</v>
      </c>
      <c r="H107">
        <v>4939903.87</v>
      </c>
      <c r="I107">
        <v>2.5499999999999998</v>
      </c>
      <c r="J107">
        <v>4.4400000000000004</v>
      </c>
    </row>
    <row r="108" spans="1:10" x14ac:dyDescent="0.25">
      <c r="A108">
        <v>45067</v>
      </c>
      <c r="B108" t="s">
        <v>10</v>
      </c>
      <c r="C108" t="s">
        <v>16</v>
      </c>
      <c r="D108" t="s">
        <v>14</v>
      </c>
      <c r="E108">
        <v>423</v>
      </c>
      <c r="F108">
        <v>23743455.609999999</v>
      </c>
      <c r="G108">
        <v>5997118.6699999999</v>
      </c>
      <c r="H108">
        <v>17746336.940000001</v>
      </c>
      <c r="I108">
        <v>4.62</v>
      </c>
      <c r="J108">
        <v>4.9400000000000004</v>
      </c>
    </row>
    <row r="109" spans="1:10" x14ac:dyDescent="0.25">
      <c r="A109">
        <v>43952</v>
      </c>
      <c r="B109" t="s">
        <v>10</v>
      </c>
      <c r="C109" t="s">
        <v>15</v>
      </c>
      <c r="D109" t="s">
        <v>12</v>
      </c>
      <c r="E109">
        <v>321</v>
      </c>
      <c r="F109">
        <v>26952607.100000001</v>
      </c>
      <c r="G109">
        <v>8324815.3600000003</v>
      </c>
      <c r="H109">
        <v>18627791.75</v>
      </c>
      <c r="I109">
        <v>3.29</v>
      </c>
      <c r="J109">
        <v>3.92</v>
      </c>
    </row>
    <row r="110" spans="1:10" x14ac:dyDescent="0.25">
      <c r="A110">
        <v>44849</v>
      </c>
      <c r="B110" t="s">
        <v>10</v>
      </c>
      <c r="C110" t="s">
        <v>15</v>
      </c>
      <c r="D110" t="s">
        <v>14</v>
      </c>
      <c r="E110">
        <v>397</v>
      </c>
      <c r="F110">
        <v>28018933.98</v>
      </c>
      <c r="G110">
        <v>9031800.3499999996</v>
      </c>
      <c r="H110">
        <v>18987133.629999999</v>
      </c>
      <c r="I110">
        <v>1.53</v>
      </c>
      <c r="J110">
        <v>3.9</v>
      </c>
    </row>
    <row r="111" spans="1:10" x14ac:dyDescent="0.25">
      <c r="A111">
        <v>44115</v>
      </c>
      <c r="B111" t="s">
        <v>10</v>
      </c>
      <c r="C111" t="s">
        <v>15</v>
      </c>
      <c r="D111" t="s">
        <v>17</v>
      </c>
      <c r="E111">
        <v>406</v>
      </c>
      <c r="F111">
        <v>35968236.060000002</v>
      </c>
      <c r="G111">
        <v>7292842.25</v>
      </c>
      <c r="H111">
        <v>28675393.800000001</v>
      </c>
      <c r="I111">
        <v>3.64</v>
      </c>
      <c r="J111">
        <v>4.3</v>
      </c>
    </row>
    <row r="112" spans="1:10" x14ac:dyDescent="0.25">
      <c r="A112">
        <v>44630</v>
      </c>
      <c r="B112" t="s">
        <v>10</v>
      </c>
      <c r="C112" t="s">
        <v>11</v>
      </c>
      <c r="D112" t="s">
        <v>12</v>
      </c>
      <c r="E112">
        <v>466</v>
      </c>
      <c r="F112">
        <v>26849228.260000002</v>
      </c>
      <c r="G112">
        <v>7502845.6299999999</v>
      </c>
      <c r="H112">
        <v>19346382.620000001</v>
      </c>
      <c r="I112">
        <v>1.72</v>
      </c>
      <c r="J112">
        <v>3.7</v>
      </c>
    </row>
    <row r="113" spans="1:10" x14ac:dyDescent="0.25">
      <c r="A113">
        <v>44507</v>
      </c>
      <c r="B113" t="s">
        <v>10</v>
      </c>
      <c r="C113" t="s">
        <v>13</v>
      </c>
      <c r="D113" t="s">
        <v>14</v>
      </c>
      <c r="E113">
        <v>84</v>
      </c>
      <c r="F113">
        <v>6740122.0599999996</v>
      </c>
      <c r="G113">
        <v>1415695.35</v>
      </c>
      <c r="H113">
        <v>5324426.71</v>
      </c>
      <c r="I113">
        <v>3.77</v>
      </c>
      <c r="J113">
        <v>4.42</v>
      </c>
    </row>
    <row r="114" spans="1:10" x14ac:dyDescent="0.25">
      <c r="A114">
        <v>45203</v>
      </c>
      <c r="B114" t="s">
        <v>10</v>
      </c>
      <c r="C114" t="s">
        <v>18</v>
      </c>
      <c r="D114" t="s">
        <v>12</v>
      </c>
      <c r="E114">
        <v>499</v>
      </c>
      <c r="F114">
        <v>19736030.390000001</v>
      </c>
      <c r="G114">
        <v>4434048.6100000003</v>
      </c>
      <c r="H114">
        <v>15301981.779999999</v>
      </c>
      <c r="I114">
        <v>2.98</v>
      </c>
      <c r="J114">
        <v>3.75</v>
      </c>
    </row>
    <row r="115" spans="1:10" x14ac:dyDescent="0.25">
      <c r="A115">
        <v>44972</v>
      </c>
      <c r="B115" t="s">
        <v>10</v>
      </c>
      <c r="C115" t="s">
        <v>18</v>
      </c>
      <c r="D115" t="s">
        <v>12</v>
      </c>
      <c r="E115">
        <v>338</v>
      </c>
      <c r="F115">
        <v>26285626.449999999</v>
      </c>
      <c r="G115">
        <v>7988884.8799999999</v>
      </c>
      <c r="H115">
        <v>18296741.579999998</v>
      </c>
      <c r="I115">
        <v>4.93</v>
      </c>
      <c r="J115">
        <v>4.07</v>
      </c>
    </row>
    <row r="116" spans="1:10" x14ac:dyDescent="0.25">
      <c r="A116">
        <v>44863</v>
      </c>
      <c r="B116" t="s">
        <v>10</v>
      </c>
      <c r="C116" t="s">
        <v>13</v>
      </c>
      <c r="D116" t="s">
        <v>17</v>
      </c>
      <c r="E116">
        <v>331</v>
      </c>
      <c r="F116">
        <v>18519118.039999999</v>
      </c>
      <c r="G116">
        <v>3815255.37</v>
      </c>
      <c r="H116">
        <v>14703862.67</v>
      </c>
      <c r="I116">
        <v>4.29</v>
      </c>
      <c r="J116">
        <v>4.76</v>
      </c>
    </row>
    <row r="117" spans="1:10" x14ac:dyDescent="0.25">
      <c r="A117">
        <v>45358</v>
      </c>
      <c r="B117" t="s">
        <v>10</v>
      </c>
      <c r="C117" t="s">
        <v>15</v>
      </c>
      <c r="D117" t="s">
        <v>12</v>
      </c>
      <c r="E117">
        <v>147</v>
      </c>
      <c r="F117">
        <v>5442704.7999999998</v>
      </c>
      <c r="G117">
        <v>2031378.41</v>
      </c>
      <c r="H117">
        <v>3411326.39</v>
      </c>
      <c r="I117">
        <v>0.56000000000000005</v>
      </c>
      <c r="J117">
        <v>3.61</v>
      </c>
    </row>
    <row r="118" spans="1:10" x14ac:dyDescent="0.25">
      <c r="A118">
        <v>43860</v>
      </c>
      <c r="B118" t="s">
        <v>10</v>
      </c>
      <c r="C118" t="s">
        <v>13</v>
      </c>
      <c r="D118" t="s">
        <v>12</v>
      </c>
      <c r="E118">
        <v>246</v>
      </c>
      <c r="F118">
        <v>22136180.120000001</v>
      </c>
      <c r="G118">
        <v>4442125.54</v>
      </c>
      <c r="H118">
        <v>17694054.579999998</v>
      </c>
      <c r="I118">
        <v>3</v>
      </c>
      <c r="J118">
        <v>4.6500000000000004</v>
      </c>
    </row>
    <row r="119" spans="1:10" x14ac:dyDescent="0.25">
      <c r="A119">
        <v>44583</v>
      </c>
      <c r="B119" t="s">
        <v>10</v>
      </c>
      <c r="C119" t="s">
        <v>16</v>
      </c>
      <c r="D119" t="s">
        <v>14</v>
      </c>
      <c r="E119">
        <v>214</v>
      </c>
      <c r="F119">
        <v>16400845.75</v>
      </c>
      <c r="G119">
        <v>5320924.58</v>
      </c>
      <c r="H119">
        <v>11079921.16</v>
      </c>
      <c r="I119">
        <v>1.58</v>
      </c>
      <c r="J119">
        <v>3.81</v>
      </c>
    </row>
    <row r="120" spans="1:10" x14ac:dyDescent="0.25">
      <c r="A120">
        <v>45366</v>
      </c>
      <c r="B120" t="s">
        <v>10</v>
      </c>
      <c r="C120" t="s">
        <v>15</v>
      </c>
      <c r="D120" t="s">
        <v>17</v>
      </c>
      <c r="E120">
        <v>50</v>
      </c>
      <c r="F120">
        <v>4373640.32</v>
      </c>
      <c r="G120">
        <v>1219218.1599999999</v>
      </c>
      <c r="H120">
        <v>3154422.16</v>
      </c>
      <c r="I120">
        <v>1.53</v>
      </c>
      <c r="J120">
        <v>4.51</v>
      </c>
    </row>
    <row r="121" spans="1:10" x14ac:dyDescent="0.25">
      <c r="A121">
        <v>45351</v>
      </c>
      <c r="B121" t="s">
        <v>10</v>
      </c>
      <c r="C121" t="s">
        <v>11</v>
      </c>
      <c r="D121" t="s">
        <v>17</v>
      </c>
      <c r="E121">
        <v>337</v>
      </c>
      <c r="F121">
        <v>12664226.029999999</v>
      </c>
      <c r="G121">
        <v>4385184.5999999996</v>
      </c>
      <c r="H121">
        <v>8279041.4299999997</v>
      </c>
      <c r="I121">
        <v>0.6</v>
      </c>
      <c r="J121">
        <v>4.25</v>
      </c>
    </row>
    <row r="122" spans="1:10" x14ac:dyDescent="0.25">
      <c r="A122">
        <v>45103</v>
      </c>
      <c r="B122" t="s">
        <v>10</v>
      </c>
      <c r="C122" t="s">
        <v>18</v>
      </c>
      <c r="D122" t="s">
        <v>17</v>
      </c>
      <c r="E122">
        <v>487</v>
      </c>
      <c r="F122">
        <v>37731548.119999997</v>
      </c>
      <c r="G122">
        <v>11167304.41</v>
      </c>
      <c r="H122">
        <v>26564243.710000001</v>
      </c>
      <c r="I122">
        <v>4.33</v>
      </c>
      <c r="J122">
        <v>4.33</v>
      </c>
    </row>
    <row r="123" spans="1:10" x14ac:dyDescent="0.25">
      <c r="A123">
        <v>44149</v>
      </c>
      <c r="B123" t="s">
        <v>10</v>
      </c>
      <c r="C123" t="s">
        <v>13</v>
      </c>
      <c r="D123" t="s">
        <v>17</v>
      </c>
      <c r="E123">
        <v>438</v>
      </c>
      <c r="F123">
        <v>17459754.100000001</v>
      </c>
      <c r="G123">
        <v>4218912.6900000004</v>
      </c>
      <c r="H123">
        <v>13240841.41</v>
      </c>
      <c r="I123">
        <v>3.15</v>
      </c>
      <c r="J123">
        <v>4.22</v>
      </c>
    </row>
    <row r="124" spans="1:10" x14ac:dyDescent="0.25">
      <c r="A124">
        <v>45174</v>
      </c>
      <c r="B124" t="s">
        <v>10</v>
      </c>
      <c r="C124" t="s">
        <v>16</v>
      </c>
      <c r="D124" t="s">
        <v>12</v>
      </c>
      <c r="E124">
        <v>456</v>
      </c>
      <c r="F124">
        <v>34898842.369999997</v>
      </c>
      <c r="G124">
        <v>9629919.9000000004</v>
      </c>
      <c r="H124">
        <v>25268922.469999999</v>
      </c>
      <c r="I124">
        <v>3.67</v>
      </c>
      <c r="J124">
        <v>3.82</v>
      </c>
    </row>
    <row r="125" spans="1:10" x14ac:dyDescent="0.25">
      <c r="A125">
        <v>44892</v>
      </c>
      <c r="B125" t="s">
        <v>10</v>
      </c>
      <c r="C125" t="s">
        <v>13</v>
      </c>
      <c r="D125" t="s">
        <v>12</v>
      </c>
      <c r="E125">
        <v>471</v>
      </c>
      <c r="F125">
        <v>32475216.460000001</v>
      </c>
      <c r="G125">
        <v>6621938.7400000002</v>
      </c>
      <c r="H125">
        <v>25853277.719999999</v>
      </c>
      <c r="I125">
        <v>3.24</v>
      </c>
      <c r="J125">
        <v>4.45</v>
      </c>
    </row>
    <row r="126" spans="1:10" x14ac:dyDescent="0.25">
      <c r="A126">
        <v>45595</v>
      </c>
      <c r="B126" t="s">
        <v>10</v>
      </c>
      <c r="C126" t="s">
        <v>13</v>
      </c>
      <c r="D126" t="s">
        <v>14</v>
      </c>
      <c r="E126">
        <v>384</v>
      </c>
      <c r="F126">
        <v>22679470.350000001</v>
      </c>
      <c r="G126">
        <v>4970620.08</v>
      </c>
      <c r="H126">
        <v>17708850.27</v>
      </c>
      <c r="I126">
        <v>2.0699999999999998</v>
      </c>
      <c r="J126">
        <v>4.2699999999999996</v>
      </c>
    </row>
    <row r="127" spans="1:10" x14ac:dyDescent="0.25">
      <c r="A127">
        <v>43843</v>
      </c>
      <c r="B127" t="s">
        <v>10</v>
      </c>
      <c r="C127" t="s">
        <v>15</v>
      </c>
      <c r="D127" t="s">
        <v>17</v>
      </c>
      <c r="E127">
        <v>384</v>
      </c>
      <c r="F127">
        <v>21814983.559999999</v>
      </c>
      <c r="G127">
        <v>6011831.2000000002</v>
      </c>
      <c r="H127">
        <v>15803152.369999999</v>
      </c>
      <c r="I127">
        <v>4.38</v>
      </c>
      <c r="J127">
        <v>4.92</v>
      </c>
    </row>
    <row r="128" spans="1:10" x14ac:dyDescent="0.25">
      <c r="A128">
        <v>44961</v>
      </c>
      <c r="B128" t="s">
        <v>10</v>
      </c>
      <c r="C128" t="s">
        <v>11</v>
      </c>
      <c r="D128" t="s">
        <v>14</v>
      </c>
      <c r="E128">
        <v>437</v>
      </c>
      <c r="F128">
        <v>26335400.530000001</v>
      </c>
      <c r="G128">
        <v>6098797.2699999996</v>
      </c>
      <c r="H128">
        <v>20236603.260000002</v>
      </c>
      <c r="I128">
        <v>3.96</v>
      </c>
      <c r="J128">
        <v>3.6</v>
      </c>
    </row>
    <row r="129" spans="1:10" x14ac:dyDescent="0.25">
      <c r="A129">
        <v>44142</v>
      </c>
      <c r="B129" t="s">
        <v>10</v>
      </c>
      <c r="C129" t="s">
        <v>18</v>
      </c>
      <c r="D129" t="s">
        <v>14</v>
      </c>
      <c r="E129">
        <v>118</v>
      </c>
      <c r="F129">
        <v>10490411.41</v>
      </c>
      <c r="G129">
        <v>3162611.27</v>
      </c>
      <c r="H129">
        <v>7327800.1399999997</v>
      </c>
      <c r="I129">
        <v>1.98</v>
      </c>
      <c r="J129">
        <v>4.45</v>
      </c>
    </row>
    <row r="130" spans="1:10" x14ac:dyDescent="0.25">
      <c r="A130">
        <v>45226</v>
      </c>
      <c r="B130" t="s">
        <v>10</v>
      </c>
      <c r="C130" t="s">
        <v>16</v>
      </c>
      <c r="D130" t="s">
        <v>12</v>
      </c>
      <c r="E130">
        <v>289</v>
      </c>
      <c r="F130">
        <v>15544147.23</v>
      </c>
      <c r="G130">
        <v>4547398.5599999996</v>
      </c>
      <c r="H130">
        <v>10996748.67</v>
      </c>
      <c r="I130">
        <v>2.57</v>
      </c>
      <c r="J130">
        <v>4.38</v>
      </c>
    </row>
    <row r="131" spans="1:10" x14ac:dyDescent="0.25">
      <c r="A131">
        <v>44035</v>
      </c>
      <c r="B131" t="s">
        <v>10</v>
      </c>
      <c r="C131" t="s">
        <v>13</v>
      </c>
      <c r="D131" t="s">
        <v>17</v>
      </c>
      <c r="E131">
        <v>423</v>
      </c>
      <c r="F131">
        <v>31036236.100000001</v>
      </c>
      <c r="G131">
        <v>11296772.369999999</v>
      </c>
      <c r="H131">
        <v>19739463.739999998</v>
      </c>
      <c r="I131">
        <v>3.63</v>
      </c>
      <c r="J131">
        <v>4.12</v>
      </c>
    </row>
    <row r="132" spans="1:10" x14ac:dyDescent="0.25">
      <c r="A132">
        <v>44761</v>
      </c>
      <c r="B132" t="s">
        <v>10</v>
      </c>
      <c r="C132" t="s">
        <v>11</v>
      </c>
      <c r="D132" t="s">
        <v>12</v>
      </c>
      <c r="E132">
        <v>401</v>
      </c>
      <c r="F132">
        <v>24488223.98</v>
      </c>
      <c r="G132">
        <v>6525828.9100000001</v>
      </c>
      <c r="H132">
        <v>17962395.07</v>
      </c>
      <c r="I132">
        <v>1.28</v>
      </c>
      <c r="J132">
        <v>3.79</v>
      </c>
    </row>
    <row r="133" spans="1:10" x14ac:dyDescent="0.25">
      <c r="A133">
        <v>45085</v>
      </c>
      <c r="B133" t="s">
        <v>10</v>
      </c>
      <c r="C133" t="s">
        <v>15</v>
      </c>
      <c r="D133" t="s">
        <v>17</v>
      </c>
      <c r="E133">
        <v>452</v>
      </c>
      <c r="F133">
        <v>36249715.229999997</v>
      </c>
      <c r="G133">
        <v>11998056.689999999</v>
      </c>
      <c r="H133">
        <v>24251658.539999999</v>
      </c>
      <c r="I133">
        <v>2.06</v>
      </c>
      <c r="J133">
        <v>3.55</v>
      </c>
    </row>
    <row r="134" spans="1:10" x14ac:dyDescent="0.25">
      <c r="A134">
        <v>45646</v>
      </c>
      <c r="B134" t="s">
        <v>10</v>
      </c>
      <c r="C134" t="s">
        <v>15</v>
      </c>
      <c r="D134" t="s">
        <v>12</v>
      </c>
      <c r="E134">
        <v>375</v>
      </c>
      <c r="F134">
        <v>15613114.84</v>
      </c>
      <c r="G134">
        <v>4806407.57</v>
      </c>
      <c r="H134">
        <v>10806707.27</v>
      </c>
      <c r="I134">
        <v>1.43</v>
      </c>
      <c r="J134">
        <v>4.05</v>
      </c>
    </row>
    <row r="135" spans="1:10" x14ac:dyDescent="0.25">
      <c r="A135">
        <v>44271</v>
      </c>
      <c r="B135" t="s">
        <v>10</v>
      </c>
      <c r="C135" t="s">
        <v>16</v>
      </c>
      <c r="D135" t="s">
        <v>14</v>
      </c>
      <c r="E135">
        <v>127</v>
      </c>
      <c r="F135">
        <v>6750745.0999999996</v>
      </c>
      <c r="G135">
        <v>2266113.39</v>
      </c>
      <c r="H135">
        <v>4484631.71</v>
      </c>
      <c r="I135">
        <v>0.92</v>
      </c>
      <c r="J135">
        <v>4.22</v>
      </c>
    </row>
    <row r="136" spans="1:10" x14ac:dyDescent="0.25">
      <c r="A136">
        <v>44838</v>
      </c>
      <c r="B136" t="s">
        <v>10</v>
      </c>
      <c r="C136" t="s">
        <v>15</v>
      </c>
      <c r="D136" t="s">
        <v>17</v>
      </c>
      <c r="E136">
        <v>263</v>
      </c>
      <c r="F136">
        <v>10387644.4</v>
      </c>
      <c r="G136">
        <v>2340172.94</v>
      </c>
      <c r="H136">
        <v>8047471.46</v>
      </c>
      <c r="I136">
        <v>4.6399999999999997</v>
      </c>
      <c r="J136">
        <v>3.59</v>
      </c>
    </row>
    <row r="137" spans="1:10" x14ac:dyDescent="0.25">
      <c r="A137">
        <v>45439</v>
      </c>
      <c r="B137" t="s">
        <v>10</v>
      </c>
      <c r="C137" t="s">
        <v>13</v>
      </c>
      <c r="D137" t="s">
        <v>14</v>
      </c>
      <c r="E137">
        <v>75</v>
      </c>
      <c r="F137">
        <v>6206742.0700000003</v>
      </c>
      <c r="G137">
        <v>2377781.77</v>
      </c>
      <c r="H137">
        <v>3828960.29</v>
      </c>
      <c r="I137">
        <v>3.19</v>
      </c>
      <c r="J137">
        <v>4.9800000000000004</v>
      </c>
    </row>
    <row r="138" spans="1:10" x14ac:dyDescent="0.25">
      <c r="A138">
        <v>45356</v>
      </c>
      <c r="B138" t="s">
        <v>10</v>
      </c>
      <c r="C138" t="s">
        <v>15</v>
      </c>
      <c r="D138" t="s">
        <v>14</v>
      </c>
      <c r="E138">
        <v>352</v>
      </c>
      <c r="F138">
        <v>19492339.91</v>
      </c>
      <c r="G138">
        <v>5908038.6200000001</v>
      </c>
      <c r="H138">
        <v>13584301.289999999</v>
      </c>
      <c r="I138">
        <v>3.28</v>
      </c>
      <c r="J138">
        <v>4.05</v>
      </c>
    </row>
    <row r="139" spans="1:10" x14ac:dyDescent="0.25">
      <c r="A139">
        <v>44780</v>
      </c>
      <c r="B139" t="s">
        <v>10</v>
      </c>
      <c r="C139" t="s">
        <v>11</v>
      </c>
      <c r="D139" t="s">
        <v>12</v>
      </c>
      <c r="E139">
        <v>265</v>
      </c>
      <c r="F139">
        <v>19776521.59</v>
      </c>
      <c r="G139">
        <v>7664029.5800000001</v>
      </c>
      <c r="H139">
        <v>12112492.02</v>
      </c>
      <c r="I139">
        <v>1.1599999999999999</v>
      </c>
      <c r="J139">
        <v>3.7</v>
      </c>
    </row>
    <row r="140" spans="1:10" x14ac:dyDescent="0.25">
      <c r="A140">
        <v>44572</v>
      </c>
      <c r="B140" t="s">
        <v>10</v>
      </c>
      <c r="C140" t="s">
        <v>13</v>
      </c>
      <c r="D140" t="s">
        <v>14</v>
      </c>
      <c r="E140">
        <v>52</v>
      </c>
      <c r="F140">
        <v>4380291.5599999996</v>
      </c>
      <c r="G140">
        <v>1303857.3500000001</v>
      </c>
      <c r="H140">
        <v>3076434.21</v>
      </c>
      <c r="I140">
        <v>2.89</v>
      </c>
      <c r="J140">
        <v>3.66</v>
      </c>
    </row>
    <row r="141" spans="1:10" x14ac:dyDescent="0.25">
      <c r="A141">
        <v>44827</v>
      </c>
      <c r="B141" t="s">
        <v>10</v>
      </c>
      <c r="C141" t="s">
        <v>15</v>
      </c>
      <c r="D141" t="s">
        <v>12</v>
      </c>
      <c r="E141">
        <v>343</v>
      </c>
      <c r="F141">
        <v>22052824.73</v>
      </c>
      <c r="G141">
        <v>7751697.9900000002</v>
      </c>
      <c r="H141">
        <v>14301126.74</v>
      </c>
      <c r="I141">
        <v>1.71</v>
      </c>
      <c r="J141">
        <v>4.07</v>
      </c>
    </row>
    <row r="142" spans="1:10" x14ac:dyDescent="0.25">
      <c r="A142">
        <v>45322</v>
      </c>
      <c r="B142" t="s">
        <v>10</v>
      </c>
      <c r="C142" t="s">
        <v>11</v>
      </c>
      <c r="D142" t="s">
        <v>17</v>
      </c>
      <c r="E142">
        <v>251</v>
      </c>
      <c r="F142">
        <v>16570538.1</v>
      </c>
      <c r="G142">
        <v>3842011.87</v>
      </c>
      <c r="H142">
        <v>12728526.23</v>
      </c>
      <c r="I142">
        <v>0.9</v>
      </c>
      <c r="J142">
        <v>4.3</v>
      </c>
    </row>
    <row r="143" spans="1:10" x14ac:dyDescent="0.25">
      <c r="A143">
        <v>45065</v>
      </c>
      <c r="B143" t="s">
        <v>10</v>
      </c>
      <c r="C143" t="s">
        <v>18</v>
      </c>
      <c r="D143" t="s">
        <v>12</v>
      </c>
      <c r="E143">
        <v>74</v>
      </c>
      <c r="F143">
        <v>6214446.0300000003</v>
      </c>
      <c r="G143">
        <v>1748008.76</v>
      </c>
      <c r="H143">
        <v>4466437.2699999996</v>
      </c>
      <c r="I143">
        <v>3.56</v>
      </c>
      <c r="J143">
        <v>4.68</v>
      </c>
    </row>
    <row r="144" spans="1:10" x14ac:dyDescent="0.25">
      <c r="A144">
        <v>45476</v>
      </c>
      <c r="B144" t="s">
        <v>10</v>
      </c>
      <c r="C144" t="s">
        <v>18</v>
      </c>
      <c r="D144" t="s">
        <v>17</v>
      </c>
      <c r="E144">
        <v>158</v>
      </c>
      <c r="F144">
        <v>9697568.4600000009</v>
      </c>
      <c r="G144">
        <v>2745964.49</v>
      </c>
      <c r="H144">
        <v>6951603.9800000004</v>
      </c>
      <c r="I144">
        <v>3.82</v>
      </c>
      <c r="J144">
        <v>4.34</v>
      </c>
    </row>
    <row r="145" spans="1:10" x14ac:dyDescent="0.25">
      <c r="A145">
        <v>44272</v>
      </c>
      <c r="B145" t="s">
        <v>10</v>
      </c>
      <c r="C145" t="s">
        <v>18</v>
      </c>
      <c r="D145" t="s">
        <v>17</v>
      </c>
      <c r="E145">
        <v>473</v>
      </c>
      <c r="F145">
        <v>27784623.100000001</v>
      </c>
      <c r="G145">
        <v>10404895.109999999</v>
      </c>
      <c r="H145">
        <v>17379727.98</v>
      </c>
      <c r="I145">
        <v>1.78</v>
      </c>
      <c r="J145">
        <v>4.04</v>
      </c>
    </row>
    <row r="146" spans="1:10" x14ac:dyDescent="0.25">
      <c r="A146">
        <v>44790</v>
      </c>
      <c r="B146" t="s">
        <v>10</v>
      </c>
      <c r="C146" t="s">
        <v>11</v>
      </c>
      <c r="D146" t="s">
        <v>12</v>
      </c>
      <c r="E146">
        <v>331</v>
      </c>
      <c r="F146">
        <v>22645542.82</v>
      </c>
      <c r="G146">
        <v>7951515.1600000001</v>
      </c>
      <c r="H146">
        <v>14694027.66</v>
      </c>
      <c r="I146">
        <v>2.74</v>
      </c>
      <c r="J146">
        <v>4</v>
      </c>
    </row>
    <row r="147" spans="1:10" x14ac:dyDescent="0.25">
      <c r="A147">
        <v>44129</v>
      </c>
      <c r="B147" t="s">
        <v>10</v>
      </c>
      <c r="C147" t="s">
        <v>18</v>
      </c>
      <c r="D147" t="s">
        <v>17</v>
      </c>
      <c r="E147">
        <v>426</v>
      </c>
      <c r="F147">
        <v>20468223.73</v>
      </c>
      <c r="G147">
        <v>7770628.21</v>
      </c>
      <c r="H147">
        <v>12697595.52</v>
      </c>
      <c r="I147">
        <v>1.19</v>
      </c>
      <c r="J147">
        <v>3.87</v>
      </c>
    </row>
    <row r="148" spans="1:10" x14ac:dyDescent="0.25">
      <c r="A148">
        <v>44402</v>
      </c>
      <c r="B148" t="s">
        <v>10</v>
      </c>
      <c r="C148" t="s">
        <v>16</v>
      </c>
      <c r="D148" t="s">
        <v>12</v>
      </c>
      <c r="E148">
        <v>53</v>
      </c>
      <c r="F148">
        <v>4335133.0599999996</v>
      </c>
      <c r="G148">
        <v>1657852.32</v>
      </c>
      <c r="H148">
        <v>2677280.75</v>
      </c>
      <c r="I148">
        <v>4.13</v>
      </c>
      <c r="J148">
        <v>3.58</v>
      </c>
    </row>
    <row r="149" spans="1:10" x14ac:dyDescent="0.25">
      <c r="A149">
        <v>44160</v>
      </c>
      <c r="B149" t="s">
        <v>10</v>
      </c>
      <c r="C149" t="s">
        <v>15</v>
      </c>
      <c r="D149" t="s">
        <v>17</v>
      </c>
      <c r="E149">
        <v>186</v>
      </c>
      <c r="F149">
        <v>7330791.2199999997</v>
      </c>
      <c r="G149">
        <v>2163299.79</v>
      </c>
      <c r="H149">
        <v>5167491.43</v>
      </c>
      <c r="I149">
        <v>2.35</v>
      </c>
      <c r="J149">
        <v>4.97</v>
      </c>
    </row>
    <row r="150" spans="1:10" x14ac:dyDescent="0.25">
      <c r="A150">
        <v>45219</v>
      </c>
      <c r="B150" t="s">
        <v>10</v>
      </c>
      <c r="C150" t="s">
        <v>16</v>
      </c>
      <c r="D150" t="s">
        <v>12</v>
      </c>
      <c r="E150">
        <v>272</v>
      </c>
      <c r="F150">
        <v>22933289.530000001</v>
      </c>
      <c r="G150">
        <v>6531408.1200000001</v>
      </c>
      <c r="H150">
        <v>16401881.42</v>
      </c>
      <c r="I150">
        <v>4.63</v>
      </c>
      <c r="J150">
        <v>3.51</v>
      </c>
    </row>
    <row r="151" spans="1:10" x14ac:dyDescent="0.25">
      <c r="A151">
        <v>44102</v>
      </c>
      <c r="B151" t="s">
        <v>10</v>
      </c>
      <c r="C151" t="s">
        <v>11</v>
      </c>
      <c r="D151" t="s">
        <v>17</v>
      </c>
      <c r="E151">
        <v>167</v>
      </c>
      <c r="F151">
        <v>8213837.4699999997</v>
      </c>
      <c r="G151">
        <v>3004806.41</v>
      </c>
      <c r="H151">
        <v>5209031.05</v>
      </c>
      <c r="I151">
        <v>3.51</v>
      </c>
      <c r="J151">
        <v>4.8899999999999997</v>
      </c>
    </row>
    <row r="152" spans="1:10" x14ac:dyDescent="0.25">
      <c r="A152">
        <v>45585</v>
      </c>
      <c r="B152" t="s">
        <v>10</v>
      </c>
      <c r="C152" t="s">
        <v>18</v>
      </c>
      <c r="D152" t="s">
        <v>14</v>
      </c>
      <c r="E152">
        <v>384</v>
      </c>
      <c r="F152">
        <v>24739975.780000001</v>
      </c>
      <c r="G152">
        <v>7537679.4100000001</v>
      </c>
      <c r="H152">
        <v>17202296.370000001</v>
      </c>
      <c r="I152">
        <v>4.2699999999999996</v>
      </c>
      <c r="J152">
        <v>3.81</v>
      </c>
    </row>
    <row r="153" spans="1:10" x14ac:dyDescent="0.25">
      <c r="A153">
        <v>44695</v>
      </c>
      <c r="B153" t="s">
        <v>10</v>
      </c>
      <c r="C153" t="s">
        <v>16</v>
      </c>
      <c r="D153" t="s">
        <v>12</v>
      </c>
      <c r="E153">
        <v>459</v>
      </c>
      <c r="F153">
        <v>24236282.32</v>
      </c>
      <c r="G153">
        <v>7632313.4000000004</v>
      </c>
      <c r="H153">
        <v>16603968.92</v>
      </c>
      <c r="I153">
        <v>2.78</v>
      </c>
      <c r="J153">
        <v>3.86</v>
      </c>
    </row>
    <row r="154" spans="1:10" x14ac:dyDescent="0.25">
      <c r="A154">
        <v>44862</v>
      </c>
      <c r="B154" t="s">
        <v>10</v>
      </c>
      <c r="C154" t="s">
        <v>18</v>
      </c>
      <c r="D154" t="s">
        <v>12</v>
      </c>
      <c r="E154">
        <v>96</v>
      </c>
      <c r="F154">
        <v>7094174.9100000001</v>
      </c>
      <c r="G154">
        <v>1748317.55</v>
      </c>
      <c r="H154">
        <v>5345857.3600000003</v>
      </c>
      <c r="I154">
        <v>0.89</v>
      </c>
      <c r="J154">
        <v>4.26</v>
      </c>
    </row>
    <row r="155" spans="1:10" x14ac:dyDescent="0.25">
      <c r="A155">
        <v>44107</v>
      </c>
      <c r="B155" t="s">
        <v>10</v>
      </c>
      <c r="C155" t="s">
        <v>15</v>
      </c>
      <c r="D155" t="s">
        <v>17</v>
      </c>
      <c r="E155">
        <v>405</v>
      </c>
      <c r="F155">
        <v>21317304.829999998</v>
      </c>
      <c r="G155">
        <v>5994924.5300000003</v>
      </c>
      <c r="H155">
        <v>15322380.300000001</v>
      </c>
      <c r="I155">
        <v>2.16</v>
      </c>
      <c r="J155">
        <v>4.18</v>
      </c>
    </row>
    <row r="156" spans="1:10" x14ac:dyDescent="0.25">
      <c r="A156">
        <v>44705</v>
      </c>
      <c r="B156" t="s">
        <v>10</v>
      </c>
      <c r="C156" t="s">
        <v>16</v>
      </c>
      <c r="D156" t="s">
        <v>17</v>
      </c>
      <c r="E156">
        <v>310</v>
      </c>
      <c r="F156">
        <v>11930543.25</v>
      </c>
      <c r="G156">
        <v>2410064.63</v>
      </c>
      <c r="H156">
        <v>9520478.6199999992</v>
      </c>
      <c r="I156">
        <v>1.95</v>
      </c>
      <c r="J156">
        <v>4.71</v>
      </c>
    </row>
    <row r="157" spans="1:10" x14ac:dyDescent="0.25">
      <c r="A157">
        <v>45642</v>
      </c>
      <c r="B157" t="s">
        <v>10</v>
      </c>
      <c r="C157" t="s">
        <v>13</v>
      </c>
      <c r="D157" t="s">
        <v>17</v>
      </c>
      <c r="E157">
        <v>370</v>
      </c>
      <c r="F157">
        <v>15775084.140000001</v>
      </c>
      <c r="G157">
        <v>6301480.7199999997</v>
      </c>
      <c r="H157">
        <v>9473603.4199999999</v>
      </c>
      <c r="I157">
        <v>1.03</v>
      </c>
      <c r="J157">
        <v>4.21</v>
      </c>
    </row>
    <row r="158" spans="1:10" x14ac:dyDescent="0.25">
      <c r="A158">
        <v>44042</v>
      </c>
      <c r="B158" t="s">
        <v>10</v>
      </c>
      <c r="C158" t="s">
        <v>15</v>
      </c>
      <c r="D158" t="s">
        <v>14</v>
      </c>
      <c r="E158">
        <v>87</v>
      </c>
      <c r="F158">
        <v>5015658.7699999996</v>
      </c>
      <c r="G158">
        <v>1656302.67</v>
      </c>
      <c r="H158">
        <v>3359356.1</v>
      </c>
      <c r="I158">
        <v>4.68</v>
      </c>
      <c r="J158">
        <v>4.75</v>
      </c>
    </row>
    <row r="159" spans="1:10" x14ac:dyDescent="0.25">
      <c r="A159">
        <v>44135</v>
      </c>
      <c r="B159" t="s">
        <v>10</v>
      </c>
      <c r="C159" t="s">
        <v>16</v>
      </c>
      <c r="D159" t="s">
        <v>14</v>
      </c>
      <c r="E159">
        <v>285</v>
      </c>
      <c r="F159">
        <v>16378524.24</v>
      </c>
      <c r="G159">
        <v>3495379.95</v>
      </c>
      <c r="H159">
        <v>12883144.289999999</v>
      </c>
      <c r="I159">
        <v>4.96</v>
      </c>
      <c r="J159">
        <v>3.81</v>
      </c>
    </row>
    <row r="160" spans="1:10" x14ac:dyDescent="0.25">
      <c r="A160">
        <v>44501</v>
      </c>
      <c r="B160" t="s">
        <v>10</v>
      </c>
      <c r="C160" t="s">
        <v>13</v>
      </c>
      <c r="D160" t="s">
        <v>17</v>
      </c>
      <c r="E160">
        <v>84</v>
      </c>
      <c r="F160">
        <v>7220196.3399999999</v>
      </c>
      <c r="G160">
        <v>1846064.78</v>
      </c>
      <c r="H160">
        <v>5374131.5599999996</v>
      </c>
      <c r="I160">
        <v>0.72</v>
      </c>
      <c r="J160">
        <v>4.67</v>
      </c>
    </row>
    <row r="161" spans="1:10" x14ac:dyDescent="0.25">
      <c r="A161">
        <v>43901</v>
      </c>
      <c r="B161" t="s">
        <v>10</v>
      </c>
      <c r="C161" t="s">
        <v>16</v>
      </c>
      <c r="D161" t="s">
        <v>17</v>
      </c>
      <c r="E161">
        <v>316</v>
      </c>
      <c r="F161">
        <v>24881745.879999999</v>
      </c>
      <c r="G161">
        <v>8949330.4000000004</v>
      </c>
      <c r="H161">
        <v>15932415.48</v>
      </c>
      <c r="I161">
        <v>1.24</v>
      </c>
      <c r="J161">
        <v>3.75</v>
      </c>
    </row>
    <row r="162" spans="1:10" x14ac:dyDescent="0.25">
      <c r="A162">
        <v>44377</v>
      </c>
      <c r="B162" t="s">
        <v>10</v>
      </c>
      <c r="C162" t="s">
        <v>16</v>
      </c>
      <c r="D162" t="s">
        <v>12</v>
      </c>
      <c r="E162">
        <v>54</v>
      </c>
      <c r="F162">
        <v>2590004.4900000002</v>
      </c>
      <c r="G162">
        <v>707714.29</v>
      </c>
      <c r="H162">
        <v>1882290.2</v>
      </c>
      <c r="I162">
        <v>4.59</v>
      </c>
      <c r="J162">
        <v>3.97</v>
      </c>
    </row>
    <row r="163" spans="1:10" x14ac:dyDescent="0.25">
      <c r="A163">
        <v>44929</v>
      </c>
      <c r="B163" t="s">
        <v>10</v>
      </c>
      <c r="C163" t="s">
        <v>18</v>
      </c>
      <c r="D163" t="s">
        <v>17</v>
      </c>
      <c r="E163">
        <v>91</v>
      </c>
      <c r="F163">
        <v>5149187.76</v>
      </c>
      <c r="G163">
        <v>1218710.3400000001</v>
      </c>
      <c r="H163">
        <v>3930477.43</v>
      </c>
      <c r="I163">
        <v>2.48</v>
      </c>
      <c r="J163">
        <v>4.07</v>
      </c>
    </row>
    <row r="164" spans="1:10" x14ac:dyDescent="0.25">
      <c r="A164">
        <v>44456</v>
      </c>
      <c r="B164" t="s">
        <v>10</v>
      </c>
      <c r="C164" t="s">
        <v>15</v>
      </c>
      <c r="D164" t="s">
        <v>12</v>
      </c>
      <c r="E164">
        <v>228</v>
      </c>
      <c r="F164">
        <v>15806233.359999999</v>
      </c>
      <c r="G164">
        <v>4616112.26</v>
      </c>
      <c r="H164">
        <v>11190121.1</v>
      </c>
      <c r="I164">
        <v>2.4700000000000002</v>
      </c>
      <c r="J164">
        <v>4.37</v>
      </c>
    </row>
    <row r="165" spans="1:10" x14ac:dyDescent="0.25">
      <c r="A165">
        <v>45256</v>
      </c>
      <c r="B165" t="s">
        <v>10</v>
      </c>
      <c r="C165" t="s">
        <v>13</v>
      </c>
      <c r="D165" t="s">
        <v>14</v>
      </c>
      <c r="E165">
        <v>194</v>
      </c>
      <c r="F165">
        <v>16388460.699999999</v>
      </c>
      <c r="G165">
        <v>5297107.04</v>
      </c>
      <c r="H165">
        <v>11091353.66</v>
      </c>
      <c r="I165">
        <v>2.95</v>
      </c>
      <c r="J165">
        <v>4.8600000000000003</v>
      </c>
    </row>
    <row r="166" spans="1:10" x14ac:dyDescent="0.25">
      <c r="A166">
        <v>44978</v>
      </c>
      <c r="B166" t="s">
        <v>10</v>
      </c>
      <c r="C166" t="s">
        <v>13</v>
      </c>
      <c r="D166" t="s">
        <v>12</v>
      </c>
      <c r="E166">
        <v>484</v>
      </c>
      <c r="F166">
        <v>31390648.649999999</v>
      </c>
      <c r="G166">
        <v>9847069.7899999991</v>
      </c>
      <c r="H166">
        <v>21543578.850000001</v>
      </c>
      <c r="I166">
        <v>2</v>
      </c>
      <c r="J166">
        <v>4.5999999999999996</v>
      </c>
    </row>
    <row r="167" spans="1:10" x14ac:dyDescent="0.25">
      <c r="A167">
        <v>45079</v>
      </c>
      <c r="B167" t="s">
        <v>10</v>
      </c>
      <c r="C167" t="s">
        <v>13</v>
      </c>
      <c r="D167" t="s">
        <v>14</v>
      </c>
      <c r="E167">
        <v>91</v>
      </c>
      <c r="F167">
        <v>3882056.72</v>
      </c>
      <c r="G167">
        <v>936332.52</v>
      </c>
      <c r="H167">
        <v>2945724.2</v>
      </c>
      <c r="I167">
        <v>3.29</v>
      </c>
      <c r="J167">
        <v>4.3</v>
      </c>
    </row>
    <row r="168" spans="1:10" x14ac:dyDescent="0.25">
      <c r="A168">
        <v>44702</v>
      </c>
      <c r="B168" t="s">
        <v>10</v>
      </c>
      <c r="C168" t="s">
        <v>18</v>
      </c>
      <c r="D168" t="s">
        <v>14</v>
      </c>
      <c r="E168">
        <v>280</v>
      </c>
      <c r="F168">
        <v>18626523.079999998</v>
      </c>
      <c r="G168">
        <v>3733900.32</v>
      </c>
      <c r="H168">
        <v>14892622.75</v>
      </c>
      <c r="I168">
        <v>3.89</v>
      </c>
      <c r="J168">
        <v>4.5599999999999996</v>
      </c>
    </row>
    <row r="169" spans="1:10" x14ac:dyDescent="0.25">
      <c r="A169">
        <v>45141</v>
      </c>
      <c r="B169" t="s">
        <v>10</v>
      </c>
      <c r="C169" t="s">
        <v>15</v>
      </c>
      <c r="D169" t="s">
        <v>17</v>
      </c>
      <c r="E169">
        <v>460</v>
      </c>
      <c r="F169">
        <v>34921841.200000003</v>
      </c>
      <c r="G169">
        <v>13734533.609999999</v>
      </c>
      <c r="H169">
        <v>21187307.59</v>
      </c>
      <c r="I169">
        <v>3.06</v>
      </c>
      <c r="J169">
        <v>4.6399999999999997</v>
      </c>
    </row>
    <row r="170" spans="1:10" x14ac:dyDescent="0.25">
      <c r="A170">
        <v>44957</v>
      </c>
      <c r="B170" t="s">
        <v>10</v>
      </c>
      <c r="C170" t="s">
        <v>13</v>
      </c>
      <c r="D170" t="s">
        <v>12</v>
      </c>
      <c r="E170">
        <v>172</v>
      </c>
      <c r="F170">
        <v>13158849.859999999</v>
      </c>
      <c r="G170">
        <v>4992688.63</v>
      </c>
      <c r="H170">
        <v>8166161.2400000002</v>
      </c>
      <c r="I170">
        <v>2.91</v>
      </c>
      <c r="J170">
        <v>4.07</v>
      </c>
    </row>
    <row r="171" spans="1:10" x14ac:dyDescent="0.25">
      <c r="A171">
        <v>44467</v>
      </c>
      <c r="B171" t="s">
        <v>10</v>
      </c>
      <c r="C171" t="s">
        <v>13</v>
      </c>
      <c r="D171" t="s">
        <v>17</v>
      </c>
      <c r="E171">
        <v>414</v>
      </c>
      <c r="F171">
        <v>17392916.84</v>
      </c>
      <c r="G171">
        <v>5575169.7800000003</v>
      </c>
      <c r="H171">
        <v>11817747.07</v>
      </c>
      <c r="I171">
        <v>4.09</v>
      </c>
      <c r="J171">
        <v>3.72</v>
      </c>
    </row>
    <row r="172" spans="1:10" x14ac:dyDescent="0.25">
      <c r="A172">
        <v>44590</v>
      </c>
      <c r="B172" t="s">
        <v>10</v>
      </c>
      <c r="C172" t="s">
        <v>13</v>
      </c>
      <c r="D172" t="s">
        <v>17</v>
      </c>
      <c r="E172">
        <v>96</v>
      </c>
      <c r="F172">
        <v>5519283.3399999999</v>
      </c>
      <c r="G172">
        <v>1355666.26</v>
      </c>
      <c r="H172">
        <v>4163617.07</v>
      </c>
      <c r="I172">
        <v>0.55000000000000004</v>
      </c>
      <c r="J172">
        <v>4.4000000000000004</v>
      </c>
    </row>
    <row r="173" spans="1:10" x14ac:dyDescent="0.25">
      <c r="A173">
        <v>44009</v>
      </c>
      <c r="B173" t="s">
        <v>10</v>
      </c>
      <c r="C173" t="s">
        <v>18</v>
      </c>
      <c r="D173" t="s">
        <v>17</v>
      </c>
      <c r="E173">
        <v>469</v>
      </c>
      <c r="F173">
        <v>30414577.02</v>
      </c>
      <c r="G173">
        <v>10634158.43</v>
      </c>
      <c r="H173">
        <v>19780418.579999998</v>
      </c>
      <c r="I173">
        <v>2.06</v>
      </c>
      <c r="J173">
        <v>3.77</v>
      </c>
    </row>
    <row r="174" spans="1:10" x14ac:dyDescent="0.25">
      <c r="A174">
        <v>44639</v>
      </c>
      <c r="B174" t="s">
        <v>10</v>
      </c>
      <c r="C174" t="s">
        <v>16</v>
      </c>
      <c r="D174" t="s">
        <v>17</v>
      </c>
      <c r="E174">
        <v>379</v>
      </c>
      <c r="F174">
        <v>20404918.140000001</v>
      </c>
      <c r="G174">
        <v>7234151.6200000001</v>
      </c>
      <c r="H174">
        <v>13170766.52</v>
      </c>
      <c r="I174">
        <v>2.41</v>
      </c>
      <c r="J174">
        <v>3.93</v>
      </c>
    </row>
    <row r="175" spans="1:10" x14ac:dyDescent="0.25">
      <c r="A175">
        <v>45027</v>
      </c>
      <c r="B175" t="s">
        <v>10</v>
      </c>
      <c r="C175" t="s">
        <v>15</v>
      </c>
      <c r="D175" t="s">
        <v>12</v>
      </c>
      <c r="E175">
        <v>412</v>
      </c>
      <c r="F175">
        <v>17894942.789999999</v>
      </c>
      <c r="G175">
        <v>5059867.26</v>
      </c>
      <c r="H175">
        <v>12835075.539999999</v>
      </c>
      <c r="I175">
        <v>2.78</v>
      </c>
      <c r="J175">
        <v>4.42</v>
      </c>
    </row>
    <row r="176" spans="1:10" x14ac:dyDescent="0.25">
      <c r="A176">
        <v>44202</v>
      </c>
      <c r="B176" t="s">
        <v>10</v>
      </c>
      <c r="C176" t="s">
        <v>16</v>
      </c>
      <c r="D176" t="s">
        <v>14</v>
      </c>
      <c r="E176">
        <v>160</v>
      </c>
      <c r="F176">
        <v>11989641.16</v>
      </c>
      <c r="G176">
        <v>3373973.97</v>
      </c>
      <c r="H176">
        <v>8615667.1899999995</v>
      </c>
      <c r="I176">
        <v>0.96</v>
      </c>
      <c r="J176">
        <v>4.88</v>
      </c>
    </row>
    <row r="177" spans="1:10" x14ac:dyDescent="0.25">
      <c r="A177">
        <v>44169</v>
      </c>
      <c r="B177" t="s">
        <v>10</v>
      </c>
      <c r="C177" t="s">
        <v>11</v>
      </c>
      <c r="D177" t="s">
        <v>14</v>
      </c>
      <c r="E177">
        <v>182</v>
      </c>
      <c r="F177">
        <v>15604218.810000001</v>
      </c>
      <c r="G177">
        <v>4034506.24</v>
      </c>
      <c r="H177">
        <v>11569712.560000001</v>
      </c>
      <c r="I177">
        <v>1.19</v>
      </c>
      <c r="J177">
        <v>4.3600000000000003</v>
      </c>
    </row>
    <row r="178" spans="1:10" x14ac:dyDescent="0.25">
      <c r="A178">
        <v>44587</v>
      </c>
      <c r="B178" t="s">
        <v>10</v>
      </c>
      <c r="C178" t="s">
        <v>18</v>
      </c>
      <c r="D178" t="s">
        <v>12</v>
      </c>
      <c r="E178">
        <v>427</v>
      </c>
      <c r="F178">
        <v>16563622.35</v>
      </c>
      <c r="G178">
        <v>6369305.5599999996</v>
      </c>
      <c r="H178">
        <v>10194316.800000001</v>
      </c>
      <c r="I178">
        <v>0.97</v>
      </c>
      <c r="J178">
        <v>4.76</v>
      </c>
    </row>
    <row r="179" spans="1:10" x14ac:dyDescent="0.25">
      <c r="A179">
        <v>45509</v>
      </c>
      <c r="B179" t="s">
        <v>10</v>
      </c>
      <c r="C179" t="s">
        <v>11</v>
      </c>
      <c r="D179" t="s">
        <v>17</v>
      </c>
      <c r="E179">
        <v>316</v>
      </c>
      <c r="F179">
        <v>18895588.280000001</v>
      </c>
      <c r="G179">
        <v>7130295.4100000001</v>
      </c>
      <c r="H179">
        <v>11765292.859999999</v>
      </c>
      <c r="I179">
        <v>4.93</v>
      </c>
      <c r="J179">
        <v>4.76</v>
      </c>
    </row>
    <row r="180" spans="1:10" x14ac:dyDescent="0.25">
      <c r="A180">
        <v>45070</v>
      </c>
      <c r="B180" t="s">
        <v>10</v>
      </c>
      <c r="C180" t="s">
        <v>15</v>
      </c>
      <c r="D180" t="s">
        <v>17</v>
      </c>
      <c r="E180">
        <v>231</v>
      </c>
      <c r="F180">
        <v>18725320.469999999</v>
      </c>
      <c r="G180">
        <v>6246218.5899999999</v>
      </c>
      <c r="H180">
        <v>12479101.890000001</v>
      </c>
      <c r="I180">
        <v>1.9</v>
      </c>
      <c r="J180">
        <v>3.84</v>
      </c>
    </row>
    <row r="181" spans="1:10" x14ac:dyDescent="0.25">
      <c r="A181">
        <v>44550</v>
      </c>
      <c r="B181" t="s">
        <v>10</v>
      </c>
      <c r="C181" t="s">
        <v>15</v>
      </c>
      <c r="D181" t="s">
        <v>12</v>
      </c>
      <c r="E181">
        <v>448</v>
      </c>
      <c r="F181">
        <v>25511426.620000001</v>
      </c>
      <c r="G181">
        <v>9925161.1400000006</v>
      </c>
      <c r="H181">
        <v>15586265.48</v>
      </c>
      <c r="I181">
        <v>2.0099999999999998</v>
      </c>
      <c r="J181">
        <v>4.7</v>
      </c>
    </row>
    <row r="182" spans="1:10" x14ac:dyDescent="0.25">
      <c r="A182">
        <v>44604</v>
      </c>
      <c r="B182" t="s">
        <v>10</v>
      </c>
      <c r="C182" t="s">
        <v>16</v>
      </c>
      <c r="D182" t="s">
        <v>17</v>
      </c>
      <c r="E182">
        <v>166</v>
      </c>
      <c r="F182">
        <v>11321977.58</v>
      </c>
      <c r="G182">
        <v>4270044.67</v>
      </c>
      <c r="H182">
        <v>7051932.9100000001</v>
      </c>
      <c r="I182">
        <v>2.37</v>
      </c>
      <c r="J182">
        <v>4.8</v>
      </c>
    </row>
    <row r="183" spans="1:10" x14ac:dyDescent="0.25">
      <c r="A183">
        <v>44225</v>
      </c>
      <c r="B183" t="s">
        <v>10</v>
      </c>
      <c r="C183" t="s">
        <v>11</v>
      </c>
      <c r="D183" t="s">
        <v>14</v>
      </c>
      <c r="E183">
        <v>343</v>
      </c>
      <c r="F183">
        <v>18538817.18</v>
      </c>
      <c r="G183">
        <v>6129106.4800000004</v>
      </c>
      <c r="H183">
        <v>12409710.710000001</v>
      </c>
      <c r="I183">
        <v>3.82</v>
      </c>
      <c r="J183">
        <v>4.18</v>
      </c>
    </row>
    <row r="184" spans="1:10" x14ac:dyDescent="0.25">
      <c r="A184">
        <v>44315</v>
      </c>
      <c r="B184" t="s">
        <v>10</v>
      </c>
      <c r="C184" t="s">
        <v>11</v>
      </c>
      <c r="D184" t="s">
        <v>12</v>
      </c>
      <c r="E184">
        <v>476</v>
      </c>
      <c r="F184">
        <v>17519925.829999998</v>
      </c>
      <c r="G184">
        <v>3809709.75</v>
      </c>
      <c r="H184">
        <v>13710216.07</v>
      </c>
      <c r="I184">
        <v>1.62</v>
      </c>
      <c r="J184">
        <v>4.37</v>
      </c>
    </row>
    <row r="185" spans="1:10" x14ac:dyDescent="0.25">
      <c r="A185">
        <v>45180</v>
      </c>
      <c r="B185" t="s">
        <v>10</v>
      </c>
      <c r="C185" t="s">
        <v>11</v>
      </c>
      <c r="D185" t="s">
        <v>14</v>
      </c>
      <c r="E185">
        <v>229</v>
      </c>
      <c r="F185">
        <v>13291366.039999999</v>
      </c>
      <c r="G185">
        <v>2884636.07</v>
      </c>
      <c r="H185">
        <v>10406729.970000001</v>
      </c>
      <c r="I185">
        <v>2.13</v>
      </c>
      <c r="J185">
        <v>4.37</v>
      </c>
    </row>
    <row r="186" spans="1:10" x14ac:dyDescent="0.25">
      <c r="A186">
        <v>45385</v>
      </c>
      <c r="B186" t="s">
        <v>10</v>
      </c>
      <c r="C186" t="s">
        <v>16</v>
      </c>
      <c r="D186" t="s">
        <v>12</v>
      </c>
      <c r="E186">
        <v>199</v>
      </c>
      <c r="F186">
        <v>9373964.0099999998</v>
      </c>
      <c r="G186">
        <v>3350853.2</v>
      </c>
      <c r="H186">
        <v>6023110.8099999996</v>
      </c>
      <c r="I186">
        <v>2.82</v>
      </c>
      <c r="J186">
        <v>4.96</v>
      </c>
    </row>
    <row r="187" spans="1:10" x14ac:dyDescent="0.25">
      <c r="A187">
        <v>44600</v>
      </c>
      <c r="B187" t="s">
        <v>10</v>
      </c>
      <c r="C187" t="s">
        <v>13</v>
      </c>
      <c r="D187" t="s">
        <v>14</v>
      </c>
      <c r="E187">
        <v>410</v>
      </c>
      <c r="F187">
        <v>17702344.510000002</v>
      </c>
      <c r="G187">
        <v>5612973.9900000002</v>
      </c>
      <c r="H187">
        <v>12089370.52</v>
      </c>
      <c r="I187">
        <v>0.88</v>
      </c>
      <c r="J187">
        <v>5</v>
      </c>
    </row>
    <row r="188" spans="1:10" x14ac:dyDescent="0.25">
      <c r="A188">
        <v>44472</v>
      </c>
      <c r="B188" t="s">
        <v>10</v>
      </c>
      <c r="C188" t="s">
        <v>15</v>
      </c>
      <c r="D188" t="s">
        <v>14</v>
      </c>
      <c r="E188">
        <v>98</v>
      </c>
      <c r="F188">
        <v>5044821.96</v>
      </c>
      <c r="G188">
        <v>1705213.46</v>
      </c>
      <c r="H188">
        <v>3339608.5</v>
      </c>
      <c r="I188">
        <v>2.29</v>
      </c>
      <c r="J188">
        <v>4.1399999999999997</v>
      </c>
    </row>
    <row r="189" spans="1:10" x14ac:dyDescent="0.25">
      <c r="A189">
        <v>44796</v>
      </c>
      <c r="B189" t="s">
        <v>10</v>
      </c>
      <c r="C189" t="s">
        <v>16</v>
      </c>
      <c r="D189" t="s">
        <v>14</v>
      </c>
      <c r="E189">
        <v>489</v>
      </c>
      <c r="F189">
        <v>41268170.109999999</v>
      </c>
      <c r="G189">
        <v>14814120.529999999</v>
      </c>
      <c r="H189">
        <v>26454049.579999998</v>
      </c>
      <c r="I189">
        <v>1.36</v>
      </c>
      <c r="J189">
        <v>3.55</v>
      </c>
    </row>
    <row r="190" spans="1:10" x14ac:dyDescent="0.25">
      <c r="A190">
        <v>44129</v>
      </c>
      <c r="B190" t="s">
        <v>10</v>
      </c>
      <c r="C190" t="s">
        <v>11</v>
      </c>
      <c r="D190" t="s">
        <v>12</v>
      </c>
      <c r="E190">
        <v>335</v>
      </c>
      <c r="F190">
        <v>27138706.68</v>
      </c>
      <c r="G190">
        <v>7666936.46</v>
      </c>
      <c r="H190">
        <v>19471770.219999999</v>
      </c>
      <c r="I190">
        <v>1.82</v>
      </c>
      <c r="J190">
        <v>4.57</v>
      </c>
    </row>
    <row r="191" spans="1:10" x14ac:dyDescent="0.25">
      <c r="A191">
        <v>44110</v>
      </c>
      <c r="B191" t="s">
        <v>10</v>
      </c>
      <c r="C191" t="s">
        <v>16</v>
      </c>
      <c r="D191" t="s">
        <v>17</v>
      </c>
      <c r="E191">
        <v>243</v>
      </c>
      <c r="F191">
        <v>15648002.99</v>
      </c>
      <c r="G191">
        <v>4753588.0599999996</v>
      </c>
      <c r="H191">
        <v>10894414.92</v>
      </c>
      <c r="I191">
        <v>2.74</v>
      </c>
      <c r="J191">
        <v>4.6500000000000004</v>
      </c>
    </row>
    <row r="192" spans="1:10" x14ac:dyDescent="0.25">
      <c r="A192">
        <v>45154</v>
      </c>
      <c r="B192" t="s">
        <v>10</v>
      </c>
      <c r="C192" t="s">
        <v>13</v>
      </c>
      <c r="D192" t="s">
        <v>17</v>
      </c>
      <c r="E192">
        <v>181</v>
      </c>
      <c r="F192">
        <v>8146094.54</v>
      </c>
      <c r="G192">
        <v>1854400.39</v>
      </c>
      <c r="H192">
        <v>6291694.1500000004</v>
      </c>
      <c r="I192">
        <v>4.76</v>
      </c>
      <c r="J192">
        <v>4.0599999999999996</v>
      </c>
    </row>
    <row r="193" spans="1:10" x14ac:dyDescent="0.25">
      <c r="A193">
        <v>45506</v>
      </c>
      <c r="B193" t="s">
        <v>10</v>
      </c>
      <c r="C193" t="s">
        <v>18</v>
      </c>
      <c r="D193" t="s">
        <v>14</v>
      </c>
      <c r="E193">
        <v>415</v>
      </c>
      <c r="F193">
        <v>26544153.5</v>
      </c>
      <c r="G193">
        <v>6366616.4299999997</v>
      </c>
      <c r="H193">
        <v>20177537.07</v>
      </c>
      <c r="I193">
        <v>4.91</v>
      </c>
      <c r="J193">
        <v>4.76</v>
      </c>
    </row>
    <row r="194" spans="1:10" x14ac:dyDescent="0.25">
      <c r="A194">
        <v>45446</v>
      </c>
      <c r="B194" t="s">
        <v>10</v>
      </c>
      <c r="C194" t="s">
        <v>13</v>
      </c>
      <c r="D194" t="s">
        <v>17</v>
      </c>
      <c r="E194">
        <v>440</v>
      </c>
      <c r="F194">
        <v>31345959.390000001</v>
      </c>
      <c r="G194">
        <v>12368513.779999999</v>
      </c>
      <c r="H194">
        <v>18977445.609999999</v>
      </c>
      <c r="I194">
        <v>1.5</v>
      </c>
      <c r="J194">
        <v>3.85</v>
      </c>
    </row>
    <row r="195" spans="1:10" x14ac:dyDescent="0.25">
      <c r="A195">
        <v>45038</v>
      </c>
      <c r="B195" t="s">
        <v>10</v>
      </c>
      <c r="C195" t="s">
        <v>16</v>
      </c>
      <c r="D195" t="s">
        <v>12</v>
      </c>
      <c r="E195">
        <v>492</v>
      </c>
      <c r="F195">
        <v>30899043.210000001</v>
      </c>
      <c r="G195">
        <v>8682328.4600000009</v>
      </c>
      <c r="H195">
        <v>22216714.75</v>
      </c>
      <c r="I195">
        <v>2.0299999999999998</v>
      </c>
      <c r="J195">
        <v>4.3499999999999996</v>
      </c>
    </row>
    <row r="196" spans="1:10" x14ac:dyDescent="0.25">
      <c r="A196">
        <v>44238</v>
      </c>
      <c r="B196" t="s">
        <v>10</v>
      </c>
      <c r="C196" t="s">
        <v>15</v>
      </c>
      <c r="D196" t="s">
        <v>12</v>
      </c>
      <c r="E196">
        <v>100</v>
      </c>
      <c r="F196">
        <v>7090103.5899999999</v>
      </c>
      <c r="G196">
        <v>2498293.3199999998</v>
      </c>
      <c r="H196">
        <v>4591810.2699999996</v>
      </c>
      <c r="I196">
        <v>0.95</v>
      </c>
      <c r="J196">
        <v>3.86</v>
      </c>
    </row>
    <row r="197" spans="1:10" x14ac:dyDescent="0.25">
      <c r="A197">
        <v>45235</v>
      </c>
      <c r="B197" t="s">
        <v>10</v>
      </c>
      <c r="C197" t="s">
        <v>15</v>
      </c>
      <c r="D197" t="s">
        <v>12</v>
      </c>
      <c r="E197">
        <v>127</v>
      </c>
      <c r="F197">
        <v>8658333.8499999996</v>
      </c>
      <c r="G197">
        <v>2066137.95</v>
      </c>
      <c r="H197">
        <v>6592195.9000000004</v>
      </c>
      <c r="I197">
        <v>4.83</v>
      </c>
      <c r="J197">
        <v>4.92</v>
      </c>
    </row>
    <row r="198" spans="1:10" x14ac:dyDescent="0.25">
      <c r="A198">
        <v>43954</v>
      </c>
      <c r="B198" t="s">
        <v>10</v>
      </c>
      <c r="C198" t="s">
        <v>18</v>
      </c>
      <c r="D198" t="s">
        <v>17</v>
      </c>
      <c r="E198">
        <v>231</v>
      </c>
      <c r="F198">
        <v>10689325.470000001</v>
      </c>
      <c r="G198">
        <v>3649019.89</v>
      </c>
      <c r="H198">
        <v>7040305.5800000001</v>
      </c>
      <c r="I198">
        <v>4.53</v>
      </c>
      <c r="J198">
        <v>3.52</v>
      </c>
    </row>
    <row r="199" spans="1:10" x14ac:dyDescent="0.25">
      <c r="A199">
        <v>44109</v>
      </c>
      <c r="B199" t="s">
        <v>10</v>
      </c>
      <c r="C199" t="s">
        <v>11</v>
      </c>
      <c r="D199" t="s">
        <v>14</v>
      </c>
      <c r="E199">
        <v>312</v>
      </c>
      <c r="F199">
        <v>23548123.16</v>
      </c>
      <c r="G199">
        <v>5424884.2999999998</v>
      </c>
      <c r="H199">
        <v>18123238.870000001</v>
      </c>
      <c r="I199">
        <v>1.05</v>
      </c>
      <c r="J199">
        <v>4.8099999999999996</v>
      </c>
    </row>
    <row r="200" spans="1:10" x14ac:dyDescent="0.25">
      <c r="A200">
        <v>45211</v>
      </c>
      <c r="B200" t="s">
        <v>10</v>
      </c>
      <c r="C200" t="s">
        <v>13</v>
      </c>
      <c r="D200" t="s">
        <v>17</v>
      </c>
      <c r="E200">
        <v>334</v>
      </c>
      <c r="F200">
        <v>19431568.989999998</v>
      </c>
      <c r="G200">
        <v>4303425.21</v>
      </c>
      <c r="H200">
        <v>15128143.789999999</v>
      </c>
      <c r="I200">
        <v>4.18</v>
      </c>
      <c r="J200">
        <v>4.01</v>
      </c>
    </row>
    <row r="201" spans="1:10" x14ac:dyDescent="0.25">
      <c r="A201">
        <v>44679</v>
      </c>
      <c r="B201" t="s">
        <v>10</v>
      </c>
      <c r="C201" t="s">
        <v>15</v>
      </c>
      <c r="D201" t="s">
        <v>14</v>
      </c>
      <c r="E201">
        <v>283</v>
      </c>
      <c r="F201">
        <v>22747795.609999999</v>
      </c>
      <c r="G201">
        <v>7447358.8899999997</v>
      </c>
      <c r="H201">
        <v>15300436.720000001</v>
      </c>
      <c r="I201">
        <v>0.65</v>
      </c>
      <c r="J201">
        <v>4.75</v>
      </c>
    </row>
    <row r="202" spans="1:10" x14ac:dyDescent="0.25">
      <c r="A202">
        <v>45294</v>
      </c>
      <c r="B202" t="s">
        <v>10</v>
      </c>
      <c r="C202" t="s">
        <v>11</v>
      </c>
      <c r="D202" t="s">
        <v>12</v>
      </c>
      <c r="E202">
        <v>342</v>
      </c>
      <c r="F202">
        <v>19671033.18</v>
      </c>
      <c r="G202">
        <v>5696545.5899999999</v>
      </c>
      <c r="H202">
        <v>13974487.59</v>
      </c>
      <c r="I202">
        <v>2.46</v>
      </c>
      <c r="J202">
        <v>3.94</v>
      </c>
    </row>
    <row r="203" spans="1:10" x14ac:dyDescent="0.25">
      <c r="A203">
        <v>44551</v>
      </c>
      <c r="B203" t="s">
        <v>10</v>
      </c>
      <c r="C203" t="s">
        <v>13</v>
      </c>
      <c r="D203" t="s">
        <v>14</v>
      </c>
      <c r="E203">
        <v>391</v>
      </c>
      <c r="F203">
        <v>30453712.449999999</v>
      </c>
      <c r="G203">
        <v>11485691.189999999</v>
      </c>
      <c r="H203">
        <v>18968021.260000002</v>
      </c>
      <c r="I203">
        <v>3.05</v>
      </c>
      <c r="J203">
        <v>4.9800000000000004</v>
      </c>
    </row>
    <row r="204" spans="1:10" x14ac:dyDescent="0.25">
      <c r="A204">
        <v>45036</v>
      </c>
      <c r="B204" t="s">
        <v>10</v>
      </c>
      <c r="C204" t="s">
        <v>18</v>
      </c>
      <c r="D204" t="s">
        <v>17</v>
      </c>
      <c r="E204">
        <v>264</v>
      </c>
      <c r="F204">
        <v>20853898.32</v>
      </c>
      <c r="G204">
        <v>6568087.4900000002</v>
      </c>
      <c r="H204">
        <v>14285810.83</v>
      </c>
      <c r="I204">
        <v>0.6</v>
      </c>
      <c r="J204">
        <v>3.9</v>
      </c>
    </row>
    <row r="205" spans="1:10" x14ac:dyDescent="0.25">
      <c r="A205">
        <v>45281</v>
      </c>
      <c r="B205" t="s">
        <v>10</v>
      </c>
      <c r="C205" t="s">
        <v>16</v>
      </c>
      <c r="D205" t="s">
        <v>12</v>
      </c>
      <c r="E205">
        <v>89</v>
      </c>
      <c r="F205">
        <v>6535850.4500000002</v>
      </c>
      <c r="G205">
        <v>2088138.8</v>
      </c>
      <c r="H205">
        <v>4447711.6500000004</v>
      </c>
      <c r="I205">
        <v>1.48</v>
      </c>
      <c r="J205">
        <v>4.47</v>
      </c>
    </row>
    <row r="206" spans="1:10" x14ac:dyDescent="0.25">
      <c r="A206">
        <v>44009</v>
      </c>
      <c r="B206" t="s">
        <v>10</v>
      </c>
      <c r="C206" t="s">
        <v>11</v>
      </c>
      <c r="D206" t="s">
        <v>17</v>
      </c>
      <c r="E206">
        <v>53</v>
      </c>
      <c r="F206">
        <v>2240585.16</v>
      </c>
      <c r="G206">
        <v>492672.28</v>
      </c>
      <c r="H206">
        <v>1747912.88</v>
      </c>
      <c r="I206">
        <v>3.61</v>
      </c>
      <c r="J206">
        <v>4.5199999999999996</v>
      </c>
    </row>
    <row r="207" spans="1:10" x14ac:dyDescent="0.25">
      <c r="A207">
        <v>45239</v>
      </c>
      <c r="B207" t="s">
        <v>10</v>
      </c>
      <c r="C207" t="s">
        <v>15</v>
      </c>
      <c r="D207" t="s">
        <v>12</v>
      </c>
      <c r="E207">
        <v>375</v>
      </c>
      <c r="F207">
        <v>31982412.890000001</v>
      </c>
      <c r="G207">
        <v>12039772.4</v>
      </c>
      <c r="H207">
        <v>19942640.48</v>
      </c>
      <c r="I207">
        <v>3.09</v>
      </c>
      <c r="J207">
        <v>3.91</v>
      </c>
    </row>
    <row r="208" spans="1:10" x14ac:dyDescent="0.25">
      <c r="A208">
        <v>45307</v>
      </c>
      <c r="B208" t="s">
        <v>10</v>
      </c>
      <c r="C208" t="s">
        <v>16</v>
      </c>
      <c r="D208" t="s">
        <v>12</v>
      </c>
      <c r="E208">
        <v>66</v>
      </c>
      <c r="F208">
        <v>3781050.56</v>
      </c>
      <c r="G208">
        <v>1136232.24</v>
      </c>
      <c r="H208">
        <v>2644818.3199999998</v>
      </c>
      <c r="I208">
        <v>3.74</v>
      </c>
      <c r="J208">
        <v>3.66</v>
      </c>
    </row>
    <row r="209" spans="1:10" x14ac:dyDescent="0.25">
      <c r="A209">
        <v>44571</v>
      </c>
      <c r="B209" t="s">
        <v>10</v>
      </c>
      <c r="C209" t="s">
        <v>15</v>
      </c>
      <c r="D209" t="s">
        <v>12</v>
      </c>
      <c r="E209">
        <v>391</v>
      </c>
      <c r="F209">
        <v>16628725.470000001</v>
      </c>
      <c r="G209">
        <v>3658257.61</v>
      </c>
      <c r="H209">
        <v>12970467.869999999</v>
      </c>
      <c r="I209">
        <v>4.43</v>
      </c>
      <c r="J209">
        <v>4.4000000000000004</v>
      </c>
    </row>
    <row r="210" spans="1:10" x14ac:dyDescent="0.25">
      <c r="A210">
        <v>45431</v>
      </c>
      <c r="B210" t="s">
        <v>10</v>
      </c>
      <c r="C210" t="s">
        <v>15</v>
      </c>
      <c r="D210" t="s">
        <v>17</v>
      </c>
      <c r="E210">
        <v>317</v>
      </c>
      <c r="F210">
        <v>22133064.73</v>
      </c>
      <c r="G210">
        <v>6665266.8700000001</v>
      </c>
      <c r="H210">
        <v>15467797.869999999</v>
      </c>
      <c r="I210">
        <v>3.08</v>
      </c>
      <c r="J210">
        <v>4.76</v>
      </c>
    </row>
    <row r="211" spans="1:10" x14ac:dyDescent="0.25">
      <c r="A211">
        <v>45338</v>
      </c>
      <c r="B211" t="s">
        <v>10</v>
      </c>
      <c r="C211" t="s">
        <v>11</v>
      </c>
      <c r="D211" t="s">
        <v>17</v>
      </c>
      <c r="E211">
        <v>239</v>
      </c>
      <c r="F211">
        <v>15186173.24</v>
      </c>
      <c r="G211">
        <v>5931822.6299999999</v>
      </c>
      <c r="H211">
        <v>9254350.5999999996</v>
      </c>
      <c r="I211">
        <v>1.25</v>
      </c>
      <c r="J211">
        <v>4.6100000000000003</v>
      </c>
    </row>
    <row r="212" spans="1:10" x14ac:dyDescent="0.25">
      <c r="A212">
        <v>43900</v>
      </c>
      <c r="B212" t="s">
        <v>10</v>
      </c>
      <c r="C212" t="s">
        <v>15</v>
      </c>
      <c r="D212" t="s">
        <v>12</v>
      </c>
      <c r="E212">
        <v>356</v>
      </c>
      <c r="F212">
        <v>14228797.689999999</v>
      </c>
      <c r="G212">
        <v>3497478.52</v>
      </c>
      <c r="H212">
        <v>10731319.16</v>
      </c>
      <c r="I212">
        <v>0.81</v>
      </c>
      <c r="J212">
        <v>4.76</v>
      </c>
    </row>
    <row r="213" spans="1:10" x14ac:dyDescent="0.25">
      <c r="A213">
        <v>44070</v>
      </c>
      <c r="B213" t="s">
        <v>10</v>
      </c>
      <c r="C213" t="s">
        <v>15</v>
      </c>
      <c r="D213" t="s">
        <v>17</v>
      </c>
      <c r="E213">
        <v>60</v>
      </c>
      <c r="F213">
        <v>3273719.96</v>
      </c>
      <c r="G213">
        <v>838697</v>
      </c>
      <c r="H213">
        <v>2435022.9700000002</v>
      </c>
      <c r="I213">
        <v>1.84</v>
      </c>
      <c r="J213">
        <v>4.3499999999999996</v>
      </c>
    </row>
    <row r="214" spans="1:10" x14ac:dyDescent="0.25">
      <c r="A214">
        <v>44763</v>
      </c>
      <c r="B214" t="s">
        <v>10</v>
      </c>
      <c r="C214" t="s">
        <v>11</v>
      </c>
      <c r="D214" t="s">
        <v>14</v>
      </c>
      <c r="E214">
        <v>147</v>
      </c>
      <c r="F214">
        <v>8351910.1799999997</v>
      </c>
      <c r="G214">
        <v>1747074.39</v>
      </c>
      <c r="H214">
        <v>6604835.79</v>
      </c>
      <c r="I214">
        <v>1.1100000000000001</v>
      </c>
      <c r="J214">
        <v>4.2300000000000004</v>
      </c>
    </row>
    <row r="215" spans="1:10" x14ac:dyDescent="0.25">
      <c r="A215">
        <v>45351</v>
      </c>
      <c r="B215" t="s">
        <v>10</v>
      </c>
      <c r="C215" t="s">
        <v>18</v>
      </c>
      <c r="D215" t="s">
        <v>14</v>
      </c>
      <c r="E215">
        <v>299</v>
      </c>
      <c r="F215">
        <v>10977806.66</v>
      </c>
      <c r="G215">
        <v>3815305.87</v>
      </c>
      <c r="H215">
        <v>7162500.79</v>
      </c>
      <c r="I215">
        <v>3.18</v>
      </c>
      <c r="J215">
        <v>3.58</v>
      </c>
    </row>
    <row r="216" spans="1:10" x14ac:dyDescent="0.25">
      <c r="A216">
        <v>45280</v>
      </c>
      <c r="B216" t="s">
        <v>10</v>
      </c>
      <c r="C216" t="s">
        <v>16</v>
      </c>
      <c r="D216" t="s">
        <v>12</v>
      </c>
      <c r="E216">
        <v>495</v>
      </c>
      <c r="F216">
        <v>43331308.609999999</v>
      </c>
      <c r="G216">
        <v>15992094.189999999</v>
      </c>
      <c r="H216">
        <v>27339214.420000002</v>
      </c>
      <c r="I216">
        <v>3.3</v>
      </c>
      <c r="J216">
        <v>4.21</v>
      </c>
    </row>
    <row r="217" spans="1:10" x14ac:dyDescent="0.25">
      <c r="A217">
        <v>44976</v>
      </c>
      <c r="B217" t="s">
        <v>10</v>
      </c>
      <c r="C217" t="s">
        <v>18</v>
      </c>
      <c r="D217" t="s">
        <v>17</v>
      </c>
      <c r="E217">
        <v>122</v>
      </c>
      <c r="F217">
        <v>4774174.5199999996</v>
      </c>
      <c r="G217">
        <v>1214369.77</v>
      </c>
      <c r="H217">
        <v>3559804.75</v>
      </c>
      <c r="I217">
        <v>2.73</v>
      </c>
      <c r="J217">
        <v>4.53</v>
      </c>
    </row>
    <row r="218" spans="1:10" x14ac:dyDescent="0.25">
      <c r="A218">
        <v>44839</v>
      </c>
      <c r="B218" t="s">
        <v>10</v>
      </c>
      <c r="C218" t="s">
        <v>18</v>
      </c>
      <c r="D218" t="s">
        <v>14</v>
      </c>
      <c r="E218">
        <v>91</v>
      </c>
      <c r="F218">
        <v>5485705.9699999997</v>
      </c>
      <c r="G218">
        <v>2110972.7200000002</v>
      </c>
      <c r="H218">
        <v>3374733.26</v>
      </c>
      <c r="I218">
        <v>0.85</v>
      </c>
      <c r="J218">
        <v>3.5</v>
      </c>
    </row>
    <row r="219" spans="1:10" x14ac:dyDescent="0.25">
      <c r="A219">
        <v>44675</v>
      </c>
      <c r="B219" t="s">
        <v>10</v>
      </c>
      <c r="C219" t="s">
        <v>18</v>
      </c>
      <c r="D219" t="s">
        <v>14</v>
      </c>
      <c r="E219">
        <v>484</v>
      </c>
      <c r="F219">
        <v>24184503.550000001</v>
      </c>
      <c r="G219">
        <v>6818914.29</v>
      </c>
      <c r="H219">
        <v>17365589.260000002</v>
      </c>
      <c r="I219">
        <v>2.12</v>
      </c>
      <c r="J219">
        <v>3.64</v>
      </c>
    </row>
    <row r="220" spans="1:10" x14ac:dyDescent="0.25">
      <c r="A220">
        <v>45627</v>
      </c>
      <c r="B220" t="s">
        <v>10</v>
      </c>
      <c r="C220" t="s">
        <v>11</v>
      </c>
      <c r="D220" t="s">
        <v>12</v>
      </c>
      <c r="E220">
        <v>354</v>
      </c>
      <c r="F220">
        <v>15053858.74</v>
      </c>
      <c r="G220">
        <v>3160595.72</v>
      </c>
      <c r="H220">
        <v>11893263.029999999</v>
      </c>
      <c r="I220">
        <v>2.5099999999999998</v>
      </c>
      <c r="J220">
        <v>3.78</v>
      </c>
    </row>
    <row r="221" spans="1:10" x14ac:dyDescent="0.25">
      <c r="A221">
        <v>44570</v>
      </c>
      <c r="B221" t="s">
        <v>10</v>
      </c>
      <c r="C221" t="s">
        <v>13</v>
      </c>
      <c r="D221" t="s">
        <v>14</v>
      </c>
      <c r="E221">
        <v>367</v>
      </c>
      <c r="F221">
        <v>32185677.460000001</v>
      </c>
      <c r="G221">
        <v>7992396.2599999998</v>
      </c>
      <c r="H221">
        <v>24193281.199999999</v>
      </c>
      <c r="I221">
        <v>3.38</v>
      </c>
      <c r="J221">
        <v>4.6399999999999997</v>
      </c>
    </row>
    <row r="222" spans="1:10" x14ac:dyDescent="0.25">
      <c r="A222">
        <v>44703</v>
      </c>
      <c r="B222" t="s">
        <v>10</v>
      </c>
      <c r="C222" t="s">
        <v>16</v>
      </c>
      <c r="D222" t="s">
        <v>17</v>
      </c>
      <c r="E222">
        <v>423</v>
      </c>
      <c r="F222">
        <v>29630192.699999999</v>
      </c>
      <c r="G222">
        <v>6041141.1699999999</v>
      </c>
      <c r="H222">
        <v>23589051.530000001</v>
      </c>
      <c r="I222">
        <v>4.57</v>
      </c>
      <c r="J222">
        <v>4.47</v>
      </c>
    </row>
    <row r="223" spans="1:10" x14ac:dyDescent="0.25">
      <c r="A223">
        <v>45626</v>
      </c>
      <c r="B223" t="s">
        <v>10</v>
      </c>
      <c r="C223" t="s">
        <v>13</v>
      </c>
      <c r="D223" t="s">
        <v>12</v>
      </c>
      <c r="E223">
        <v>108</v>
      </c>
      <c r="F223">
        <v>9646747.9700000007</v>
      </c>
      <c r="G223">
        <v>2037278.68</v>
      </c>
      <c r="H223">
        <v>7609469.2800000003</v>
      </c>
      <c r="I223">
        <v>0.68</v>
      </c>
      <c r="J223">
        <v>4.5599999999999996</v>
      </c>
    </row>
    <row r="224" spans="1:10" x14ac:dyDescent="0.25">
      <c r="A224">
        <v>43899</v>
      </c>
      <c r="B224" t="s">
        <v>10</v>
      </c>
      <c r="C224" t="s">
        <v>11</v>
      </c>
      <c r="D224" t="s">
        <v>14</v>
      </c>
      <c r="E224">
        <v>248</v>
      </c>
      <c r="F224">
        <v>22311181.73</v>
      </c>
      <c r="G224">
        <v>6444332.3600000003</v>
      </c>
      <c r="H224">
        <v>15866849.369999999</v>
      </c>
      <c r="I224">
        <v>2.63</v>
      </c>
      <c r="J224">
        <v>3.97</v>
      </c>
    </row>
    <row r="225" spans="1:10" x14ac:dyDescent="0.25">
      <c r="A225">
        <v>44377</v>
      </c>
      <c r="B225" t="s">
        <v>10</v>
      </c>
      <c r="C225" t="s">
        <v>13</v>
      </c>
      <c r="D225" t="s">
        <v>12</v>
      </c>
      <c r="E225">
        <v>384</v>
      </c>
      <c r="F225">
        <v>28169516.039999999</v>
      </c>
      <c r="G225">
        <v>9592570.8900000006</v>
      </c>
      <c r="H225">
        <v>18576945.149999999</v>
      </c>
      <c r="I225">
        <v>4.66</v>
      </c>
      <c r="J225">
        <v>4.96</v>
      </c>
    </row>
    <row r="226" spans="1:10" x14ac:dyDescent="0.25">
      <c r="A226">
        <v>44768</v>
      </c>
      <c r="B226" t="s">
        <v>10</v>
      </c>
      <c r="C226" t="s">
        <v>18</v>
      </c>
      <c r="D226" t="s">
        <v>12</v>
      </c>
      <c r="E226">
        <v>264</v>
      </c>
      <c r="F226">
        <v>20788363.489999998</v>
      </c>
      <c r="G226">
        <v>5217610.87</v>
      </c>
      <c r="H226">
        <v>15570752.619999999</v>
      </c>
      <c r="I226">
        <v>0.75</v>
      </c>
      <c r="J226">
        <v>4.18</v>
      </c>
    </row>
    <row r="227" spans="1:10" x14ac:dyDescent="0.25">
      <c r="A227">
        <v>44562</v>
      </c>
      <c r="B227" t="s">
        <v>10</v>
      </c>
      <c r="C227" t="s">
        <v>13</v>
      </c>
      <c r="D227" t="s">
        <v>17</v>
      </c>
      <c r="E227">
        <v>492</v>
      </c>
      <c r="F227">
        <v>39650452.729999997</v>
      </c>
      <c r="G227">
        <v>15566707.199999999</v>
      </c>
      <c r="H227">
        <v>24083745.530000001</v>
      </c>
      <c r="I227">
        <v>3.18</v>
      </c>
      <c r="J227">
        <v>3.85</v>
      </c>
    </row>
    <row r="228" spans="1:10" x14ac:dyDescent="0.25">
      <c r="A228">
        <v>44817</v>
      </c>
      <c r="B228" t="s">
        <v>10</v>
      </c>
      <c r="C228" t="s">
        <v>13</v>
      </c>
      <c r="D228" t="s">
        <v>17</v>
      </c>
      <c r="E228">
        <v>237</v>
      </c>
      <c r="F228">
        <v>14565641.66</v>
      </c>
      <c r="G228">
        <v>3248142.88</v>
      </c>
      <c r="H228">
        <v>11317498.779999999</v>
      </c>
      <c r="I228">
        <v>2.89</v>
      </c>
      <c r="J228">
        <v>4.16</v>
      </c>
    </row>
    <row r="229" spans="1:10" x14ac:dyDescent="0.25">
      <c r="A229">
        <v>44656</v>
      </c>
      <c r="B229" t="s">
        <v>10</v>
      </c>
      <c r="C229" t="s">
        <v>15</v>
      </c>
      <c r="D229" t="s">
        <v>12</v>
      </c>
      <c r="E229">
        <v>413</v>
      </c>
      <c r="F229">
        <v>27457696.559999999</v>
      </c>
      <c r="G229">
        <v>6568007.4299999997</v>
      </c>
      <c r="H229">
        <v>20889689.120000001</v>
      </c>
      <c r="I229">
        <v>2.92</v>
      </c>
      <c r="J229">
        <v>4.49</v>
      </c>
    </row>
    <row r="230" spans="1:10" x14ac:dyDescent="0.25">
      <c r="A230">
        <v>45464</v>
      </c>
      <c r="B230" t="s">
        <v>10</v>
      </c>
      <c r="C230" t="s">
        <v>11</v>
      </c>
      <c r="D230" t="s">
        <v>17</v>
      </c>
      <c r="E230">
        <v>446</v>
      </c>
      <c r="F230">
        <v>30963115.460000001</v>
      </c>
      <c r="G230">
        <v>6898719.9199999999</v>
      </c>
      <c r="H230">
        <v>24064395.539999999</v>
      </c>
      <c r="I230">
        <v>3.27</v>
      </c>
      <c r="J230">
        <v>3.85</v>
      </c>
    </row>
    <row r="231" spans="1:10" x14ac:dyDescent="0.25">
      <c r="A231">
        <v>44132</v>
      </c>
      <c r="B231" t="s">
        <v>10</v>
      </c>
      <c r="C231" t="s">
        <v>11</v>
      </c>
      <c r="D231" t="s">
        <v>17</v>
      </c>
      <c r="E231">
        <v>360</v>
      </c>
      <c r="F231">
        <v>21746468.440000001</v>
      </c>
      <c r="G231">
        <v>4391302.1500000004</v>
      </c>
      <c r="H231">
        <v>17355166.289999999</v>
      </c>
      <c r="I231">
        <v>0.5</v>
      </c>
      <c r="J231">
        <v>3.78</v>
      </c>
    </row>
    <row r="232" spans="1:10" x14ac:dyDescent="0.25">
      <c r="A232">
        <v>43839</v>
      </c>
      <c r="B232" t="s">
        <v>10</v>
      </c>
      <c r="C232" t="s">
        <v>16</v>
      </c>
      <c r="D232" t="s">
        <v>14</v>
      </c>
      <c r="E232">
        <v>323</v>
      </c>
      <c r="F232">
        <v>27987537.66</v>
      </c>
      <c r="G232">
        <v>6723819.8899999997</v>
      </c>
      <c r="H232">
        <v>21263717.780000001</v>
      </c>
      <c r="I232">
        <v>4.99</v>
      </c>
      <c r="J232">
        <v>4.03</v>
      </c>
    </row>
    <row r="233" spans="1:10" x14ac:dyDescent="0.25">
      <c r="A233">
        <v>44778</v>
      </c>
      <c r="B233" t="s">
        <v>10</v>
      </c>
      <c r="C233" t="s">
        <v>11</v>
      </c>
      <c r="D233" t="s">
        <v>12</v>
      </c>
      <c r="E233">
        <v>495</v>
      </c>
      <c r="F233">
        <v>19735594.350000001</v>
      </c>
      <c r="G233">
        <v>7745838.8099999996</v>
      </c>
      <c r="H233">
        <v>11989755.550000001</v>
      </c>
      <c r="I233">
        <v>2.66</v>
      </c>
      <c r="J233">
        <v>4.37</v>
      </c>
    </row>
    <row r="234" spans="1:10" x14ac:dyDescent="0.25">
      <c r="A234">
        <v>43889</v>
      </c>
      <c r="B234" t="s">
        <v>10</v>
      </c>
      <c r="C234" t="s">
        <v>13</v>
      </c>
      <c r="D234" t="s">
        <v>17</v>
      </c>
      <c r="E234">
        <v>285</v>
      </c>
      <c r="F234">
        <v>25400508.379999999</v>
      </c>
      <c r="G234">
        <v>6257296.29</v>
      </c>
      <c r="H234">
        <v>19143212.09</v>
      </c>
      <c r="I234">
        <v>2.38</v>
      </c>
      <c r="J234">
        <v>4.13</v>
      </c>
    </row>
    <row r="235" spans="1:10" x14ac:dyDescent="0.25">
      <c r="A235">
        <v>45371</v>
      </c>
      <c r="B235" t="s">
        <v>10</v>
      </c>
      <c r="C235" t="s">
        <v>11</v>
      </c>
      <c r="D235" t="s">
        <v>12</v>
      </c>
      <c r="E235">
        <v>438</v>
      </c>
      <c r="F235">
        <v>32970427.84</v>
      </c>
      <c r="G235">
        <v>13166104.939999999</v>
      </c>
      <c r="H235">
        <v>19804322.899999999</v>
      </c>
      <c r="I235">
        <v>2.6</v>
      </c>
      <c r="J235">
        <v>3.95</v>
      </c>
    </row>
    <row r="236" spans="1:10" x14ac:dyDescent="0.25">
      <c r="A236">
        <v>44198</v>
      </c>
      <c r="B236" t="s">
        <v>10</v>
      </c>
      <c r="C236" t="s">
        <v>15</v>
      </c>
      <c r="D236" t="s">
        <v>12</v>
      </c>
      <c r="E236">
        <v>373</v>
      </c>
      <c r="F236">
        <v>27734576.260000002</v>
      </c>
      <c r="G236">
        <v>7826095.3899999997</v>
      </c>
      <c r="H236">
        <v>19908480.870000001</v>
      </c>
      <c r="I236">
        <v>1.75</v>
      </c>
      <c r="J236">
        <v>4.87</v>
      </c>
    </row>
    <row r="237" spans="1:10" x14ac:dyDescent="0.25">
      <c r="A237">
        <v>43928</v>
      </c>
      <c r="B237" t="s">
        <v>10</v>
      </c>
      <c r="C237" t="s">
        <v>16</v>
      </c>
      <c r="D237" t="s">
        <v>12</v>
      </c>
      <c r="E237">
        <v>122</v>
      </c>
      <c r="F237">
        <v>5004527.59</v>
      </c>
      <c r="G237">
        <v>1609826.27</v>
      </c>
      <c r="H237">
        <v>3394701.32</v>
      </c>
      <c r="I237">
        <v>1.06</v>
      </c>
      <c r="J237">
        <v>4.93</v>
      </c>
    </row>
    <row r="238" spans="1:10" x14ac:dyDescent="0.25">
      <c r="A238">
        <v>45031</v>
      </c>
      <c r="B238" t="s">
        <v>10</v>
      </c>
      <c r="C238" t="s">
        <v>16</v>
      </c>
      <c r="D238" t="s">
        <v>14</v>
      </c>
      <c r="E238">
        <v>342</v>
      </c>
      <c r="F238">
        <v>26761149.719999999</v>
      </c>
      <c r="G238">
        <v>10225911.640000001</v>
      </c>
      <c r="H238">
        <v>16535238.08</v>
      </c>
      <c r="I238">
        <v>2.38</v>
      </c>
      <c r="J238">
        <v>4.82</v>
      </c>
    </row>
    <row r="239" spans="1:10" x14ac:dyDescent="0.25">
      <c r="A239">
        <v>44802</v>
      </c>
      <c r="B239" t="s">
        <v>10</v>
      </c>
      <c r="C239" t="s">
        <v>13</v>
      </c>
      <c r="D239" t="s">
        <v>12</v>
      </c>
      <c r="E239">
        <v>351</v>
      </c>
      <c r="F239">
        <v>23883414.010000002</v>
      </c>
      <c r="G239">
        <v>5236562.87</v>
      </c>
      <c r="H239">
        <v>18646851.140000001</v>
      </c>
      <c r="I239">
        <v>4.95</v>
      </c>
      <c r="J239">
        <v>4.62</v>
      </c>
    </row>
    <row r="240" spans="1:10" x14ac:dyDescent="0.25">
      <c r="A240">
        <v>45450</v>
      </c>
      <c r="B240" t="s">
        <v>10</v>
      </c>
      <c r="C240" t="s">
        <v>16</v>
      </c>
      <c r="D240" t="s">
        <v>17</v>
      </c>
      <c r="E240">
        <v>309</v>
      </c>
      <c r="F240">
        <v>14752260.57</v>
      </c>
      <c r="G240">
        <v>3119419.27</v>
      </c>
      <c r="H240">
        <v>11632841.289999999</v>
      </c>
      <c r="I240">
        <v>3.42</v>
      </c>
      <c r="J240">
        <v>4.41</v>
      </c>
    </row>
    <row r="241" spans="1:10" x14ac:dyDescent="0.25">
      <c r="A241">
        <v>44405</v>
      </c>
      <c r="B241" t="s">
        <v>10</v>
      </c>
      <c r="C241" t="s">
        <v>15</v>
      </c>
      <c r="D241" t="s">
        <v>12</v>
      </c>
      <c r="E241">
        <v>415</v>
      </c>
      <c r="F241">
        <v>19790038.449999999</v>
      </c>
      <c r="G241">
        <v>7217316.0700000003</v>
      </c>
      <c r="H241">
        <v>12572722.380000001</v>
      </c>
      <c r="I241">
        <v>1.49</v>
      </c>
      <c r="J241">
        <v>3.78</v>
      </c>
    </row>
    <row r="242" spans="1:10" x14ac:dyDescent="0.25">
      <c r="A242">
        <v>44715</v>
      </c>
      <c r="B242" t="s">
        <v>10</v>
      </c>
      <c r="C242" t="s">
        <v>15</v>
      </c>
      <c r="D242" t="s">
        <v>17</v>
      </c>
      <c r="E242">
        <v>308</v>
      </c>
      <c r="F242">
        <v>24775924.489999998</v>
      </c>
      <c r="G242">
        <v>5942407.9299999997</v>
      </c>
      <c r="H242">
        <v>18833516.550000001</v>
      </c>
      <c r="I242">
        <v>3.33</v>
      </c>
      <c r="J242">
        <v>3.82</v>
      </c>
    </row>
    <row r="243" spans="1:10" x14ac:dyDescent="0.25">
      <c r="A243">
        <v>45194</v>
      </c>
      <c r="B243" t="s">
        <v>10</v>
      </c>
      <c r="C243" t="s">
        <v>11</v>
      </c>
      <c r="D243" t="s">
        <v>14</v>
      </c>
      <c r="E243">
        <v>58</v>
      </c>
      <c r="F243">
        <v>4989529.78</v>
      </c>
      <c r="G243">
        <v>1002987.47</v>
      </c>
      <c r="H243">
        <v>3986542.31</v>
      </c>
      <c r="I243">
        <v>1.28</v>
      </c>
      <c r="J243">
        <v>4.09</v>
      </c>
    </row>
    <row r="244" spans="1:10" x14ac:dyDescent="0.25">
      <c r="A244">
        <v>44394</v>
      </c>
      <c r="B244" t="s">
        <v>10</v>
      </c>
      <c r="C244" t="s">
        <v>11</v>
      </c>
      <c r="D244" t="s">
        <v>12</v>
      </c>
      <c r="E244">
        <v>227</v>
      </c>
      <c r="F244">
        <v>14077461.470000001</v>
      </c>
      <c r="G244">
        <v>2825808.89</v>
      </c>
      <c r="H244">
        <v>11251652.58</v>
      </c>
      <c r="I244">
        <v>4.54</v>
      </c>
      <c r="J244">
        <v>4.2</v>
      </c>
    </row>
    <row r="245" spans="1:10" x14ac:dyDescent="0.25">
      <c r="A245">
        <v>44488</v>
      </c>
      <c r="B245" t="s">
        <v>10</v>
      </c>
      <c r="C245" t="s">
        <v>18</v>
      </c>
      <c r="D245" t="s">
        <v>14</v>
      </c>
      <c r="E245">
        <v>318</v>
      </c>
      <c r="F245">
        <v>15044570.08</v>
      </c>
      <c r="G245">
        <v>4402118.17</v>
      </c>
      <c r="H245">
        <v>10642451.92</v>
      </c>
      <c r="I245">
        <v>3.17</v>
      </c>
      <c r="J245">
        <v>4.37</v>
      </c>
    </row>
    <row r="246" spans="1:10" x14ac:dyDescent="0.25">
      <c r="A246">
        <v>44465</v>
      </c>
      <c r="B246" t="s">
        <v>10</v>
      </c>
      <c r="C246" t="s">
        <v>15</v>
      </c>
      <c r="D246" t="s">
        <v>14</v>
      </c>
      <c r="E246">
        <v>147</v>
      </c>
      <c r="F246">
        <v>8843338.5099999998</v>
      </c>
      <c r="G246">
        <v>2845486.07</v>
      </c>
      <c r="H246">
        <v>5997852.4400000004</v>
      </c>
      <c r="I246">
        <v>1.73</v>
      </c>
      <c r="J246">
        <v>4.22</v>
      </c>
    </row>
    <row r="247" spans="1:10" x14ac:dyDescent="0.25">
      <c r="A247">
        <v>44802</v>
      </c>
      <c r="B247" t="s">
        <v>10</v>
      </c>
      <c r="C247" t="s">
        <v>11</v>
      </c>
      <c r="D247" t="s">
        <v>14</v>
      </c>
      <c r="E247">
        <v>244</v>
      </c>
      <c r="F247">
        <v>21364843.109999999</v>
      </c>
      <c r="G247">
        <v>4862092.99</v>
      </c>
      <c r="H247">
        <v>16502750.119999999</v>
      </c>
      <c r="I247">
        <v>4.1399999999999997</v>
      </c>
      <c r="J247">
        <v>4.4800000000000004</v>
      </c>
    </row>
    <row r="248" spans="1:10" x14ac:dyDescent="0.25">
      <c r="A248">
        <v>44231</v>
      </c>
      <c r="B248" t="s">
        <v>10</v>
      </c>
      <c r="C248" t="s">
        <v>11</v>
      </c>
      <c r="D248" t="s">
        <v>14</v>
      </c>
      <c r="E248">
        <v>310</v>
      </c>
      <c r="F248">
        <v>23385375.760000002</v>
      </c>
      <c r="G248">
        <v>8038063.6299999999</v>
      </c>
      <c r="H248">
        <v>15347312.130000001</v>
      </c>
      <c r="I248">
        <v>1.64</v>
      </c>
      <c r="J248">
        <v>3.51</v>
      </c>
    </row>
    <row r="249" spans="1:10" x14ac:dyDescent="0.25">
      <c r="A249">
        <v>44795</v>
      </c>
      <c r="B249" t="s">
        <v>10</v>
      </c>
      <c r="C249" t="s">
        <v>16</v>
      </c>
      <c r="D249" t="s">
        <v>12</v>
      </c>
      <c r="E249">
        <v>300</v>
      </c>
      <c r="F249">
        <v>22436431.879999999</v>
      </c>
      <c r="G249">
        <v>6749436.3200000003</v>
      </c>
      <c r="H249">
        <v>15686995.560000001</v>
      </c>
      <c r="I249">
        <v>0.86</v>
      </c>
      <c r="J249">
        <v>3.83</v>
      </c>
    </row>
    <row r="250" spans="1:10" x14ac:dyDescent="0.25">
      <c r="A250">
        <v>45259</v>
      </c>
      <c r="B250" t="s">
        <v>10</v>
      </c>
      <c r="C250" t="s">
        <v>11</v>
      </c>
      <c r="D250" t="s">
        <v>12</v>
      </c>
      <c r="E250">
        <v>333</v>
      </c>
      <c r="F250">
        <v>13049336.689999999</v>
      </c>
      <c r="G250">
        <v>2998197.55</v>
      </c>
      <c r="H250">
        <v>10051139.140000001</v>
      </c>
      <c r="I250">
        <v>2.73</v>
      </c>
      <c r="J250">
        <v>4.22</v>
      </c>
    </row>
    <row r="251" spans="1:10" x14ac:dyDescent="0.25">
      <c r="A251">
        <v>44213</v>
      </c>
      <c r="B251" t="s">
        <v>10</v>
      </c>
      <c r="C251" t="s">
        <v>11</v>
      </c>
      <c r="D251" t="s">
        <v>17</v>
      </c>
      <c r="E251">
        <v>398</v>
      </c>
      <c r="F251">
        <v>33773585.32</v>
      </c>
      <c r="G251">
        <v>9650336.3200000003</v>
      </c>
      <c r="H251">
        <v>24123249</v>
      </c>
      <c r="I251">
        <v>3.48</v>
      </c>
      <c r="J251">
        <v>4.32</v>
      </c>
    </row>
    <row r="252" spans="1:10" x14ac:dyDescent="0.25">
      <c r="A252">
        <v>43914</v>
      </c>
      <c r="B252" t="s">
        <v>10</v>
      </c>
      <c r="C252" t="s">
        <v>15</v>
      </c>
      <c r="D252" t="s">
        <v>14</v>
      </c>
      <c r="E252">
        <v>286</v>
      </c>
      <c r="F252">
        <v>21554403.030000001</v>
      </c>
      <c r="G252">
        <v>6374670.2400000002</v>
      </c>
      <c r="H252">
        <v>15179732.789999999</v>
      </c>
      <c r="I252">
        <v>4.41</v>
      </c>
      <c r="J252">
        <v>3.87</v>
      </c>
    </row>
    <row r="253" spans="1:10" x14ac:dyDescent="0.25">
      <c r="A253">
        <v>45542</v>
      </c>
      <c r="B253" t="s">
        <v>10</v>
      </c>
      <c r="C253" t="s">
        <v>18</v>
      </c>
      <c r="D253" t="s">
        <v>17</v>
      </c>
      <c r="E253">
        <v>108</v>
      </c>
      <c r="F253">
        <v>8931727.5500000007</v>
      </c>
      <c r="G253">
        <v>2307310</v>
      </c>
      <c r="H253">
        <v>6624417.5599999996</v>
      </c>
      <c r="I253">
        <v>4.2699999999999996</v>
      </c>
      <c r="J253">
        <v>4.55</v>
      </c>
    </row>
    <row r="254" spans="1:10" x14ac:dyDescent="0.25">
      <c r="A254">
        <v>43859</v>
      </c>
      <c r="B254" t="s">
        <v>10</v>
      </c>
      <c r="C254" t="s">
        <v>13</v>
      </c>
      <c r="D254" t="s">
        <v>17</v>
      </c>
      <c r="E254">
        <v>219</v>
      </c>
      <c r="F254">
        <v>8939771.6600000001</v>
      </c>
      <c r="G254">
        <v>2326145.15</v>
      </c>
      <c r="H254">
        <v>6613626.5099999998</v>
      </c>
      <c r="I254">
        <v>1.35</v>
      </c>
      <c r="J254">
        <v>4.82</v>
      </c>
    </row>
    <row r="255" spans="1:10" x14ac:dyDescent="0.25">
      <c r="A255">
        <v>45455</v>
      </c>
      <c r="B255" t="s">
        <v>10</v>
      </c>
      <c r="C255" t="s">
        <v>16</v>
      </c>
      <c r="D255" t="s">
        <v>14</v>
      </c>
      <c r="E255">
        <v>94</v>
      </c>
      <c r="F255">
        <v>7797431.04</v>
      </c>
      <c r="G255">
        <v>3073361.68</v>
      </c>
      <c r="H255">
        <v>4724069.3600000003</v>
      </c>
      <c r="I255">
        <v>4.22</v>
      </c>
      <c r="J255">
        <v>3.69</v>
      </c>
    </row>
    <row r="256" spans="1:10" x14ac:dyDescent="0.25">
      <c r="A256">
        <v>45409</v>
      </c>
      <c r="B256" t="s">
        <v>10</v>
      </c>
      <c r="C256" t="s">
        <v>16</v>
      </c>
      <c r="D256" t="s">
        <v>14</v>
      </c>
      <c r="E256">
        <v>412</v>
      </c>
      <c r="F256">
        <v>19600646.16</v>
      </c>
      <c r="G256">
        <v>4278031.9000000004</v>
      </c>
      <c r="H256">
        <v>15322614.26</v>
      </c>
      <c r="I256">
        <v>0.51</v>
      </c>
      <c r="J256">
        <v>4.33</v>
      </c>
    </row>
    <row r="257" spans="1:10" x14ac:dyDescent="0.25">
      <c r="A257">
        <v>44502</v>
      </c>
      <c r="B257" t="s">
        <v>10</v>
      </c>
      <c r="C257" t="s">
        <v>13</v>
      </c>
      <c r="D257" t="s">
        <v>14</v>
      </c>
      <c r="E257">
        <v>126</v>
      </c>
      <c r="F257">
        <v>7926751.3899999997</v>
      </c>
      <c r="G257">
        <v>3160576.71</v>
      </c>
      <c r="H257">
        <v>4766174.68</v>
      </c>
      <c r="I257">
        <v>1.79</v>
      </c>
      <c r="J257">
        <v>4.43</v>
      </c>
    </row>
    <row r="258" spans="1:10" x14ac:dyDescent="0.25">
      <c r="A258">
        <v>44444</v>
      </c>
      <c r="B258" t="s">
        <v>10</v>
      </c>
      <c r="C258" t="s">
        <v>18</v>
      </c>
      <c r="D258" t="s">
        <v>14</v>
      </c>
      <c r="E258">
        <v>162</v>
      </c>
      <c r="F258">
        <v>10658212.82</v>
      </c>
      <c r="G258">
        <v>4016347.43</v>
      </c>
      <c r="H258">
        <v>6641865.3899999997</v>
      </c>
      <c r="I258">
        <v>2.2000000000000002</v>
      </c>
      <c r="J258">
        <v>3.51</v>
      </c>
    </row>
    <row r="259" spans="1:10" x14ac:dyDescent="0.25">
      <c r="A259">
        <v>44813</v>
      </c>
      <c r="B259" t="s">
        <v>10</v>
      </c>
      <c r="C259" t="s">
        <v>13</v>
      </c>
      <c r="D259" t="s">
        <v>17</v>
      </c>
      <c r="E259">
        <v>414</v>
      </c>
      <c r="F259">
        <v>32247079.649999999</v>
      </c>
      <c r="G259">
        <v>12208869.220000001</v>
      </c>
      <c r="H259">
        <v>20038210.420000002</v>
      </c>
      <c r="I259">
        <v>3.92</v>
      </c>
      <c r="J259">
        <v>4.3099999999999996</v>
      </c>
    </row>
    <row r="260" spans="1:10" x14ac:dyDescent="0.25">
      <c r="A260">
        <v>45188</v>
      </c>
      <c r="B260" t="s">
        <v>10</v>
      </c>
      <c r="C260" t="s">
        <v>13</v>
      </c>
      <c r="D260" t="s">
        <v>12</v>
      </c>
      <c r="E260">
        <v>273</v>
      </c>
      <c r="F260">
        <v>22169424.359999999</v>
      </c>
      <c r="G260">
        <v>7129016.4199999999</v>
      </c>
      <c r="H260">
        <v>15040407.939999999</v>
      </c>
      <c r="I260">
        <v>1.31</v>
      </c>
      <c r="J260">
        <v>4.63</v>
      </c>
    </row>
    <row r="261" spans="1:10" x14ac:dyDescent="0.25">
      <c r="A261">
        <v>44622</v>
      </c>
      <c r="B261" t="s">
        <v>10</v>
      </c>
      <c r="C261" t="s">
        <v>18</v>
      </c>
      <c r="D261" t="s">
        <v>17</v>
      </c>
      <c r="E261">
        <v>327</v>
      </c>
      <c r="F261">
        <v>28301054.34</v>
      </c>
      <c r="G261">
        <v>7426843.5</v>
      </c>
      <c r="H261">
        <v>20874210.850000001</v>
      </c>
      <c r="I261">
        <v>0.81</v>
      </c>
      <c r="J261">
        <v>3.95</v>
      </c>
    </row>
    <row r="262" spans="1:10" x14ac:dyDescent="0.25">
      <c r="A262">
        <v>44663</v>
      </c>
      <c r="B262" t="s">
        <v>10</v>
      </c>
      <c r="C262" t="s">
        <v>15</v>
      </c>
      <c r="D262" t="s">
        <v>17</v>
      </c>
      <c r="E262">
        <v>66</v>
      </c>
      <c r="F262">
        <v>5108672.9800000004</v>
      </c>
      <c r="G262">
        <v>1319496.6599999999</v>
      </c>
      <c r="H262">
        <v>3789176.32</v>
      </c>
      <c r="I262">
        <v>2.63</v>
      </c>
      <c r="J262">
        <v>3.59</v>
      </c>
    </row>
    <row r="263" spans="1:10" x14ac:dyDescent="0.25">
      <c r="A263">
        <v>45099</v>
      </c>
      <c r="B263" t="s">
        <v>10</v>
      </c>
      <c r="C263" t="s">
        <v>13</v>
      </c>
      <c r="D263" t="s">
        <v>12</v>
      </c>
      <c r="E263">
        <v>169</v>
      </c>
      <c r="F263">
        <v>6340172.2000000002</v>
      </c>
      <c r="G263">
        <v>1430930.2</v>
      </c>
      <c r="H263">
        <v>4909242.01</v>
      </c>
      <c r="I263">
        <v>4.88</v>
      </c>
      <c r="J263">
        <v>4.95</v>
      </c>
    </row>
    <row r="264" spans="1:10" x14ac:dyDescent="0.25">
      <c r="A264">
        <v>44686</v>
      </c>
      <c r="B264" t="s">
        <v>10</v>
      </c>
      <c r="C264" t="s">
        <v>18</v>
      </c>
      <c r="D264" t="s">
        <v>12</v>
      </c>
      <c r="E264">
        <v>213</v>
      </c>
      <c r="F264">
        <v>15041325.23</v>
      </c>
      <c r="G264">
        <v>4228429.8099999996</v>
      </c>
      <c r="H264">
        <v>10812895.43</v>
      </c>
      <c r="I264">
        <v>2.23</v>
      </c>
      <c r="J264">
        <v>3.6</v>
      </c>
    </row>
    <row r="265" spans="1:10" x14ac:dyDescent="0.25">
      <c r="A265">
        <v>44708</v>
      </c>
      <c r="B265" t="s">
        <v>10</v>
      </c>
      <c r="C265" t="s">
        <v>13</v>
      </c>
      <c r="D265" t="s">
        <v>17</v>
      </c>
      <c r="E265">
        <v>82</v>
      </c>
      <c r="F265">
        <v>4329482.09</v>
      </c>
      <c r="G265">
        <v>1308678.45</v>
      </c>
      <c r="H265">
        <v>3020803.64</v>
      </c>
      <c r="I265">
        <v>3.97</v>
      </c>
      <c r="J265">
        <v>4.5199999999999996</v>
      </c>
    </row>
    <row r="266" spans="1:10" x14ac:dyDescent="0.25">
      <c r="A266">
        <v>44598</v>
      </c>
      <c r="B266" t="s">
        <v>10</v>
      </c>
      <c r="C266" t="s">
        <v>15</v>
      </c>
      <c r="D266" t="s">
        <v>17</v>
      </c>
      <c r="E266">
        <v>75</v>
      </c>
      <c r="F266">
        <v>3280620.42</v>
      </c>
      <c r="G266">
        <v>1004828.17</v>
      </c>
      <c r="H266">
        <v>2275792.25</v>
      </c>
      <c r="I266">
        <v>4.75</v>
      </c>
      <c r="J266">
        <v>3.65</v>
      </c>
    </row>
    <row r="267" spans="1:10" x14ac:dyDescent="0.25">
      <c r="A267">
        <v>45149</v>
      </c>
      <c r="B267" t="s">
        <v>10</v>
      </c>
      <c r="C267" t="s">
        <v>18</v>
      </c>
      <c r="D267" t="s">
        <v>14</v>
      </c>
      <c r="E267">
        <v>88</v>
      </c>
      <c r="F267">
        <v>5630796.6299999999</v>
      </c>
      <c r="G267">
        <v>1322200.28</v>
      </c>
      <c r="H267">
        <v>4308596.3499999996</v>
      </c>
      <c r="I267">
        <v>1.84</v>
      </c>
      <c r="J267">
        <v>4.76</v>
      </c>
    </row>
    <row r="268" spans="1:10" x14ac:dyDescent="0.25">
      <c r="A268">
        <v>44689</v>
      </c>
      <c r="B268" t="s">
        <v>10</v>
      </c>
      <c r="C268" t="s">
        <v>11</v>
      </c>
      <c r="D268" t="s">
        <v>17</v>
      </c>
      <c r="E268">
        <v>224</v>
      </c>
      <c r="F268">
        <v>16223751.4</v>
      </c>
      <c r="G268">
        <v>4365775.1100000003</v>
      </c>
      <c r="H268">
        <v>11857976.289999999</v>
      </c>
      <c r="I268">
        <v>1.73</v>
      </c>
      <c r="J268">
        <v>4.93</v>
      </c>
    </row>
    <row r="269" spans="1:10" x14ac:dyDescent="0.25">
      <c r="A269">
        <v>45109</v>
      </c>
      <c r="B269" t="s">
        <v>10</v>
      </c>
      <c r="C269" t="s">
        <v>15</v>
      </c>
      <c r="D269" t="s">
        <v>14</v>
      </c>
      <c r="E269">
        <v>285</v>
      </c>
      <c r="F269">
        <v>10465663.77</v>
      </c>
      <c r="G269">
        <v>2655620.1800000002</v>
      </c>
      <c r="H269">
        <v>7810043.5899999999</v>
      </c>
      <c r="I269">
        <v>4.59</v>
      </c>
      <c r="J269">
        <v>4.79</v>
      </c>
    </row>
    <row r="270" spans="1:10" x14ac:dyDescent="0.25">
      <c r="A270">
        <v>44570</v>
      </c>
      <c r="B270" t="s">
        <v>10</v>
      </c>
      <c r="C270" t="s">
        <v>15</v>
      </c>
      <c r="D270" t="s">
        <v>14</v>
      </c>
      <c r="E270">
        <v>133</v>
      </c>
      <c r="F270">
        <v>7563403.0199999996</v>
      </c>
      <c r="G270">
        <v>2610561.19</v>
      </c>
      <c r="H270">
        <v>4952841.83</v>
      </c>
      <c r="I270">
        <v>4.93</v>
      </c>
      <c r="J270">
        <v>4.1100000000000003</v>
      </c>
    </row>
    <row r="271" spans="1:10" x14ac:dyDescent="0.25">
      <c r="A271">
        <v>44920</v>
      </c>
      <c r="B271" t="s">
        <v>10</v>
      </c>
      <c r="C271" t="s">
        <v>13</v>
      </c>
      <c r="D271" t="s">
        <v>14</v>
      </c>
      <c r="E271">
        <v>429</v>
      </c>
      <c r="F271">
        <v>32107752.960000001</v>
      </c>
      <c r="G271">
        <v>8053671.0800000001</v>
      </c>
      <c r="H271">
        <v>24054081.879999999</v>
      </c>
      <c r="I271">
        <v>1.4</v>
      </c>
      <c r="J271">
        <v>4.8</v>
      </c>
    </row>
    <row r="272" spans="1:10" x14ac:dyDescent="0.25">
      <c r="A272">
        <v>43967</v>
      </c>
      <c r="B272" t="s">
        <v>10</v>
      </c>
      <c r="C272" t="s">
        <v>18</v>
      </c>
      <c r="D272" t="s">
        <v>17</v>
      </c>
      <c r="E272">
        <v>329</v>
      </c>
      <c r="F272">
        <v>18183484.190000001</v>
      </c>
      <c r="G272">
        <v>4129984.76</v>
      </c>
      <c r="H272">
        <v>14053499.43</v>
      </c>
      <c r="I272">
        <v>2.63</v>
      </c>
      <c r="J272">
        <v>4.95</v>
      </c>
    </row>
    <row r="273" spans="1:10" x14ac:dyDescent="0.25">
      <c r="A273">
        <v>44011</v>
      </c>
      <c r="B273" t="s">
        <v>10</v>
      </c>
      <c r="C273" t="s">
        <v>13</v>
      </c>
      <c r="D273" t="s">
        <v>14</v>
      </c>
      <c r="E273">
        <v>479</v>
      </c>
      <c r="F273">
        <v>22131509.41</v>
      </c>
      <c r="G273">
        <v>8449082.2100000009</v>
      </c>
      <c r="H273">
        <v>13682427.199999999</v>
      </c>
      <c r="I273">
        <v>1.19</v>
      </c>
      <c r="J273">
        <v>4.18</v>
      </c>
    </row>
    <row r="274" spans="1:10" x14ac:dyDescent="0.25">
      <c r="A274">
        <v>45545</v>
      </c>
      <c r="B274" t="s">
        <v>10</v>
      </c>
      <c r="C274" t="s">
        <v>16</v>
      </c>
      <c r="D274" t="s">
        <v>12</v>
      </c>
      <c r="E274">
        <v>99</v>
      </c>
      <c r="F274">
        <v>7608775.6299999999</v>
      </c>
      <c r="G274">
        <v>2090556.27</v>
      </c>
      <c r="H274">
        <v>5518219.3600000003</v>
      </c>
      <c r="I274">
        <v>1.0900000000000001</v>
      </c>
      <c r="J274">
        <v>3.55</v>
      </c>
    </row>
    <row r="275" spans="1:10" x14ac:dyDescent="0.25">
      <c r="A275">
        <v>44755</v>
      </c>
      <c r="B275" t="s">
        <v>10</v>
      </c>
      <c r="C275" t="s">
        <v>11</v>
      </c>
      <c r="D275" t="s">
        <v>14</v>
      </c>
      <c r="E275">
        <v>365</v>
      </c>
      <c r="F275">
        <v>32197788.620000001</v>
      </c>
      <c r="G275">
        <v>11684842.32</v>
      </c>
      <c r="H275">
        <v>20512946.300000001</v>
      </c>
      <c r="I275">
        <v>2.58</v>
      </c>
      <c r="J275">
        <v>3.5</v>
      </c>
    </row>
    <row r="276" spans="1:10" x14ac:dyDescent="0.25">
      <c r="A276">
        <v>44016</v>
      </c>
      <c r="B276" t="s">
        <v>10</v>
      </c>
      <c r="C276" t="s">
        <v>16</v>
      </c>
      <c r="D276" t="s">
        <v>14</v>
      </c>
      <c r="E276">
        <v>322</v>
      </c>
      <c r="F276">
        <v>22025397.199999999</v>
      </c>
      <c r="G276">
        <v>7719725.71</v>
      </c>
      <c r="H276">
        <v>14305671.49</v>
      </c>
      <c r="I276">
        <v>3.01</v>
      </c>
      <c r="J276">
        <v>3.84</v>
      </c>
    </row>
    <row r="277" spans="1:10" x14ac:dyDescent="0.25">
      <c r="A277">
        <v>43969</v>
      </c>
      <c r="B277" t="s">
        <v>10</v>
      </c>
      <c r="C277" t="s">
        <v>13</v>
      </c>
      <c r="D277" t="s">
        <v>17</v>
      </c>
      <c r="E277">
        <v>493</v>
      </c>
      <c r="F277">
        <v>18996025.329999998</v>
      </c>
      <c r="G277">
        <v>5387381.4299999997</v>
      </c>
      <c r="H277">
        <v>13608643.9</v>
      </c>
      <c r="I277">
        <v>1.71</v>
      </c>
      <c r="J277">
        <v>4.7</v>
      </c>
    </row>
    <row r="278" spans="1:10" x14ac:dyDescent="0.25">
      <c r="A278">
        <v>43969</v>
      </c>
      <c r="B278" t="s">
        <v>10</v>
      </c>
      <c r="C278" t="s">
        <v>11</v>
      </c>
      <c r="D278" t="s">
        <v>17</v>
      </c>
      <c r="E278">
        <v>444</v>
      </c>
      <c r="F278">
        <v>39577861.369999997</v>
      </c>
      <c r="G278">
        <v>14647128.16</v>
      </c>
      <c r="H278">
        <v>24930733.210000001</v>
      </c>
      <c r="I278">
        <v>2.59</v>
      </c>
      <c r="J278">
        <v>4.5199999999999996</v>
      </c>
    </row>
    <row r="279" spans="1:10" x14ac:dyDescent="0.25">
      <c r="A279">
        <v>44367</v>
      </c>
      <c r="B279" t="s">
        <v>10</v>
      </c>
      <c r="C279" t="s">
        <v>15</v>
      </c>
      <c r="D279" t="s">
        <v>12</v>
      </c>
      <c r="E279">
        <v>387</v>
      </c>
      <c r="F279">
        <v>23760498.100000001</v>
      </c>
      <c r="G279">
        <v>6652841.8200000003</v>
      </c>
      <c r="H279">
        <v>17107656.280000001</v>
      </c>
      <c r="I279">
        <v>1.81</v>
      </c>
      <c r="J279">
        <v>4.54</v>
      </c>
    </row>
    <row r="280" spans="1:10" x14ac:dyDescent="0.25">
      <c r="A280">
        <v>45028</v>
      </c>
      <c r="B280" t="s">
        <v>10</v>
      </c>
      <c r="C280" t="s">
        <v>13</v>
      </c>
      <c r="D280" t="s">
        <v>14</v>
      </c>
      <c r="E280">
        <v>338</v>
      </c>
      <c r="F280">
        <v>29539738.18</v>
      </c>
      <c r="G280">
        <v>6452550.21</v>
      </c>
      <c r="H280">
        <v>23087187.969999999</v>
      </c>
      <c r="I280">
        <v>3.76</v>
      </c>
      <c r="J280">
        <v>4.62</v>
      </c>
    </row>
    <row r="281" spans="1:10" x14ac:dyDescent="0.25">
      <c r="A281">
        <v>45457</v>
      </c>
      <c r="B281" t="s">
        <v>10</v>
      </c>
      <c r="C281" t="s">
        <v>15</v>
      </c>
      <c r="D281" t="s">
        <v>17</v>
      </c>
      <c r="E281">
        <v>90</v>
      </c>
      <c r="F281">
        <v>4348122.83</v>
      </c>
      <c r="G281">
        <v>881223.1</v>
      </c>
      <c r="H281">
        <v>3466899.73</v>
      </c>
      <c r="I281">
        <v>1.1399999999999999</v>
      </c>
      <c r="J281">
        <v>4.25</v>
      </c>
    </row>
    <row r="282" spans="1:10" x14ac:dyDescent="0.25">
      <c r="A282">
        <v>44885</v>
      </c>
      <c r="B282" t="s">
        <v>10</v>
      </c>
      <c r="C282" t="s">
        <v>16</v>
      </c>
      <c r="D282" t="s">
        <v>17</v>
      </c>
      <c r="E282">
        <v>135</v>
      </c>
      <c r="F282">
        <v>6286845.6299999999</v>
      </c>
      <c r="G282">
        <v>2079667.7</v>
      </c>
      <c r="H282">
        <v>4207177.93</v>
      </c>
      <c r="I282">
        <v>3.99</v>
      </c>
      <c r="J282">
        <v>4.91</v>
      </c>
    </row>
    <row r="283" spans="1:10" x14ac:dyDescent="0.25">
      <c r="A283">
        <v>44544</v>
      </c>
      <c r="B283" t="s">
        <v>10</v>
      </c>
      <c r="C283" t="s">
        <v>16</v>
      </c>
      <c r="D283" t="s">
        <v>17</v>
      </c>
      <c r="E283">
        <v>402</v>
      </c>
      <c r="F283">
        <v>25516604.440000001</v>
      </c>
      <c r="G283">
        <v>9758230.8300000001</v>
      </c>
      <c r="H283">
        <v>15758373.6</v>
      </c>
      <c r="I283">
        <v>2.08</v>
      </c>
      <c r="J283">
        <v>3.55</v>
      </c>
    </row>
    <row r="284" spans="1:10" x14ac:dyDescent="0.25">
      <c r="A284">
        <v>44879</v>
      </c>
      <c r="B284" t="s">
        <v>10</v>
      </c>
      <c r="C284" t="s">
        <v>16</v>
      </c>
      <c r="D284" t="s">
        <v>14</v>
      </c>
      <c r="E284">
        <v>165</v>
      </c>
      <c r="F284">
        <v>9022047.2599999998</v>
      </c>
      <c r="G284">
        <v>3027628.18</v>
      </c>
      <c r="H284">
        <v>5994419.0800000001</v>
      </c>
      <c r="I284">
        <v>4.9000000000000004</v>
      </c>
      <c r="J284">
        <v>3.8</v>
      </c>
    </row>
    <row r="285" spans="1:10" x14ac:dyDescent="0.25">
      <c r="A285">
        <v>44934</v>
      </c>
      <c r="B285" t="s">
        <v>10</v>
      </c>
      <c r="C285" t="s">
        <v>18</v>
      </c>
      <c r="D285" t="s">
        <v>12</v>
      </c>
      <c r="E285">
        <v>171</v>
      </c>
      <c r="F285">
        <v>13514517.91</v>
      </c>
      <c r="G285">
        <v>4864820.3499999996</v>
      </c>
      <c r="H285">
        <v>8649697.5500000007</v>
      </c>
      <c r="I285">
        <v>1.25</v>
      </c>
      <c r="J285">
        <v>3.66</v>
      </c>
    </row>
    <row r="286" spans="1:10" x14ac:dyDescent="0.25">
      <c r="A286">
        <v>44485</v>
      </c>
      <c r="B286" t="s">
        <v>10</v>
      </c>
      <c r="C286" t="s">
        <v>11</v>
      </c>
      <c r="D286" t="s">
        <v>14</v>
      </c>
      <c r="E286">
        <v>366</v>
      </c>
      <c r="F286">
        <v>27031356.370000001</v>
      </c>
      <c r="G286">
        <v>10641779.279999999</v>
      </c>
      <c r="H286">
        <v>16389577.09</v>
      </c>
      <c r="I286">
        <v>4.71</v>
      </c>
      <c r="J286">
        <v>3.58</v>
      </c>
    </row>
    <row r="287" spans="1:10" x14ac:dyDescent="0.25">
      <c r="A287">
        <v>45052</v>
      </c>
      <c r="B287" t="s">
        <v>10</v>
      </c>
      <c r="C287" t="s">
        <v>13</v>
      </c>
      <c r="D287" t="s">
        <v>17</v>
      </c>
      <c r="E287">
        <v>465</v>
      </c>
      <c r="F287">
        <v>23917727.789999999</v>
      </c>
      <c r="G287">
        <v>5093510.63</v>
      </c>
      <c r="H287">
        <v>18824217.170000002</v>
      </c>
      <c r="I287">
        <v>4.76</v>
      </c>
      <c r="J287">
        <v>4.4400000000000004</v>
      </c>
    </row>
    <row r="288" spans="1:10" x14ac:dyDescent="0.25">
      <c r="A288">
        <v>44044</v>
      </c>
      <c r="B288" t="s">
        <v>10</v>
      </c>
      <c r="C288" t="s">
        <v>15</v>
      </c>
      <c r="D288" t="s">
        <v>17</v>
      </c>
      <c r="E288">
        <v>133</v>
      </c>
      <c r="F288">
        <v>7138078.1600000001</v>
      </c>
      <c r="G288">
        <v>1691974.19</v>
      </c>
      <c r="H288">
        <v>5446103.96</v>
      </c>
      <c r="I288">
        <v>0.86</v>
      </c>
      <c r="J288">
        <v>4.84</v>
      </c>
    </row>
    <row r="289" spans="1:10" x14ac:dyDescent="0.25">
      <c r="A289">
        <v>45161</v>
      </c>
      <c r="B289" t="s">
        <v>10</v>
      </c>
      <c r="C289" t="s">
        <v>11</v>
      </c>
      <c r="D289" t="s">
        <v>14</v>
      </c>
      <c r="E289">
        <v>437</v>
      </c>
      <c r="F289">
        <v>29655332.359999999</v>
      </c>
      <c r="G289">
        <v>7213169.9699999997</v>
      </c>
      <c r="H289">
        <v>22442162.390000001</v>
      </c>
      <c r="I289">
        <v>2.66</v>
      </c>
      <c r="J289">
        <v>3.56</v>
      </c>
    </row>
    <row r="290" spans="1:10" x14ac:dyDescent="0.25">
      <c r="A290">
        <v>45368</v>
      </c>
      <c r="B290" t="s">
        <v>10</v>
      </c>
      <c r="C290" t="s">
        <v>16</v>
      </c>
      <c r="D290" t="s">
        <v>12</v>
      </c>
      <c r="E290">
        <v>237</v>
      </c>
      <c r="F290">
        <v>17831269.420000002</v>
      </c>
      <c r="G290">
        <v>6841394.5300000003</v>
      </c>
      <c r="H290">
        <v>10989874.890000001</v>
      </c>
      <c r="I290">
        <v>0.77</v>
      </c>
      <c r="J290">
        <v>3.87</v>
      </c>
    </row>
    <row r="291" spans="1:10" x14ac:dyDescent="0.25">
      <c r="A291">
        <v>44800</v>
      </c>
      <c r="B291" t="s">
        <v>10</v>
      </c>
      <c r="C291" t="s">
        <v>13</v>
      </c>
      <c r="D291" t="s">
        <v>12</v>
      </c>
      <c r="E291">
        <v>446</v>
      </c>
      <c r="F291">
        <v>27366712.120000001</v>
      </c>
      <c r="G291">
        <v>7576517.9199999999</v>
      </c>
      <c r="H291">
        <v>19790194.199999999</v>
      </c>
      <c r="I291">
        <v>1.98</v>
      </c>
      <c r="J291">
        <v>4.21</v>
      </c>
    </row>
    <row r="292" spans="1:10" x14ac:dyDescent="0.25">
      <c r="A292">
        <v>45438</v>
      </c>
      <c r="B292" t="s">
        <v>10</v>
      </c>
      <c r="C292" t="s">
        <v>11</v>
      </c>
      <c r="D292" t="s">
        <v>14</v>
      </c>
      <c r="E292">
        <v>222</v>
      </c>
      <c r="F292">
        <v>9993659.75</v>
      </c>
      <c r="G292">
        <v>2419068.2599999998</v>
      </c>
      <c r="H292">
        <v>7574591.4900000002</v>
      </c>
      <c r="I292">
        <v>3.46</v>
      </c>
      <c r="J292">
        <v>4.25</v>
      </c>
    </row>
    <row r="293" spans="1:10" x14ac:dyDescent="0.25">
      <c r="A293">
        <v>44803</v>
      </c>
      <c r="B293" t="s">
        <v>10</v>
      </c>
      <c r="C293" t="s">
        <v>11</v>
      </c>
      <c r="D293" t="s">
        <v>17</v>
      </c>
      <c r="E293">
        <v>131</v>
      </c>
      <c r="F293">
        <v>4735304.51</v>
      </c>
      <c r="G293">
        <v>1275441.94</v>
      </c>
      <c r="H293">
        <v>3459862.57</v>
      </c>
      <c r="I293">
        <v>2</v>
      </c>
      <c r="J293">
        <v>4.3099999999999996</v>
      </c>
    </row>
    <row r="294" spans="1:10" x14ac:dyDescent="0.25">
      <c r="A294">
        <v>45332</v>
      </c>
      <c r="B294" t="s">
        <v>10</v>
      </c>
      <c r="C294" t="s">
        <v>16</v>
      </c>
      <c r="D294" t="s">
        <v>14</v>
      </c>
      <c r="E294">
        <v>108</v>
      </c>
      <c r="F294">
        <v>7642934.5800000001</v>
      </c>
      <c r="G294">
        <v>2752155.85</v>
      </c>
      <c r="H294">
        <v>4890778.7300000004</v>
      </c>
      <c r="I294">
        <v>3.56</v>
      </c>
      <c r="J294">
        <v>3.61</v>
      </c>
    </row>
    <row r="295" spans="1:10" x14ac:dyDescent="0.25">
      <c r="A295">
        <v>44901</v>
      </c>
      <c r="B295" t="s">
        <v>10</v>
      </c>
      <c r="C295" t="s">
        <v>13</v>
      </c>
      <c r="D295" t="s">
        <v>17</v>
      </c>
      <c r="E295">
        <v>496</v>
      </c>
      <c r="F295">
        <v>22913615.489999998</v>
      </c>
      <c r="G295">
        <v>5313885.54</v>
      </c>
      <c r="H295">
        <v>17599729.949999999</v>
      </c>
      <c r="I295">
        <v>1.28</v>
      </c>
      <c r="J295">
        <v>4.9400000000000004</v>
      </c>
    </row>
    <row r="296" spans="1:10" x14ac:dyDescent="0.25">
      <c r="A296">
        <v>44953</v>
      </c>
      <c r="B296" t="s">
        <v>10</v>
      </c>
      <c r="C296" t="s">
        <v>13</v>
      </c>
      <c r="D296" t="s">
        <v>14</v>
      </c>
      <c r="E296">
        <v>491</v>
      </c>
      <c r="F296">
        <v>37241789.609999999</v>
      </c>
      <c r="G296">
        <v>11727489.189999999</v>
      </c>
      <c r="H296">
        <v>25514300.41</v>
      </c>
      <c r="I296">
        <v>2.06</v>
      </c>
      <c r="J296">
        <v>4.0599999999999996</v>
      </c>
    </row>
    <row r="297" spans="1:10" x14ac:dyDescent="0.25">
      <c r="A297">
        <v>43886</v>
      </c>
      <c r="B297" t="s">
        <v>10</v>
      </c>
      <c r="C297" t="s">
        <v>18</v>
      </c>
      <c r="D297" t="s">
        <v>17</v>
      </c>
      <c r="E297">
        <v>69</v>
      </c>
      <c r="F297">
        <v>4330886.33</v>
      </c>
      <c r="G297">
        <v>1261759.97</v>
      </c>
      <c r="H297">
        <v>3069126.36</v>
      </c>
      <c r="I297">
        <v>2.81</v>
      </c>
      <c r="J297">
        <v>4.38</v>
      </c>
    </row>
    <row r="298" spans="1:10" x14ac:dyDescent="0.25">
      <c r="A298">
        <v>45370</v>
      </c>
      <c r="B298" t="s">
        <v>10</v>
      </c>
      <c r="C298" t="s">
        <v>13</v>
      </c>
      <c r="D298" t="s">
        <v>14</v>
      </c>
      <c r="E298">
        <v>299</v>
      </c>
      <c r="F298">
        <v>22391862.23</v>
      </c>
      <c r="G298">
        <v>6777260.1100000003</v>
      </c>
      <c r="H298">
        <v>15614602.109999999</v>
      </c>
      <c r="I298">
        <v>4.43</v>
      </c>
      <c r="J298">
        <v>4.8499999999999996</v>
      </c>
    </row>
    <row r="299" spans="1:10" x14ac:dyDescent="0.25">
      <c r="A299">
        <v>44226</v>
      </c>
      <c r="B299" t="s">
        <v>10</v>
      </c>
      <c r="C299" t="s">
        <v>16</v>
      </c>
      <c r="D299" t="s">
        <v>17</v>
      </c>
      <c r="E299">
        <v>311</v>
      </c>
      <c r="F299">
        <v>22088934.739999998</v>
      </c>
      <c r="G299">
        <v>4452540.28</v>
      </c>
      <c r="H299">
        <v>17636394.460000001</v>
      </c>
      <c r="I299">
        <v>1.78</v>
      </c>
      <c r="J299">
        <v>4.04</v>
      </c>
    </row>
    <row r="300" spans="1:10" x14ac:dyDescent="0.25">
      <c r="A300">
        <v>44905</v>
      </c>
      <c r="B300" t="s">
        <v>10</v>
      </c>
      <c r="C300" t="s">
        <v>15</v>
      </c>
      <c r="D300" t="s">
        <v>17</v>
      </c>
      <c r="E300">
        <v>180</v>
      </c>
      <c r="F300">
        <v>12467369.18</v>
      </c>
      <c r="G300">
        <v>3412168.79</v>
      </c>
      <c r="H300">
        <v>9055200.3900000006</v>
      </c>
      <c r="I300">
        <v>3.8</v>
      </c>
      <c r="J300">
        <v>3.7</v>
      </c>
    </row>
    <row r="301" spans="1:10" x14ac:dyDescent="0.25">
      <c r="A301">
        <v>45368</v>
      </c>
      <c r="B301" t="s">
        <v>10</v>
      </c>
      <c r="C301" t="s">
        <v>18</v>
      </c>
      <c r="D301" t="s">
        <v>17</v>
      </c>
      <c r="E301">
        <v>57</v>
      </c>
      <c r="F301">
        <v>3265647.42</v>
      </c>
      <c r="G301">
        <v>913169.47</v>
      </c>
      <c r="H301">
        <v>2352477.9500000002</v>
      </c>
      <c r="I301">
        <v>3.35</v>
      </c>
      <c r="J301">
        <v>4.0599999999999996</v>
      </c>
    </row>
    <row r="302" spans="1:10" x14ac:dyDescent="0.25">
      <c r="A302">
        <v>44148</v>
      </c>
      <c r="B302" t="s">
        <v>10</v>
      </c>
      <c r="C302" t="s">
        <v>16</v>
      </c>
      <c r="D302" t="s">
        <v>12</v>
      </c>
      <c r="E302">
        <v>51</v>
      </c>
      <c r="F302">
        <v>2292640.35</v>
      </c>
      <c r="G302">
        <v>525296.59</v>
      </c>
      <c r="H302">
        <v>1767343.76</v>
      </c>
      <c r="I302">
        <v>2.72</v>
      </c>
      <c r="J302">
        <v>3.87</v>
      </c>
    </row>
    <row r="303" spans="1:10" x14ac:dyDescent="0.25">
      <c r="A303">
        <v>45014</v>
      </c>
      <c r="B303" t="s">
        <v>10</v>
      </c>
      <c r="C303" t="s">
        <v>16</v>
      </c>
      <c r="D303" t="s">
        <v>12</v>
      </c>
      <c r="E303">
        <v>365</v>
      </c>
      <c r="F303">
        <v>20905792.539999999</v>
      </c>
      <c r="G303">
        <v>5883231.2000000002</v>
      </c>
      <c r="H303">
        <v>15022561.34</v>
      </c>
      <c r="I303">
        <v>3.11</v>
      </c>
      <c r="J303">
        <v>4.49</v>
      </c>
    </row>
    <row r="304" spans="1:10" x14ac:dyDescent="0.25">
      <c r="A304">
        <v>44601</v>
      </c>
      <c r="B304" t="s">
        <v>10</v>
      </c>
      <c r="C304" t="s">
        <v>13</v>
      </c>
      <c r="D304" t="s">
        <v>14</v>
      </c>
      <c r="E304">
        <v>280</v>
      </c>
      <c r="F304">
        <v>12318267.640000001</v>
      </c>
      <c r="G304">
        <v>3963817.65</v>
      </c>
      <c r="H304">
        <v>8354449.9900000002</v>
      </c>
      <c r="I304">
        <v>4.8600000000000003</v>
      </c>
      <c r="J304">
        <v>3.89</v>
      </c>
    </row>
    <row r="305" spans="1:10" x14ac:dyDescent="0.25">
      <c r="A305">
        <v>44055</v>
      </c>
      <c r="B305" t="s">
        <v>10</v>
      </c>
      <c r="C305" t="s">
        <v>11</v>
      </c>
      <c r="D305" t="s">
        <v>12</v>
      </c>
      <c r="E305">
        <v>278</v>
      </c>
      <c r="F305">
        <v>9868074.8800000008</v>
      </c>
      <c r="G305">
        <v>2785929.97</v>
      </c>
      <c r="H305">
        <v>7082144.9100000001</v>
      </c>
      <c r="I305">
        <v>3.19</v>
      </c>
      <c r="J305">
        <v>4.09</v>
      </c>
    </row>
    <row r="306" spans="1:10" x14ac:dyDescent="0.25">
      <c r="A306">
        <v>45085</v>
      </c>
      <c r="B306" t="s">
        <v>10</v>
      </c>
      <c r="C306" t="s">
        <v>16</v>
      </c>
      <c r="D306" t="s">
        <v>17</v>
      </c>
      <c r="E306">
        <v>456</v>
      </c>
      <c r="F306">
        <v>27341041.699999999</v>
      </c>
      <c r="G306">
        <v>9645643.5700000003</v>
      </c>
      <c r="H306">
        <v>17695398.129999999</v>
      </c>
      <c r="I306">
        <v>0.83</v>
      </c>
      <c r="J306">
        <v>3.75</v>
      </c>
    </row>
    <row r="307" spans="1:10" x14ac:dyDescent="0.25">
      <c r="A307">
        <v>45047</v>
      </c>
      <c r="B307" t="s">
        <v>10</v>
      </c>
      <c r="C307" t="s">
        <v>13</v>
      </c>
      <c r="D307" t="s">
        <v>17</v>
      </c>
      <c r="E307">
        <v>142</v>
      </c>
      <c r="F307">
        <v>7601994.8099999996</v>
      </c>
      <c r="G307">
        <v>1780564.51</v>
      </c>
      <c r="H307">
        <v>5821430.29</v>
      </c>
      <c r="I307">
        <v>2.44</v>
      </c>
      <c r="J307">
        <v>3.87</v>
      </c>
    </row>
    <row r="308" spans="1:10" x14ac:dyDescent="0.25">
      <c r="A308">
        <v>44712</v>
      </c>
      <c r="B308" t="s">
        <v>10</v>
      </c>
      <c r="C308" t="s">
        <v>16</v>
      </c>
      <c r="D308" t="s">
        <v>12</v>
      </c>
      <c r="E308">
        <v>220</v>
      </c>
      <c r="F308">
        <v>19177858.59</v>
      </c>
      <c r="G308">
        <v>6702555.0199999996</v>
      </c>
      <c r="H308">
        <v>12475303.58</v>
      </c>
      <c r="I308">
        <v>2.12</v>
      </c>
      <c r="J308">
        <v>4.07</v>
      </c>
    </row>
    <row r="309" spans="1:10" x14ac:dyDescent="0.25">
      <c r="A309">
        <v>44610</v>
      </c>
      <c r="B309" t="s">
        <v>10</v>
      </c>
      <c r="C309" t="s">
        <v>16</v>
      </c>
      <c r="D309" t="s">
        <v>17</v>
      </c>
      <c r="E309">
        <v>156</v>
      </c>
      <c r="F309">
        <v>11778329.289999999</v>
      </c>
      <c r="G309">
        <v>3147630.05</v>
      </c>
      <c r="H309">
        <v>8630699.2400000002</v>
      </c>
      <c r="I309">
        <v>2.64</v>
      </c>
      <c r="J309">
        <v>4.7699999999999996</v>
      </c>
    </row>
    <row r="310" spans="1:10" x14ac:dyDescent="0.25">
      <c r="A310">
        <v>45078</v>
      </c>
      <c r="B310" t="s">
        <v>10</v>
      </c>
      <c r="C310" t="s">
        <v>15</v>
      </c>
      <c r="D310" t="s">
        <v>17</v>
      </c>
      <c r="E310">
        <v>93</v>
      </c>
      <c r="F310">
        <v>5538175.6299999999</v>
      </c>
      <c r="G310">
        <v>1258034.06</v>
      </c>
      <c r="H310">
        <v>4280141.57</v>
      </c>
      <c r="I310">
        <v>3.01</v>
      </c>
      <c r="J310">
        <v>4.3099999999999996</v>
      </c>
    </row>
    <row r="311" spans="1:10" x14ac:dyDescent="0.25">
      <c r="A311">
        <v>45423</v>
      </c>
      <c r="B311" t="s">
        <v>10</v>
      </c>
      <c r="C311" t="s">
        <v>11</v>
      </c>
      <c r="D311" t="s">
        <v>17</v>
      </c>
      <c r="E311">
        <v>453</v>
      </c>
      <c r="F311">
        <v>22575811.57</v>
      </c>
      <c r="G311">
        <v>8772568.2100000009</v>
      </c>
      <c r="H311">
        <v>13803243.359999999</v>
      </c>
      <c r="I311">
        <v>2.89</v>
      </c>
      <c r="J311">
        <v>4.9000000000000004</v>
      </c>
    </row>
    <row r="312" spans="1:10" x14ac:dyDescent="0.25">
      <c r="A312">
        <v>43976</v>
      </c>
      <c r="B312" t="s">
        <v>10</v>
      </c>
      <c r="C312" t="s">
        <v>16</v>
      </c>
      <c r="D312" t="s">
        <v>17</v>
      </c>
      <c r="E312">
        <v>334</v>
      </c>
      <c r="F312">
        <v>23446854.5</v>
      </c>
      <c r="G312">
        <v>8325034.6399999997</v>
      </c>
      <c r="H312">
        <v>15121819.859999999</v>
      </c>
      <c r="I312">
        <v>1.31</v>
      </c>
      <c r="J312">
        <v>3.63</v>
      </c>
    </row>
    <row r="313" spans="1:10" x14ac:dyDescent="0.25">
      <c r="A313">
        <v>44903</v>
      </c>
      <c r="B313" t="s">
        <v>10</v>
      </c>
      <c r="C313" t="s">
        <v>11</v>
      </c>
      <c r="D313" t="s">
        <v>14</v>
      </c>
      <c r="E313">
        <v>210</v>
      </c>
      <c r="F313">
        <v>13208562.039999999</v>
      </c>
      <c r="G313">
        <v>5173601.28</v>
      </c>
      <c r="H313">
        <v>8034960.7599999998</v>
      </c>
      <c r="I313">
        <v>1.17</v>
      </c>
      <c r="J313">
        <v>4.9800000000000004</v>
      </c>
    </row>
    <row r="314" spans="1:10" x14ac:dyDescent="0.25">
      <c r="A314">
        <v>43840</v>
      </c>
      <c r="B314" t="s">
        <v>10</v>
      </c>
      <c r="C314" t="s">
        <v>15</v>
      </c>
      <c r="D314" t="s">
        <v>14</v>
      </c>
      <c r="E314">
        <v>265</v>
      </c>
      <c r="F314">
        <v>19272979.75</v>
      </c>
      <c r="G314">
        <v>7642199.8300000001</v>
      </c>
      <c r="H314">
        <v>11630779.92</v>
      </c>
      <c r="I314">
        <v>1.95</v>
      </c>
      <c r="J314">
        <v>4.96</v>
      </c>
    </row>
    <row r="315" spans="1:10" x14ac:dyDescent="0.25">
      <c r="A315">
        <v>44607</v>
      </c>
      <c r="B315" t="s">
        <v>10</v>
      </c>
      <c r="C315" t="s">
        <v>16</v>
      </c>
      <c r="D315" t="s">
        <v>14</v>
      </c>
      <c r="E315">
        <v>88</v>
      </c>
      <c r="F315">
        <v>5280940.9000000004</v>
      </c>
      <c r="G315">
        <v>1567809.93</v>
      </c>
      <c r="H315">
        <v>3713130.97</v>
      </c>
      <c r="I315">
        <v>2.7</v>
      </c>
      <c r="J315">
        <v>4.5</v>
      </c>
    </row>
    <row r="316" spans="1:10" x14ac:dyDescent="0.25">
      <c r="A316">
        <v>44195</v>
      </c>
      <c r="B316" t="s">
        <v>10</v>
      </c>
      <c r="C316" t="s">
        <v>13</v>
      </c>
      <c r="D316" t="s">
        <v>17</v>
      </c>
      <c r="E316">
        <v>389</v>
      </c>
      <c r="F316">
        <v>16305239.65</v>
      </c>
      <c r="G316">
        <v>6089307.0099999998</v>
      </c>
      <c r="H316">
        <v>10215932.630000001</v>
      </c>
      <c r="I316">
        <v>1.1499999999999999</v>
      </c>
      <c r="J316">
        <v>4.91</v>
      </c>
    </row>
    <row r="317" spans="1:10" x14ac:dyDescent="0.25">
      <c r="A317">
        <v>45551</v>
      </c>
      <c r="B317" t="s">
        <v>10</v>
      </c>
      <c r="C317" t="s">
        <v>15</v>
      </c>
      <c r="D317" t="s">
        <v>14</v>
      </c>
      <c r="E317">
        <v>429</v>
      </c>
      <c r="F317">
        <v>30904638.260000002</v>
      </c>
      <c r="G317">
        <v>6366899.1200000001</v>
      </c>
      <c r="H317">
        <v>24537739.149999999</v>
      </c>
      <c r="I317">
        <v>0.92</v>
      </c>
      <c r="J317">
        <v>4.51</v>
      </c>
    </row>
    <row r="318" spans="1:10" x14ac:dyDescent="0.25">
      <c r="A318">
        <v>44399</v>
      </c>
      <c r="B318" t="s">
        <v>10</v>
      </c>
      <c r="C318" t="s">
        <v>18</v>
      </c>
      <c r="D318" t="s">
        <v>17</v>
      </c>
      <c r="E318">
        <v>401</v>
      </c>
      <c r="F318">
        <v>19208249.32</v>
      </c>
      <c r="G318">
        <v>3982458.5</v>
      </c>
      <c r="H318">
        <v>15225790.82</v>
      </c>
      <c r="I318">
        <v>1.65</v>
      </c>
      <c r="J318">
        <v>4.49</v>
      </c>
    </row>
    <row r="319" spans="1:10" x14ac:dyDescent="0.25">
      <c r="A319">
        <v>44546</v>
      </c>
      <c r="B319" t="s">
        <v>10</v>
      </c>
      <c r="C319" t="s">
        <v>16</v>
      </c>
      <c r="D319" t="s">
        <v>17</v>
      </c>
      <c r="E319">
        <v>168</v>
      </c>
      <c r="F319">
        <v>14608235.390000001</v>
      </c>
      <c r="G319">
        <v>3847084.55</v>
      </c>
      <c r="H319">
        <v>10761150.84</v>
      </c>
      <c r="I319">
        <v>2.74</v>
      </c>
      <c r="J319">
        <v>4.43</v>
      </c>
    </row>
    <row r="320" spans="1:10" x14ac:dyDescent="0.25">
      <c r="A320">
        <v>43927</v>
      </c>
      <c r="B320" t="s">
        <v>10</v>
      </c>
      <c r="C320" t="s">
        <v>18</v>
      </c>
      <c r="D320" t="s">
        <v>14</v>
      </c>
      <c r="E320">
        <v>185</v>
      </c>
      <c r="F320">
        <v>15272394.91</v>
      </c>
      <c r="G320">
        <v>3761531.72</v>
      </c>
      <c r="H320">
        <v>11510863.189999999</v>
      </c>
      <c r="I320">
        <v>1.01</v>
      </c>
      <c r="J320">
        <v>4.6900000000000004</v>
      </c>
    </row>
    <row r="321" spans="1:10" x14ac:dyDescent="0.25">
      <c r="A321">
        <v>44634</v>
      </c>
      <c r="B321" t="s">
        <v>10</v>
      </c>
      <c r="C321" t="s">
        <v>15</v>
      </c>
      <c r="D321" t="s">
        <v>17</v>
      </c>
      <c r="E321">
        <v>338</v>
      </c>
      <c r="F321">
        <v>22995331.399999999</v>
      </c>
      <c r="G321">
        <v>4870984.43</v>
      </c>
      <c r="H321">
        <v>18124346.960000001</v>
      </c>
      <c r="I321">
        <v>4.22</v>
      </c>
      <c r="J321">
        <v>4.5</v>
      </c>
    </row>
    <row r="322" spans="1:10" x14ac:dyDescent="0.25">
      <c r="A322">
        <v>43907</v>
      </c>
      <c r="B322" t="s">
        <v>10</v>
      </c>
      <c r="C322" t="s">
        <v>16</v>
      </c>
      <c r="D322" t="s">
        <v>17</v>
      </c>
      <c r="E322">
        <v>410</v>
      </c>
      <c r="F322">
        <v>16753672.83</v>
      </c>
      <c r="G322">
        <v>4497204.13</v>
      </c>
      <c r="H322">
        <v>12256468.699999999</v>
      </c>
      <c r="I322">
        <v>5</v>
      </c>
      <c r="J322">
        <v>3.57</v>
      </c>
    </row>
    <row r="323" spans="1:10" x14ac:dyDescent="0.25">
      <c r="A323">
        <v>45411</v>
      </c>
      <c r="B323" t="s">
        <v>10</v>
      </c>
      <c r="C323" t="s">
        <v>13</v>
      </c>
      <c r="D323" t="s">
        <v>14</v>
      </c>
      <c r="E323">
        <v>122</v>
      </c>
      <c r="F323">
        <v>10083803.460000001</v>
      </c>
      <c r="G323">
        <v>2030198.49</v>
      </c>
      <c r="H323">
        <v>8053604.96</v>
      </c>
      <c r="I323">
        <v>3.89</v>
      </c>
      <c r="J323">
        <v>3.64</v>
      </c>
    </row>
    <row r="324" spans="1:10" x14ac:dyDescent="0.25">
      <c r="A324">
        <v>43980</v>
      </c>
      <c r="B324" t="s">
        <v>10</v>
      </c>
      <c r="C324" t="s">
        <v>11</v>
      </c>
      <c r="D324" t="s">
        <v>14</v>
      </c>
      <c r="E324">
        <v>208</v>
      </c>
      <c r="F324">
        <v>15727858.949999999</v>
      </c>
      <c r="G324">
        <v>3527709.81</v>
      </c>
      <c r="H324">
        <v>12200149.140000001</v>
      </c>
      <c r="I324">
        <v>2.3199999999999998</v>
      </c>
      <c r="J324">
        <v>3.99</v>
      </c>
    </row>
    <row r="325" spans="1:10" x14ac:dyDescent="0.25">
      <c r="A325">
        <v>45571</v>
      </c>
      <c r="B325" t="s">
        <v>10</v>
      </c>
      <c r="C325" t="s">
        <v>11</v>
      </c>
      <c r="D325" t="s">
        <v>12</v>
      </c>
      <c r="E325">
        <v>151</v>
      </c>
      <c r="F325">
        <v>8924021.3399999999</v>
      </c>
      <c r="G325">
        <v>1960829.43</v>
      </c>
      <c r="H325">
        <v>6963191.9100000001</v>
      </c>
      <c r="I325">
        <v>4.45</v>
      </c>
      <c r="J325">
        <v>3.98</v>
      </c>
    </row>
    <row r="326" spans="1:10" x14ac:dyDescent="0.25">
      <c r="A326">
        <v>44545</v>
      </c>
      <c r="B326" t="s">
        <v>10</v>
      </c>
      <c r="C326" t="s">
        <v>15</v>
      </c>
      <c r="D326" t="s">
        <v>17</v>
      </c>
      <c r="E326">
        <v>414</v>
      </c>
      <c r="F326">
        <v>33112085.100000001</v>
      </c>
      <c r="G326">
        <v>12448759.550000001</v>
      </c>
      <c r="H326">
        <v>20663325.559999999</v>
      </c>
      <c r="I326">
        <v>2.95</v>
      </c>
      <c r="J326">
        <v>3.51</v>
      </c>
    </row>
    <row r="327" spans="1:10" x14ac:dyDescent="0.25">
      <c r="A327">
        <v>45126</v>
      </c>
      <c r="B327" t="s">
        <v>10</v>
      </c>
      <c r="C327" t="s">
        <v>16</v>
      </c>
      <c r="D327" t="s">
        <v>12</v>
      </c>
      <c r="E327">
        <v>192</v>
      </c>
      <c r="F327">
        <v>13375004.380000001</v>
      </c>
      <c r="G327">
        <v>3718701.14</v>
      </c>
      <c r="H327">
        <v>9656303.2400000002</v>
      </c>
      <c r="I327">
        <v>3.04</v>
      </c>
      <c r="J327">
        <v>4.07</v>
      </c>
    </row>
    <row r="328" spans="1:10" x14ac:dyDescent="0.25">
      <c r="A328">
        <v>44499</v>
      </c>
      <c r="B328" t="s">
        <v>10</v>
      </c>
      <c r="C328" t="s">
        <v>13</v>
      </c>
      <c r="D328" t="s">
        <v>12</v>
      </c>
      <c r="E328">
        <v>142</v>
      </c>
      <c r="F328">
        <v>8474297.1899999995</v>
      </c>
      <c r="G328">
        <v>2987114.96</v>
      </c>
      <c r="H328">
        <v>5487182.2300000004</v>
      </c>
      <c r="I328">
        <v>2.1800000000000002</v>
      </c>
      <c r="J328">
        <v>3.84</v>
      </c>
    </row>
    <row r="329" spans="1:10" x14ac:dyDescent="0.25">
      <c r="A329">
        <v>45560</v>
      </c>
      <c r="B329" t="s">
        <v>10</v>
      </c>
      <c r="C329" t="s">
        <v>13</v>
      </c>
      <c r="D329" t="s">
        <v>12</v>
      </c>
      <c r="E329">
        <v>316</v>
      </c>
      <c r="F329">
        <v>21547936.550000001</v>
      </c>
      <c r="G329">
        <v>5739453.2199999997</v>
      </c>
      <c r="H329">
        <v>15808483.33</v>
      </c>
      <c r="I329">
        <v>3.29</v>
      </c>
      <c r="J329">
        <v>4.2</v>
      </c>
    </row>
    <row r="330" spans="1:10" x14ac:dyDescent="0.25">
      <c r="A330">
        <v>43980</v>
      </c>
      <c r="B330" t="s">
        <v>10</v>
      </c>
      <c r="C330" t="s">
        <v>18</v>
      </c>
      <c r="D330" t="s">
        <v>12</v>
      </c>
      <c r="E330">
        <v>52</v>
      </c>
      <c r="F330">
        <v>3371160.08</v>
      </c>
      <c r="G330">
        <v>706946.72</v>
      </c>
      <c r="H330">
        <v>2664213.36</v>
      </c>
      <c r="I330">
        <v>4.3099999999999996</v>
      </c>
      <c r="J330">
        <v>4.87</v>
      </c>
    </row>
    <row r="331" spans="1:10" x14ac:dyDescent="0.25">
      <c r="A331">
        <v>44360</v>
      </c>
      <c r="B331" t="s">
        <v>10</v>
      </c>
      <c r="C331" t="s">
        <v>15</v>
      </c>
      <c r="D331" t="s">
        <v>12</v>
      </c>
      <c r="E331">
        <v>270</v>
      </c>
      <c r="F331">
        <v>14517530.24</v>
      </c>
      <c r="G331">
        <v>4703111.82</v>
      </c>
      <c r="H331">
        <v>9814418.4199999999</v>
      </c>
      <c r="I331">
        <v>2.29</v>
      </c>
      <c r="J331">
        <v>4.37</v>
      </c>
    </row>
    <row r="332" spans="1:10" x14ac:dyDescent="0.25">
      <c r="A332">
        <v>45089</v>
      </c>
      <c r="B332" t="s">
        <v>10</v>
      </c>
      <c r="C332" t="s">
        <v>18</v>
      </c>
      <c r="D332" t="s">
        <v>12</v>
      </c>
      <c r="E332">
        <v>349</v>
      </c>
      <c r="F332">
        <v>21365169.640000001</v>
      </c>
      <c r="G332">
        <v>6860931.4500000002</v>
      </c>
      <c r="H332">
        <v>14504238.199999999</v>
      </c>
      <c r="I332">
        <v>2.97</v>
      </c>
      <c r="J332">
        <v>4.62</v>
      </c>
    </row>
    <row r="333" spans="1:10" x14ac:dyDescent="0.25">
      <c r="A333">
        <v>44942</v>
      </c>
      <c r="B333" t="s">
        <v>10</v>
      </c>
      <c r="C333" t="s">
        <v>16</v>
      </c>
      <c r="D333" t="s">
        <v>14</v>
      </c>
      <c r="E333">
        <v>413</v>
      </c>
      <c r="F333">
        <v>36159720.75</v>
      </c>
      <c r="G333">
        <v>14332031.279999999</v>
      </c>
      <c r="H333">
        <v>21827689.469999999</v>
      </c>
      <c r="I333">
        <v>1.38</v>
      </c>
      <c r="J333">
        <v>3.51</v>
      </c>
    </row>
    <row r="334" spans="1:10" x14ac:dyDescent="0.25">
      <c r="A334">
        <v>45278</v>
      </c>
      <c r="B334" t="s">
        <v>10</v>
      </c>
      <c r="C334" t="s">
        <v>16</v>
      </c>
      <c r="D334" t="s">
        <v>12</v>
      </c>
      <c r="E334">
        <v>352</v>
      </c>
      <c r="F334">
        <v>13699986.029999999</v>
      </c>
      <c r="G334">
        <v>2864228.6</v>
      </c>
      <c r="H334">
        <v>10835757.43</v>
      </c>
      <c r="I334">
        <v>3.45</v>
      </c>
      <c r="J334">
        <v>4.07</v>
      </c>
    </row>
    <row r="335" spans="1:10" x14ac:dyDescent="0.25">
      <c r="A335">
        <v>44902</v>
      </c>
      <c r="B335" t="s">
        <v>10</v>
      </c>
      <c r="C335" t="s">
        <v>16</v>
      </c>
      <c r="D335" t="s">
        <v>14</v>
      </c>
      <c r="E335">
        <v>373</v>
      </c>
      <c r="F335">
        <v>32224955.09</v>
      </c>
      <c r="G335">
        <v>10623776.970000001</v>
      </c>
      <c r="H335">
        <v>21601178.109999999</v>
      </c>
      <c r="I335">
        <v>0.96</v>
      </c>
      <c r="J335">
        <v>4.2300000000000004</v>
      </c>
    </row>
    <row r="336" spans="1:10" x14ac:dyDescent="0.25">
      <c r="A336">
        <v>45375</v>
      </c>
      <c r="B336" t="s">
        <v>10</v>
      </c>
      <c r="C336" t="s">
        <v>16</v>
      </c>
      <c r="D336" t="s">
        <v>12</v>
      </c>
      <c r="E336">
        <v>422</v>
      </c>
      <c r="F336">
        <v>21381900.050000001</v>
      </c>
      <c r="G336">
        <v>7238671.3600000003</v>
      </c>
      <c r="H336">
        <v>14143228.699999999</v>
      </c>
      <c r="I336">
        <v>4.1100000000000003</v>
      </c>
      <c r="J336">
        <v>4.3099999999999996</v>
      </c>
    </row>
    <row r="337" spans="1:10" x14ac:dyDescent="0.25">
      <c r="A337">
        <v>43967</v>
      </c>
      <c r="B337" t="s">
        <v>10</v>
      </c>
      <c r="C337" t="s">
        <v>15</v>
      </c>
      <c r="D337" t="s">
        <v>12</v>
      </c>
      <c r="E337">
        <v>193</v>
      </c>
      <c r="F337">
        <v>7706383.5899999999</v>
      </c>
      <c r="G337">
        <v>1976478.11</v>
      </c>
      <c r="H337">
        <v>5729905.4800000004</v>
      </c>
      <c r="I337">
        <v>2.2999999999999998</v>
      </c>
      <c r="J337">
        <v>4.97</v>
      </c>
    </row>
    <row r="338" spans="1:10" x14ac:dyDescent="0.25">
      <c r="A338">
        <v>44103</v>
      </c>
      <c r="B338" t="s">
        <v>10</v>
      </c>
      <c r="C338" t="s">
        <v>18</v>
      </c>
      <c r="D338" t="s">
        <v>17</v>
      </c>
      <c r="E338">
        <v>139</v>
      </c>
      <c r="F338">
        <v>5796819.1799999997</v>
      </c>
      <c r="G338">
        <v>2108709.67</v>
      </c>
      <c r="H338">
        <v>3688109.52</v>
      </c>
      <c r="I338">
        <v>3.57</v>
      </c>
      <c r="J338">
        <v>3.77</v>
      </c>
    </row>
    <row r="339" spans="1:10" x14ac:dyDescent="0.25">
      <c r="A339">
        <v>45162</v>
      </c>
      <c r="B339" t="s">
        <v>10</v>
      </c>
      <c r="C339" t="s">
        <v>15</v>
      </c>
      <c r="D339" t="s">
        <v>14</v>
      </c>
      <c r="E339">
        <v>446</v>
      </c>
      <c r="F339">
        <v>20137873.23</v>
      </c>
      <c r="G339">
        <v>6865893.9400000004</v>
      </c>
      <c r="H339">
        <v>13271979.289999999</v>
      </c>
      <c r="I339">
        <v>4.07</v>
      </c>
      <c r="J339">
        <v>3.78</v>
      </c>
    </row>
    <row r="340" spans="1:10" x14ac:dyDescent="0.25">
      <c r="A340">
        <v>45073</v>
      </c>
      <c r="B340" t="s">
        <v>10</v>
      </c>
      <c r="C340" t="s">
        <v>16</v>
      </c>
      <c r="D340" t="s">
        <v>17</v>
      </c>
      <c r="E340">
        <v>489</v>
      </c>
      <c r="F340">
        <v>43012918.310000002</v>
      </c>
      <c r="G340">
        <v>13045425.439999999</v>
      </c>
      <c r="H340">
        <v>29967492.870000001</v>
      </c>
      <c r="I340">
        <v>4.13</v>
      </c>
      <c r="J340">
        <v>4.33</v>
      </c>
    </row>
    <row r="341" spans="1:10" x14ac:dyDescent="0.25">
      <c r="A341">
        <v>44401</v>
      </c>
      <c r="B341" t="s">
        <v>10</v>
      </c>
      <c r="C341" t="s">
        <v>15</v>
      </c>
      <c r="D341" t="s">
        <v>12</v>
      </c>
      <c r="E341">
        <v>425</v>
      </c>
      <c r="F341">
        <v>27181918.66</v>
      </c>
      <c r="G341">
        <v>10262237.949999999</v>
      </c>
      <c r="H341">
        <v>16919680.710000001</v>
      </c>
      <c r="I341">
        <v>0.51</v>
      </c>
      <c r="J341">
        <v>4.46</v>
      </c>
    </row>
    <row r="342" spans="1:10" x14ac:dyDescent="0.25">
      <c r="A342">
        <v>44693</v>
      </c>
      <c r="B342" t="s">
        <v>10</v>
      </c>
      <c r="C342" t="s">
        <v>15</v>
      </c>
      <c r="D342" t="s">
        <v>12</v>
      </c>
      <c r="E342">
        <v>326</v>
      </c>
      <c r="F342">
        <v>27263821.890000001</v>
      </c>
      <c r="G342">
        <v>9661863.5</v>
      </c>
      <c r="H342">
        <v>17601958.390000001</v>
      </c>
      <c r="I342">
        <v>1.45</v>
      </c>
      <c r="J342">
        <v>4.42</v>
      </c>
    </row>
    <row r="343" spans="1:10" x14ac:dyDescent="0.25">
      <c r="A343">
        <v>45474</v>
      </c>
      <c r="B343" t="s">
        <v>10</v>
      </c>
      <c r="C343" t="s">
        <v>15</v>
      </c>
      <c r="D343" t="s">
        <v>12</v>
      </c>
      <c r="E343">
        <v>427</v>
      </c>
      <c r="F343">
        <v>23417742.609999999</v>
      </c>
      <c r="G343">
        <v>5124312.0999999996</v>
      </c>
      <c r="H343">
        <v>18293430.510000002</v>
      </c>
      <c r="I343">
        <v>3.96</v>
      </c>
      <c r="J343">
        <v>4.33</v>
      </c>
    </row>
    <row r="344" spans="1:10" x14ac:dyDescent="0.25">
      <c r="A344">
        <v>45487</v>
      </c>
      <c r="B344" t="s">
        <v>10</v>
      </c>
      <c r="C344" t="s">
        <v>11</v>
      </c>
      <c r="D344" t="s">
        <v>14</v>
      </c>
      <c r="E344">
        <v>396</v>
      </c>
      <c r="F344">
        <v>30859845.719999999</v>
      </c>
      <c r="G344">
        <v>10647843.92</v>
      </c>
      <c r="H344">
        <v>20212001.809999999</v>
      </c>
      <c r="I344">
        <v>4.2</v>
      </c>
      <c r="J344">
        <v>4.1399999999999997</v>
      </c>
    </row>
    <row r="345" spans="1:10" x14ac:dyDescent="0.25">
      <c r="A345">
        <v>45227</v>
      </c>
      <c r="B345" t="s">
        <v>10</v>
      </c>
      <c r="C345" t="s">
        <v>13</v>
      </c>
      <c r="D345" t="s">
        <v>17</v>
      </c>
      <c r="E345">
        <v>251</v>
      </c>
      <c r="F345">
        <v>19960561.32</v>
      </c>
      <c r="G345">
        <v>4923647.17</v>
      </c>
      <c r="H345">
        <v>15036914.15</v>
      </c>
      <c r="I345">
        <v>1.17</v>
      </c>
      <c r="J345">
        <v>4.1399999999999997</v>
      </c>
    </row>
    <row r="346" spans="1:10" x14ac:dyDescent="0.25">
      <c r="A346">
        <v>44045</v>
      </c>
      <c r="B346" t="s">
        <v>10</v>
      </c>
      <c r="C346" t="s">
        <v>18</v>
      </c>
      <c r="D346" t="s">
        <v>17</v>
      </c>
      <c r="E346">
        <v>118</v>
      </c>
      <c r="F346">
        <v>5220412.21</v>
      </c>
      <c r="G346">
        <v>1318807.94</v>
      </c>
      <c r="H346">
        <v>3901604.26</v>
      </c>
      <c r="I346">
        <v>4.38</v>
      </c>
      <c r="J346">
        <v>3.83</v>
      </c>
    </row>
    <row r="347" spans="1:10" x14ac:dyDescent="0.25">
      <c r="A347">
        <v>44738</v>
      </c>
      <c r="B347" t="s">
        <v>10</v>
      </c>
      <c r="C347" t="s">
        <v>15</v>
      </c>
      <c r="D347" t="s">
        <v>17</v>
      </c>
      <c r="E347">
        <v>199</v>
      </c>
      <c r="F347">
        <v>7223724.3200000003</v>
      </c>
      <c r="G347">
        <v>1962004.7</v>
      </c>
      <c r="H347">
        <v>5261719.62</v>
      </c>
      <c r="I347">
        <v>3.23</v>
      </c>
      <c r="J347">
        <v>4.32</v>
      </c>
    </row>
    <row r="348" spans="1:10" x14ac:dyDescent="0.25">
      <c r="A348">
        <v>44330</v>
      </c>
      <c r="B348" t="s">
        <v>10</v>
      </c>
      <c r="C348" t="s">
        <v>16</v>
      </c>
      <c r="D348" t="s">
        <v>12</v>
      </c>
      <c r="E348">
        <v>187</v>
      </c>
      <c r="F348">
        <v>9187050.3699999992</v>
      </c>
      <c r="G348">
        <v>2513548.5299999998</v>
      </c>
      <c r="H348">
        <v>6673501.8499999996</v>
      </c>
      <c r="I348">
        <v>0.76</v>
      </c>
      <c r="J348">
        <v>3.71</v>
      </c>
    </row>
    <row r="349" spans="1:10" x14ac:dyDescent="0.25">
      <c r="A349">
        <v>44348</v>
      </c>
      <c r="B349" t="s">
        <v>10</v>
      </c>
      <c r="C349" t="s">
        <v>11</v>
      </c>
      <c r="D349" t="s">
        <v>12</v>
      </c>
      <c r="E349">
        <v>369</v>
      </c>
      <c r="F349">
        <v>15684044.779999999</v>
      </c>
      <c r="G349">
        <v>4093082.25</v>
      </c>
      <c r="H349">
        <v>11590962.529999999</v>
      </c>
      <c r="I349">
        <v>2.3199999999999998</v>
      </c>
      <c r="J349">
        <v>4.1399999999999997</v>
      </c>
    </row>
    <row r="350" spans="1:10" x14ac:dyDescent="0.25">
      <c r="A350">
        <v>44952</v>
      </c>
      <c r="B350" t="s">
        <v>10</v>
      </c>
      <c r="C350" t="s">
        <v>18</v>
      </c>
      <c r="D350" t="s">
        <v>17</v>
      </c>
      <c r="E350">
        <v>216</v>
      </c>
      <c r="F350">
        <v>16167260.189999999</v>
      </c>
      <c r="G350">
        <v>6415747.3399999999</v>
      </c>
      <c r="H350">
        <v>9751512.8599999994</v>
      </c>
      <c r="I350">
        <v>2.0299999999999998</v>
      </c>
      <c r="J350">
        <v>4.7300000000000004</v>
      </c>
    </row>
    <row r="351" spans="1:10" x14ac:dyDescent="0.25">
      <c r="A351">
        <v>44874</v>
      </c>
      <c r="B351" t="s">
        <v>10</v>
      </c>
      <c r="C351" t="s">
        <v>16</v>
      </c>
      <c r="D351" t="s">
        <v>17</v>
      </c>
      <c r="E351">
        <v>117</v>
      </c>
      <c r="F351">
        <v>8756120.2899999991</v>
      </c>
      <c r="G351">
        <v>2489563.0299999998</v>
      </c>
      <c r="H351">
        <v>6266557.2599999998</v>
      </c>
      <c r="I351">
        <v>1.73</v>
      </c>
      <c r="J351">
        <v>3.62</v>
      </c>
    </row>
    <row r="352" spans="1:10" x14ac:dyDescent="0.25">
      <c r="A352">
        <v>43850</v>
      </c>
      <c r="B352" t="s">
        <v>10</v>
      </c>
      <c r="C352" t="s">
        <v>15</v>
      </c>
      <c r="D352" t="s">
        <v>17</v>
      </c>
      <c r="E352">
        <v>281</v>
      </c>
      <c r="F352">
        <v>19807954.440000001</v>
      </c>
      <c r="G352">
        <v>5563061.1200000001</v>
      </c>
      <c r="H352">
        <v>14244893.32</v>
      </c>
      <c r="I352">
        <v>2.31</v>
      </c>
      <c r="J352">
        <v>4.05</v>
      </c>
    </row>
    <row r="353" spans="1:10" x14ac:dyDescent="0.25">
      <c r="A353">
        <v>43911</v>
      </c>
      <c r="B353" t="s">
        <v>10</v>
      </c>
      <c r="C353" t="s">
        <v>16</v>
      </c>
      <c r="D353" t="s">
        <v>14</v>
      </c>
      <c r="E353">
        <v>119</v>
      </c>
      <c r="F353">
        <v>6488450.8200000003</v>
      </c>
      <c r="G353">
        <v>2505289.69</v>
      </c>
      <c r="H353">
        <v>3983161.13</v>
      </c>
      <c r="I353">
        <v>2.84</v>
      </c>
      <c r="J353">
        <v>3.6</v>
      </c>
    </row>
    <row r="354" spans="1:10" x14ac:dyDescent="0.25">
      <c r="A354">
        <v>44748</v>
      </c>
      <c r="B354" t="s">
        <v>10</v>
      </c>
      <c r="C354" t="s">
        <v>15</v>
      </c>
      <c r="D354" t="s">
        <v>12</v>
      </c>
      <c r="E354">
        <v>54</v>
      </c>
      <c r="F354">
        <v>2097696.87</v>
      </c>
      <c r="G354">
        <v>570502.97</v>
      </c>
      <c r="H354">
        <v>1527193.9</v>
      </c>
      <c r="I354">
        <v>1.72</v>
      </c>
      <c r="J354">
        <v>4.3899999999999997</v>
      </c>
    </row>
    <row r="355" spans="1:10" x14ac:dyDescent="0.25">
      <c r="A355">
        <v>44482</v>
      </c>
      <c r="B355" t="s">
        <v>10</v>
      </c>
      <c r="C355" t="s">
        <v>13</v>
      </c>
      <c r="D355" t="s">
        <v>14</v>
      </c>
      <c r="E355">
        <v>116</v>
      </c>
      <c r="F355">
        <v>7460270.6799999997</v>
      </c>
      <c r="G355">
        <v>2500184.75</v>
      </c>
      <c r="H355">
        <v>4960085.92</v>
      </c>
      <c r="I355">
        <v>2</v>
      </c>
      <c r="J355">
        <v>4.5</v>
      </c>
    </row>
    <row r="356" spans="1:10" x14ac:dyDescent="0.25">
      <c r="A356">
        <v>44211</v>
      </c>
      <c r="B356" t="s">
        <v>10</v>
      </c>
      <c r="C356" t="s">
        <v>15</v>
      </c>
      <c r="D356" t="s">
        <v>14</v>
      </c>
      <c r="E356">
        <v>264</v>
      </c>
      <c r="F356">
        <v>14735477.67</v>
      </c>
      <c r="G356">
        <v>4824559.63</v>
      </c>
      <c r="H356">
        <v>9910918.0399999991</v>
      </c>
      <c r="I356">
        <v>4.9800000000000004</v>
      </c>
      <c r="J356">
        <v>4.17</v>
      </c>
    </row>
    <row r="357" spans="1:10" x14ac:dyDescent="0.25">
      <c r="A357">
        <v>45379</v>
      </c>
      <c r="B357" t="s">
        <v>10</v>
      </c>
      <c r="C357" t="s">
        <v>18</v>
      </c>
      <c r="D357" t="s">
        <v>14</v>
      </c>
      <c r="E357">
        <v>165</v>
      </c>
      <c r="F357">
        <v>6320791.7599999998</v>
      </c>
      <c r="G357">
        <v>1817484.49</v>
      </c>
      <c r="H357">
        <v>4503307.2699999996</v>
      </c>
      <c r="I357">
        <v>4.8099999999999996</v>
      </c>
      <c r="J357">
        <v>3.76</v>
      </c>
    </row>
    <row r="358" spans="1:10" x14ac:dyDescent="0.25">
      <c r="A358">
        <v>44190</v>
      </c>
      <c r="B358" t="s">
        <v>10</v>
      </c>
      <c r="C358" t="s">
        <v>13</v>
      </c>
      <c r="D358" t="s">
        <v>17</v>
      </c>
      <c r="E358">
        <v>336</v>
      </c>
      <c r="F358">
        <v>25709402.91</v>
      </c>
      <c r="G358">
        <v>9407183.9600000009</v>
      </c>
      <c r="H358">
        <v>16302218.949999999</v>
      </c>
      <c r="I358">
        <v>2.34</v>
      </c>
      <c r="J358">
        <v>4.13</v>
      </c>
    </row>
    <row r="359" spans="1:10" x14ac:dyDescent="0.25">
      <c r="A359">
        <v>44816</v>
      </c>
      <c r="B359" t="s">
        <v>10</v>
      </c>
      <c r="C359" t="s">
        <v>11</v>
      </c>
      <c r="D359" t="s">
        <v>14</v>
      </c>
      <c r="E359">
        <v>104</v>
      </c>
      <c r="F359">
        <v>7965254.2400000002</v>
      </c>
      <c r="G359">
        <v>2632402.58</v>
      </c>
      <c r="H359">
        <v>5332851.66</v>
      </c>
      <c r="I359">
        <v>3.49</v>
      </c>
      <c r="J359">
        <v>4.6900000000000004</v>
      </c>
    </row>
    <row r="360" spans="1:10" x14ac:dyDescent="0.25">
      <c r="A360">
        <v>44427</v>
      </c>
      <c r="B360" t="s">
        <v>10</v>
      </c>
      <c r="C360" t="s">
        <v>15</v>
      </c>
      <c r="D360" t="s">
        <v>12</v>
      </c>
      <c r="E360">
        <v>193</v>
      </c>
      <c r="F360">
        <v>10815516.460000001</v>
      </c>
      <c r="G360">
        <v>4067004.08</v>
      </c>
      <c r="H360">
        <v>6748512.3899999997</v>
      </c>
      <c r="I360">
        <v>4.88</v>
      </c>
      <c r="J360">
        <v>3.53</v>
      </c>
    </row>
    <row r="361" spans="1:10" x14ac:dyDescent="0.25">
      <c r="A361">
        <v>45168</v>
      </c>
      <c r="B361" t="s">
        <v>10</v>
      </c>
      <c r="C361" t="s">
        <v>15</v>
      </c>
      <c r="D361" t="s">
        <v>17</v>
      </c>
      <c r="E361">
        <v>409</v>
      </c>
      <c r="F361">
        <v>31604652.609999999</v>
      </c>
      <c r="G361">
        <v>11101723.869999999</v>
      </c>
      <c r="H361">
        <v>20502928.739999998</v>
      </c>
      <c r="I361">
        <v>3.52</v>
      </c>
      <c r="J361">
        <v>3.64</v>
      </c>
    </row>
    <row r="362" spans="1:10" x14ac:dyDescent="0.25">
      <c r="A362">
        <v>45205</v>
      </c>
      <c r="B362" t="s">
        <v>10</v>
      </c>
      <c r="C362" t="s">
        <v>11</v>
      </c>
      <c r="D362" t="s">
        <v>12</v>
      </c>
      <c r="E362">
        <v>455</v>
      </c>
      <c r="F362">
        <v>18155338.91</v>
      </c>
      <c r="G362">
        <v>4519697.47</v>
      </c>
      <c r="H362">
        <v>13635641.439999999</v>
      </c>
      <c r="I362">
        <v>1.07</v>
      </c>
      <c r="J362">
        <v>4.74</v>
      </c>
    </row>
    <row r="363" spans="1:10" x14ac:dyDescent="0.25">
      <c r="A363">
        <v>44122</v>
      </c>
      <c r="B363" t="s">
        <v>10</v>
      </c>
      <c r="C363" t="s">
        <v>15</v>
      </c>
      <c r="D363" t="s">
        <v>17</v>
      </c>
      <c r="E363">
        <v>87</v>
      </c>
      <c r="F363">
        <v>3807269.74</v>
      </c>
      <c r="G363">
        <v>1474853.27</v>
      </c>
      <c r="H363">
        <v>2332416.4700000002</v>
      </c>
      <c r="I363">
        <v>1.03</v>
      </c>
      <c r="J363">
        <v>3.84</v>
      </c>
    </row>
    <row r="364" spans="1:10" x14ac:dyDescent="0.25">
      <c r="A364">
        <v>44785</v>
      </c>
      <c r="B364" t="s">
        <v>10</v>
      </c>
      <c r="C364" t="s">
        <v>16</v>
      </c>
      <c r="D364" t="s">
        <v>17</v>
      </c>
      <c r="E364">
        <v>286</v>
      </c>
      <c r="F364">
        <v>15674945.689999999</v>
      </c>
      <c r="G364">
        <v>5995219.2199999997</v>
      </c>
      <c r="H364">
        <v>9679726.4700000007</v>
      </c>
      <c r="I364">
        <v>4.72</v>
      </c>
      <c r="J364">
        <v>4.33</v>
      </c>
    </row>
    <row r="365" spans="1:10" x14ac:dyDescent="0.25">
      <c r="A365">
        <v>45326</v>
      </c>
      <c r="B365" t="s">
        <v>10</v>
      </c>
      <c r="C365" t="s">
        <v>15</v>
      </c>
      <c r="D365" t="s">
        <v>14</v>
      </c>
      <c r="E365">
        <v>380</v>
      </c>
      <c r="F365">
        <v>30548479.66</v>
      </c>
      <c r="G365">
        <v>10510488.289999999</v>
      </c>
      <c r="H365">
        <v>20037991.370000001</v>
      </c>
      <c r="I365">
        <v>4.74</v>
      </c>
      <c r="J365">
        <v>4.8099999999999996</v>
      </c>
    </row>
    <row r="366" spans="1:10" x14ac:dyDescent="0.25">
      <c r="A366">
        <v>44630</v>
      </c>
      <c r="B366" t="s">
        <v>10</v>
      </c>
      <c r="C366" t="s">
        <v>11</v>
      </c>
      <c r="D366" t="s">
        <v>14</v>
      </c>
      <c r="E366">
        <v>311</v>
      </c>
      <c r="F366">
        <v>26611199.699999999</v>
      </c>
      <c r="G366">
        <v>7999520.9800000004</v>
      </c>
      <c r="H366">
        <v>18611678.719999999</v>
      </c>
      <c r="I366">
        <v>4.96</v>
      </c>
      <c r="J366">
        <v>4.78</v>
      </c>
    </row>
    <row r="367" spans="1:10" x14ac:dyDescent="0.25">
      <c r="A367">
        <v>45496</v>
      </c>
      <c r="B367" t="s">
        <v>10</v>
      </c>
      <c r="C367" t="s">
        <v>11</v>
      </c>
      <c r="D367" t="s">
        <v>14</v>
      </c>
      <c r="E367">
        <v>61</v>
      </c>
      <c r="F367">
        <v>5257146.95</v>
      </c>
      <c r="G367">
        <v>1980507.73</v>
      </c>
      <c r="H367">
        <v>3276639.22</v>
      </c>
      <c r="I367">
        <v>4.18</v>
      </c>
      <c r="J367">
        <v>4.07</v>
      </c>
    </row>
    <row r="368" spans="1:10" x14ac:dyDescent="0.25">
      <c r="A368">
        <v>45491</v>
      </c>
      <c r="B368" t="s">
        <v>10</v>
      </c>
      <c r="C368" t="s">
        <v>18</v>
      </c>
      <c r="D368" t="s">
        <v>17</v>
      </c>
      <c r="E368">
        <v>265</v>
      </c>
      <c r="F368">
        <v>17035913.379999999</v>
      </c>
      <c r="G368">
        <v>4356348.58</v>
      </c>
      <c r="H368">
        <v>12679564.800000001</v>
      </c>
      <c r="I368">
        <v>1.1399999999999999</v>
      </c>
      <c r="J368">
        <v>3.82</v>
      </c>
    </row>
    <row r="369" spans="1:10" x14ac:dyDescent="0.25">
      <c r="A369">
        <v>45316</v>
      </c>
      <c r="B369" t="s">
        <v>10</v>
      </c>
      <c r="C369" t="s">
        <v>18</v>
      </c>
      <c r="D369" t="s">
        <v>12</v>
      </c>
      <c r="E369">
        <v>63</v>
      </c>
      <c r="F369">
        <v>2485385.3199999998</v>
      </c>
      <c r="G369">
        <v>793841.92</v>
      </c>
      <c r="H369">
        <v>1691543.39</v>
      </c>
      <c r="I369">
        <v>1.28</v>
      </c>
      <c r="J369">
        <v>4.54</v>
      </c>
    </row>
    <row r="370" spans="1:10" x14ac:dyDescent="0.25">
      <c r="A370">
        <v>45364</v>
      </c>
      <c r="B370" t="s">
        <v>10</v>
      </c>
      <c r="C370" t="s">
        <v>11</v>
      </c>
      <c r="D370" t="s">
        <v>17</v>
      </c>
      <c r="E370">
        <v>255</v>
      </c>
      <c r="F370">
        <v>22607933.07</v>
      </c>
      <c r="G370">
        <v>6144962.46</v>
      </c>
      <c r="H370">
        <v>16462970.6</v>
      </c>
      <c r="I370">
        <v>4.2</v>
      </c>
      <c r="J370">
        <v>3.7</v>
      </c>
    </row>
    <row r="371" spans="1:10" x14ac:dyDescent="0.25">
      <c r="A371">
        <v>43991</v>
      </c>
      <c r="B371" t="s">
        <v>10</v>
      </c>
      <c r="C371" t="s">
        <v>16</v>
      </c>
      <c r="D371" t="s">
        <v>14</v>
      </c>
      <c r="E371">
        <v>359</v>
      </c>
      <c r="F371">
        <v>18759553.260000002</v>
      </c>
      <c r="G371">
        <v>5228771.7</v>
      </c>
      <c r="H371">
        <v>13530781.560000001</v>
      </c>
      <c r="I371">
        <v>1.1299999999999999</v>
      </c>
      <c r="J371">
        <v>4.8499999999999996</v>
      </c>
    </row>
    <row r="372" spans="1:10" x14ac:dyDescent="0.25">
      <c r="A372">
        <v>44056</v>
      </c>
      <c r="B372" t="s">
        <v>10</v>
      </c>
      <c r="C372" t="s">
        <v>18</v>
      </c>
      <c r="D372" t="s">
        <v>14</v>
      </c>
      <c r="E372">
        <v>287</v>
      </c>
      <c r="F372">
        <v>12804827.73</v>
      </c>
      <c r="G372">
        <v>3834876.69</v>
      </c>
      <c r="H372">
        <v>8969951.0500000007</v>
      </c>
      <c r="I372">
        <v>2.29</v>
      </c>
      <c r="J372">
        <v>3.72</v>
      </c>
    </row>
    <row r="373" spans="1:10" x14ac:dyDescent="0.25">
      <c r="A373">
        <v>44236</v>
      </c>
      <c r="B373" t="s">
        <v>10</v>
      </c>
      <c r="C373" t="s">
        <v>16</v>
      </c>
      <c r="D373" t="s">
        <v>12</v>
      </c>
      <c r="E373">
        <v>166</v>
      </c>
      <c r="F373">
        <v>6921686.25</v>
      </c>
      <c r="G373">
        <v>2106637.33</v>
      </c>
      <c r="H373">
        <v>4815048.92</v>
      </c>
      <c r="I373">
        <v>2.78</v>
      </c>
      <c r="J373">
        <v>3.85</v>
      </c>
    </row>
    <row r="374" spans="1:10" x14ac:dyDescent="0.25">
      <c r="A374">
        <v>45340</v>
      </c>
      <c r="B374" t="s">
        <v>10</v>
      </c>
      <c r="C374" t="s">
        <v>11</v>
      </c>
      <c r="D374" t="s">
        <v>12</v>
      </c>
      <c r="E374">
        <v>222</v>
      </c>
      <c r="F374">
        <v>14479755.630000001</v>
      </c>
      <c r="G374">
        <v>2994928.48</v>
      </c>
      <c r="H374">
        <v>11484827.16</v>
      </c>
      <c r="I374">
        <v>2.4500000000000002</v>
      </c>
      <c r="J374">
        <v>3.97</v>
      </c>
    </row>
    <row r="375" spans="1:10" x14ac:dyDescent="0.25">
      <c r="A375">
        <v>45610</v>
      </c>
      <c r="B375" t="s">
        <v>10</v>
      </c>
      <c r="C375" t="s">
        <v>15</v>
      </c>
      <c r="D375" t="s">
        <v>12</v>
      </c>
      <c r="E375">
        <v>383</v>
      </c>
      <c r="F375">
        <v>31860155.879999999</v>
      </c>
      <c r="G375">
        <v>10974213.970000001</v>
      </c>
      <c r="H375">
        <v>20885941.91</v>
      </c>
      <c r="I375">
        <v>4.33</v>
      </c>
      <c r="J375">
        <v>3.5</v>
      </c>
    </row>
    <row r="376" spans="1:10" x14ac:dyDescent="0.25">
      <c r="A376">
        <v>43966</v>
      </c>
      <c r="B376" t="s">
        <v>10</v>
      </c>
      <c r="C376" t="s">
        <v>15</v>
      </c>
      <c r="D376" t="s">
        <v>14</v>
      </c>
      <c r="E376">
        <v>92</v>
      </c>
      <c r="F376">
        <v>6355115.0499999998</v>
      </c>
      <c r="G376">
        <v>1715625.47</v>
      </c>
      <c r="H376">
        <v>4639489.58</v>
      </c>
      <c r="I376">
        <v>1.18</v>
      </c>
      <c r="J376">
        <v>3.59</v>
      </c>
    </row>
    <row r="377" spans="1:10" x14ac:dyDescent="0.25">
      <c r="A377">
        <v>45311</v>
      </c>
      <c r="B377" t="s">
        <v>10</v>
      </c>
      <c r="C377" t="s">
        <v>13</v>
      </c>
      <c r="D377" t="s">
        <v>17</v>
      </c>
      <c r="E377">
        <v>467</v>
      </c>
      <c r="F377">
        <v>28154973.879999999</v>
      </c>
      <c r="G377">
        <v>10934469.529999999</v>
      </c>
      <c r="H377">
        <v>17220504.359999999</v>
      </c>
      <c r="I377">
        <v>4.9800000000000004</v>
      </c>
      <c r="J377">
        <v>3.59</v>
      </c>
    </row>
    <row r="378" spans="1:10" x14ac:dyDescent="0.25">
      <c r="A378">
        <v>44104</v>
      </c>
      <c r="B378" t="s">
        <v>10</v>
      </c>
      <c r="C378" t="s">
        <v>15</v>
      </c>
      <c r="D378" t="s">
        <v>14</v>
      </c>
      <c r="E378">
        <v>105</v>
      </c>
      <c r="F378">
        <v>5392225.4000000004</v>
      </c>
      <c r="G378">
        <v>1692795.15</v>
      </c>
      <c r="H378">
        <v>3699430.25</v>
      </c>
      <c r="I378">
        <v>1.27</v>
      </c>
      <c r="J378">
        <v>3.61</v>
      </c>
    </row>
    <row r="379" spans="1:10" x14ac:dyDescent="0.25">
      <c r="A379">
        <v>44155</v>
      </c>
      <c r="B379" t="s">
        <v>10</v>
      </c>
      <c r="C379" t="s">
        <v>16</v>
      </c>
      <c r="D379" t="s">
        <v>17</v>
      </c>
      <c r="E379">
        <v>205</v>
      </c>
      <c r="F379">
        <v>10594427.289999999</v>
      </c>
      <c r="G379">
        <v>4023666.42</v>
      </c>
      <c r="H379">
        <v>6570760.8700000001</v>
      </c>
      <c r="I379">
        <v>3.61</v>
      </c>
      <c r="J379">
        <v>3.59</v>
      </c>
    </row>
    <row r="380" spans="1:10" x14ac:dyDescent="0.25">
      <c r="A380">
        <v>44352</v>
      </c>
      <c r="B380" t="s">
        <v>10</v>
      </c>
      <c r="C380" t="s">
        <v>15</v>
      </c>
      <c r="D380" t="s">
        <v>14</v>
      </c>
      <c r="E380">
        <v>309</v>
      </c>
      <c r="F380">
        <v>21576057.690000001</v>
      </c>
      <c r="G380">
        <v>7642694.4400000004</v>
      </c>
      <c r="H380">
        <v>13933363.26</v>
      </c>
      <c r="I380">
        <v>1.55</v>
      </c>
      <c r="J380">
        <v>3.83</v>
      </c>
    </row>
    <row r="381" spans="1:10" x14ac:dyDescent="0.25">
      <c r="A381">
        <v>44022</v>
      </c>
      <c r="B381" t="s">
        <v>10</v>
      </c>
      <c r="C381" t="s">
        <v>16</v>
      </c>
      <c r="D381" t="s">
        <v>17</v>
      </c>
      <c r="E381">
        <v>270</v>
      </c>
      <c r="F381">
        <v>18714853.170000002</v>
      </c>
      <c r="G381">
        <v>5513240.5499999998</v>
      </c>
      <c r="H381">
        <v>13201612.619999999</v>
      </c>
      <c r="I381">
        <v>2.42</v>
      </c>
      <c r="J381">
        <v>3.7</v>
      </c>
    </row>
    <row r="382" spans="1:10" x14ac:dyDescent="0.25">
      <c r="A382">
        <v>44053</v>
      </c>
      <c r="B382" t="s">
        <v>10</v>
      </c>
      <c r="C382" t="s">
        <v>13</v>
      </c>
      <c r="D382" t="s">
        <v>12</v>
      </c>
      <c r="E382">
        <v>165</v>
      </c>
      <c r="F382">
        <v>9448545.7400000002</v>
      </c>
      <c r="G382">
        <v>2543405.2799999998</v>
      </c>
      <c r="H382">
        <v>6905140.46</v>
      </c>
      <c r="I382">
        <v>2.09</v>
      </c>
      <c r="J382">
        <v>4.29</v>
      </c>
    </row>
    <row r="383" spans="1:10" x14ac:dyDescent="0.25">
      <c r="A383">
        <v>45534</v>
      </c>
      <c r="B383" t="s">
        <v>10</v>
      </c>
      <c r="C383" t="s">
        <v>13</v>
      </c>
      <c r="D383" t="s">
        <v>12</v>
      </c>
      <c r="E383">
        <v>63</v>
      </c>
      <c r="F383">
        <v>2817913.96</v>
      </c>
      <c r="G383">
        <v>909014.65</v>
      </c>
      <c r="H383">
        <v>1908899.3</v>
      </c>
      <c r="I383">
        <v>4.84</v>
      </c>
      <c r="J383">
        <v>3.87</v>
      </c>
    </row>
    <row r="384" spans="1:10" x14ac:dyDescent="0.25">
      <c r="A384">
        <v>44705</v>
      </c>
      <c r="B384" t="s">
        <v>10</v>
      </c>
      <c r="C384" t="s">
        <v>11</v>
      </c>
      <c r="D384" t="s">
        <v>14</v>
      </c>
      <c r="E384">
        <v>111</v>
      </c>
      <c r="F384">
        <v>6823606.0499999998</v>
      </c>
      <c r="G384">
        <v>2703250.31</v>
      </c>
      <c r="H384">
        <v>4120355.73</v>
      </c>
      <c r="I384">
        <v>1.67</v>
      </c>
      <c r="J384">
        <v>4.6399999999999997</v>
      </c>
    </row>
    <row r="385" spans="1:10" x14ac:dyDescent="0.25">
      <c r="A385">
        <v>44770</v>
      </c>
      <c r="B385" t="s">
        <v>10</v>
      </c>
      <c r="C385" t="s">
        <v>13</v>
      </c>
      <c r="D385" t="s">
        <v>17</v>
      </c>
      <c r="E385">
        <v>363</v>
      </c>
      <c r="F385">
        <v>16492257.640000001</v>
      </c>
      <c r="G385">
        <v>4555332.4400000004</v>
      </c>
      <c r="H385">
        <v>11936925.199999999</v>
      </c>
      <c r="I385">
        <v>1.96</v>
      </c>
      <c r="J385">
        <v>4.75</v>
      </c>
    </row>
    <row r="386" spans="1:10" x14ac:dyDescent="0.25">
      <c r="A386">
        <v>45143</v>
      </c>
      <c r="B386" t="s">
        <v>10</v>
      </c>
      <c r="C386" t="s">
        <v>18</v>
      </c>
      <c r="D386" t="s">
        <v>12</v>
      </c>
      <c r="E386">
        <v>262</v>
      </c>
      <c r="F386">
        <v>12035518.960000001</v>
      </c>
      <c r="G386">
        <v>4658668.53</v>
      </c>
      <c r="H386">
        <v>7376850.4299999997</v>
      </c>
      <c r="I386">
        <v>0.69</v>
      </c>
      <c r="J386">
        <v>4.0599999999999996</v>
      </c>
    </row>
    <row r="387" spans="1:10" x14ac:dyDescent="0.25">
      <c r="A387">
        <v>44525</v>
      </c>
      <c r="B387" t="s">
        <v>10</v>
      </c>
      <c r="C387" t="s">
        <v>16</v>
      </c>
      <c r="D387" t="s">
        <v>14</v>
      </c>
      <c r="E387">
        <v>237</v>
      </c>
      <c r="F387">
        <v>16716784.76</v>
      </c>
      <c r="G387">
        <v>5017262.66</v>
      </c>
      <c r="H387">
        <v>11699522.1</v>
      </c>
      <c r="I387">
        <v>1.7</v>
      </c>
      <c r="J387">
        <v>3.72</v>
      </c>
    </row>
    <row r="388" spans="1:10" x14ac:dyDescent="0.25">
      <c r="A388">
        <v>45569</v>
      </c>
      <c r="B388" t="s">
        <v>10</v>
      </c>
      <c r="C388" t="s">
        <v>13</v>
      </c>
      <c r="D388" t="s">
        <v>12</v>
      </c>
      <c r="E388">
        <v>245</v>
      </c>
      <c r="F388">
        <v>20226298.780000001</v>
      </c>
      <c r="G388">
        <v>7105587.8899999997</v>
      </c>
      <c r="H388">
        <v>13120710.9</v>
      </c>
      <c r="I388">
        <v>3.43</v>
      </c>
      <c r="J388">
        <v>4.72</v>
      </c>
    </row>
    <row r="389" spans="1:10" x14ac:dyDescent="0.25">
      <c r="A389">
        <v>45572</v>
      </c>
      <c r="B389" t="s">
        <v>10</v>
      </c>
      <c r="C389" t="s">
        <v>11</v>
      </c>
      <c r="D389" t="s">
        <v>14</v>
      </c>
      <c r="E389">
        <v>270</v>
      </c>
      <c r="F389">
        <v>15307972.74</v>
      </c>
      <c r="G389">
        <v>4716549.37</v>
      </c>
      <c r="H389">
        <v>10591423.359999999</v>
      </c>
      <c r="I389">
        <v>4.03</v>
      </c>
      <c r="J389">
        <v>4.84</v>
      </c>
    </row>
    <row r="390" spans="1:10" x14ac:dyDescent="0.25">
      <c r="A390">
        <v>45211</v>
      </c>
      <c r="B390" t="s">
        <v>10</v>
      </c>
      <c r="C390" t="s">
        <v>16</v>
      </c>
      <c r="D390" t="s">
        <v>12</v>
      </c>
      <c r="E390">
        <v>154</v>
      </c>
      <c r="F390">
        <v>6255206.5199999996</v>
      </c>
      <c r="G390">
        <v>1678031.53</v>
      </c>
      <c r="H390">
        <v>4577174.99</v>
      </c>
      <c r="I390">
        <v>4.74</v>
      </c>
      <c r="J390">
        <v>4.71</v>
      </c>
    </row>
    <row r="391" spans="1:10" x14ac:dyDescent="0.25">
      <c r="A391">
        <v>44178</v>
      </c>
      <c r="B391" t="s">
        <v>10</v>
      </c>
      <c r="C391" t="s">
        <v>18</v>
      </c>
      <c r="D391" t="s">
        <v>14</v>
      </c>
      <c r="E391">
        <v>97</v>
      </c>
      <c r="F391">
        <v>4753667.7699999996</v>
      </c>
      <c r="G391">
        <v>1102022.28</v>
      </c>
      <c r="H391">
        <v>3651645.49</v>
      </c>
      <c r="I391">
        <v>0.67</v>
      </c>
      <c r="J391">
        <v>4.8499999999999996</v>
      </c>
    </row>
    <row r="392" spans="1:10" x14ac:dyDescent="0.25">
      <c r="A392">
        <v>44087</v>
      </c>
      <c r="B392" t="s">
        <v>10</v>
      </c>
      <c r="C392" t="s">
        <v>15</v>
      </c>
      <c r="D392" t="s">
        <v>14</v>
      </c>
      <c r="E392">
        <v>326</v>
      </c>
      <c r="F392">
        <v>26204620.27</v>
      </c>
      <c r="G392">
        <v>7885221.2599999998</v>
      </c>
      <c r="H392">
        <v>18319399.010000002</v>
      </c>
      <c r="I392">
        <v>2.2400000000000002</v>
      </c>
      <c r="J392">
        <v>4.18</v>
      </c>
    </row>
    <row r="393" spans="1:10" x14ac:dyDescent="0.25">
      <c r="A393">
        <v>44892</v>
      </c>
      <c r="B393" t="s">
        <v>10</v>
      </c>
      <c r="C393" t="s">
        <v>18</v>
      </c>
      <c r="D393" t="s">
        <v>14</v>
      </c>
      <c r="E393">
        <v>482</v>
      </c>
      <c r="F393">
        <v>33145379.329999998</v>
      </c>
      <c r="G393">
        <v>12816310.300000001</v>
      </c>
      <c r="H393">
        <v>20329069.030000001</v>
      </c>
      <c r="I393">
        <v>2.83</v>
      </c>
      <c r="J393">
        <v>3.73</v>
      </c>
    </row>
    <row r="394" spans="1:10" x14ac:dyDescent="0.25">
      <c r="A394">
        <v>44775</v>
      </c>
      <c r="B394" t="s">
        <v>10</v>
      </c>
      <c r="C394" t="s">
        <v>16</v>
      </c>
      <c r="D394" t="s">
        <v>12</v>
      </c>
      <c r="E394">
        <v>465</v>
      </c>
      <c r="F394">
        <v>41550140.060000002</v>
      </c>
      <c r="G394">
        <v>12936444.25</v>
      </c>
      <c r="H394">
        <v>28613695.809999999</v>
      </c>
      <c r="I394">
        <v>0.72</v>
      </c>
      <c r="J394">
        <v>3.56</v>
      </c>
    </row>
    <row r="395" spans="1:10" x14ac:dyDescent="0.25">
      <c r="A395">
        <v>44450</v>
      </c>
      <c r="B395" t="s">
        <v>10</v>
      </c>
      <c r="C395" t="s">
        <v>18</v>
      </c>
      <c r="D395" t="s">
        <v>12</v>
      </c>
      <c r="E395">
        <v>136</v>
      </c>
      <c r="F395">
        <v>10118098.939999999</v>
      </c>
      <c r="G395">
        <v>3901368.29</v>
      </c>
      <c r="H395">
        <v>6216730.6500000004</v>
      </c>
      <c r="I395">
        <v>0.82</v>
      </c>
      <c r="J395">
        <v>3.52</v>
      </c>
    </row>
    <row r="396" spans="1:10" x14ac:dyDescent="0.25">
      <c r="A396">
        <v>44749</v>
      </c>
      <c r="B396" t="s">
        <v>10</v>
      </c>
      <c r="C396" t="s">
        <v>15</v>
      </c>
      <c r="D396" t="s">
        <v>12</v>
      </c>
      <c r="E396">
        <v>182</v>
      </c>
      <c r="F396">
        <v>11460878.689999999</v>
      </c>
      <c r="G396">
        <v>3695915.09</v>
      </c>
      <c r="H396">
        <v>7764963.5999999996</v>
      </c>
      <c r="I396">
        <v>2.58</v>
      </c>
      <c r="J396">
        <v>4.99</v>
      </c>
    </row>
    <row r="397" spans="1:10" x14ac:dyDescent="0.25">
      <c r="A397">
        <v>43938</v>
      </c>
      <c r="B397" t="s">
        <v>10</v>
      </c>
      <c r="C397" t="s">
        <v>15</v>
      </c>
      <c r="D397" t="s">
        <v>12</v>
      </c>
      <c r="E397">
        <v>485</v>
      </c>
      <c r="F397">
        <v>37638882.939999998</v>
      </c>
      <c r="G397">
        <v>10076902.98</v>
      </c>
      <c r="H397">
        <v>27561979.969999999</v>
      </c>
      <c r="I397">
        <v>1.33</v>
      </c>
      <c r="J397">
        <v>3.76</v>
      </c>
    </row>
    <row r="398" spans="1:10" x14ac:dyDescent="0.25">
      <c r="A398">
        <v>44069</v>
      </c>
      <c r="B398" t="s">
        <v>10</v>
      </c>
      <c r="C398" t="s">
        <v>11</v>
      </c>
      <c r="D398" t="s">
        <v>17</v>
      </c>
      <c r="E398">
        <v>310</v>
      </c>
      <c r="F398">
        <v>20220953.550000001</v>
      </c>
      <c r="G398">
        <v>4729541.6900000004</v>
      </c>
      <c r="H398">
        <v>15491411.859999999</v>
      </c>
      <c r="I398">
        <v>0.81</v>
      </c>
      <c r="J398">
        <v>4.1399999999999997</v>
      </c>
    </row>
    <row r="399" spans="1:10" x14ac:dyDescent="0.25">
      <c r="A399">
        <v>44691</v>
      </c>
      <c r="B399" t="s">
        <v>10</v>
      </c>
      <c r="C399" t="s">
        <v>13</v>
      </c>
      <c r="D399" t="s">
        <v>14</v>
      </c>
      <c r="E399">
        <v>160</v>
      </c>
      <c r="F399">
        <v>6323110.6699999999</v>
      </c>
      <c r="G399">
        <v>1305267.05</v>
      </c>
      <c r="H399">
        <v>5017843.63</v>
      </c>
      <c r="I399">
        <v>1.83</v>
      </c>
      <c r="J399">
        <v>4.6500000000000004</v>
      </c>
    </row>
    <row r="400" spans="1:10" x14ac:dyDescent="0.25">
      <c r="A400">
        <v>44669</v>
      </c>
      <c r="B400" t="s">
        <v>10</v>
      </c>
      <c r="C400" t="s">
        <v>13</v>
      </c>
      <c r="D400" t="s">
        <v>17</v>
      </c>
      <c r="E400">
        <v>458</v>
      </c>
      <c r="F400">
        <v>40615209.5</v>
      </c>
      <c r="G400">
        <v>10825168.560000001</v>
      </c>
      <c r="H400">
        <v>29790040.949999999</v>
      </c>
      <c r="I400">
        <v>0.55000000000000004</v>
      </c>
      <c r="J400">
        <v>3.88</v>
      </c>
    </row>
    <row r="401" spans="1:10" x14ac:dyDescent="0.25">
      <c r="A401">
        <v>45239</v>
      </c>
      <c r="B401" t="s">
        <v>10</v>
      </c>
      <c r="C401" t="s">
        <v>11</v>
      </c>
      <c r="D401" t="s">
        <v>12</v>
      </c>
      <c r="E401">
        <v>373</v>
      </c>
      <c r="F401">
        <v>28946612.010000002</v>
      </c>
      <c r="G401">
        <v>7850875.4800000004</v>
      </c>
      <c r="H401">
        <v>21095736.530000001</v>
      </c>
      <c r="I401">
        <v>2.89</v>
      </c>
      <c r="J401">
        <v>3.56</v>
      </c>
    </row>
    <row r="402" spans="1:10" x14ac:dyDescent="0.25">
      <c r="A402">
        <v>45042</v>
      </c>
      <c r="B402" t="s">
        <v>10</v>
      </c>
      <c r="C402" t="s">
        <v>11</v>
      </c>
      <c r="D402" t="s">
        <v>17</v>
      </c>
      <c r="E402">
        <v>419</v>
      </c>
      <c r="F402">
        <v>22090456.280000001</v>
      </c>
      <c r="G402">
        <v>8282889.1699999999</v>
      </c>
      <c r="H402">
        <v>13807567.109999999</v>
      </c>
      <c r="I402">
        <v>2.63</v>
      </c>
      <c r="J402">
        <v>3.67</v>
      </c>
    </row>
    <row r="403" spans="1:10" x14ac:dyDescent="0.25">
      <c r="A403">
        <v>45365</v>
      </c>
      <c r="B403" t="s">
        <v>10</v>
      </c>
      <c r="C403" t="s">
        <v>13</v>
      </c>
      <c r="D403" t="s">
        <v>14</v>
      </c>
      <c r="E403">
        <v>318</v>
      </c>
      <c r="F403">
        <v>21316572.289999999</v>
      </c>
      <c r="G403">
        <v>5337357.72</v>
      </c>
      <c r="H403">
        <v>15979214.58</v>
      </c>
      <c r="I403">
        <v>4.1500000000000004</v>
      </c>
      <c r="J403">
        <v>4.4800000000000004</v>
      </c>
    </row>
    <row r="404" spans="1:10" x14ac:dyDescent="0.25">
      <c r="A404">
        <v>44220</v>
      </c>
      <c r="B404" t="s">
        <v>10</v>
      </c>
      <c r="C404" t="s">
        <v>16</v>
      </c>
      <c r="D404" t="s">
        <v>14</v>
      </c>
      <c r="E404">
        <v>60</v>
      </c>
      <c r="F404">
        <v>2244327.5699999998</v>
      </c>
      <c r="G404">
        <v>847993.15</v>
      </c>
      <c r="H404">
        <v>1396334.41</v>
      </c>
      <c r="I404">
        <v>3.19</v>
      </c>
      <c r="J404">
        <v>3.64</v>
      </c>
    </row>
    <row r="405" spans="1:10" x14ac:dyDescent="0.25">
      <c r="A405">
        <v>44186</v>
      </c>
      <c r="B405" t="s">
        <v>10</v>
      </c>
      <c r="C405" t="s">
        <v>15</v>
      </c>
      <c r="D405" t="s">
        <v>12</v>
      </c>
      <c r="E405">
        <v>364</v>
      </c>
      <c r="F405">
        <v>23752840.649999999</v>
      </c>
      <c r="G405">
        <v>7654814.6600000001</v>
      </c>
      <c r="H405">
        <v>16098025.99</v>
      </c>
      <c r="I405">
        <v>1.24</v>
      </c>
      <c r="J405">
        <v>3.91</v>
      </c>
    </row>
    <row r="406" spans="1:10" x14ac:dyDescent="0.25">
      <c r="A406">
        <v>45319</v>
      </c>
      <c r="B406" t="s">
        <v>10</v>
      </c>
      <c r="C406" t="s">
        <v>13</v>
      </c>
      <c r="D406" t="s">
        <v>17</v>
      </c>
      <c r="E406">
        <v>262</v>
      </c>
      <c r="F406">
        <v>18910904.59</v>
      </c>
      <c r="G406">
        <v>5688219.1699999999</v>
      </c>
      <c r="H406">
        <v>13222685.42</v>
      </c>
      <c r="I406">
        <v>0.56000000000000005</v>
      </c>
      <c r="J406">
        <v>4.99</v>
      </c>
    </row>
    <row r="407" spans="1:10" x14ac:dyDescent="0.25">
      <c r="A407">
        <v>44524</v>
      </c>
      <c r="B407" t="s">
        <v>10</v>
      </c>
      <c r="C407" t="s">
        <v>11</v>
      </c>
      <c r="D407" t="s">
        <v>17</v>
      </c>
      <c r="E407">
        <v>171</v>
      </c>
      <c r="F407">
        <v>13658980.960000001</v>
      </c>
      <c r="G407">
        <v>3110505.11</v>
      </c>
      <c r="H407">
        <v>10548475.85</v>
      </c>
      <c r="I407">
        <v>4.3099999999999996</v>
      </c>
      <c r="J407">
        <v>4.88</v>
      </c>
    </row>
    <row r="408" spans="1:10" x14ac:dyDescent="0.25">
      <c r="A408">
        <v>43990</v>
      </c>
      <c r="B408" t="s">
        <v>10</v>
      </c>
      <c r="C408" t="s">
        <v>11</v>
      </c>
      <c r="D408" t="s">
        <v>12</v>
      </c>
      <c r="E408">
        <v>67</v>
      </c>
      <c r="F408">
        <v>4688920.76</v>
      </c>
      <c r="G408">
        <v>1668258.58</v>
      </c>
      <c r="H408">
        <v>3020662.19</v>
      </c>
      <c r="I408">
        <v>4.9000000000000004</v>
      </c>
      <c r="J408">
        <v>4.62</v>
      </c>
    </row>
    <row r="409" spans="1:10" x14ac:dyDescent="0.25">
      <c r="A409">
        <v>44912</v>
      </c>
      <c r="B409" t="s">
        <v>10</v>
      </c>
      <c r="C409" t="s">
        <v>18</v>
      </c>
      <c r="D409" t="s">
        <v>14</v>
      </c>
      <c r="E409">
        <v>287</v>
      </c>
      <c r="F409">
        <v>22301222.940000001</v>
      </c>
      <c r="G409">
        <v>5993846.8899999997</v>
      </c>
      <c r="H409">
        <v>16307376.050000001</v>
      </c>
      <c r="I409">
        <v>1.3</v>
      </c>
      <c r="J409">
        <v>4.32</v>
      </c>
    </row>
    <row r="410" spans="1:10" x14ac:dyDescent="0.25">
      <c r="A410">
        <v>45580</v>
      </c>
      <c r="B410" t="s">
        <v>10</v>
      </c>
      <c r="C410" t="s">
        <v>13</v>
      </c>
      <c r="D410" t="s">
        <v>17</v>
      </c>
      <c r="E410">
        <v>284</v>
      </c>
      <c r="F410">
        <v>14146954.880000001</v>
      </c>
      <c r="G410">
        <v>4132166.45</v>
      </c>
      <c r="H410">
        <v>10014788.43</v>
      </c>
      <c r="I410">
        <v>3.78</v>
      </c>
      <c r="J410">
        <v>3.66</v>
      </c>
    </row>
    <row r="411" spans="1:10" x14ac:dyDescent="0.25">
      <c r="A411">
        <v>43844</v>
      </c>
      <c r="B411" t="s">
        <v>10</v>
      </c>
      <c r="C411" t="s">
        <v>16</v>
      </c>
      <c r="D411" t="s">
        <v>17</v>
      </c>
      <c r="E411">
        <v>262</v>
      </c>
      <c r="F411">
        <v>19631370.5</v>
      </c>
      <c r="G411">
        <v>4641698.84</v>
      </c>
      <c r="H411">
        <v>14989671.66</v>
      </c>
      <c r="I411">
        <v>1.46</v>
      </c>
      <c r="J411">
        <v>4.26</v>
      </c>
    </row>
    <row r="412" spans="1:10" x14ac:dyDescent="0.25">
      <c r="A412">
        <v>44941</v>
      </c>
      <c r="B412" t="s">
        <v>10</v>
      </c>
      <c r="C412" t="s">
        <v>18</v>
      </c>
      <c r="D412" t="s">
        <v>17</v>
      </c>
      <c r="E412">
        <v>137</v>
      </c>
      <c r="F412">
        <v>7374860.7000000002</v>
      </c>
      <c r="G412">
        <v>2340166.5299999998</v>
      </c>
      <c r="H412">
        <v>5034694.16</v>
      </c>
      <c r="I412">
        <v>3.91</v>
      </c>
      <c r="J412">
        <v>4.62</v>
      </c>
    </row>
    <row r="413" spans="1:10" x14ac:dyDescent="0.25">
      <c r="A413">
        <v>44433</v>
      </c>
      <c r="B413" t="s">
        <v>10</v>
      </c>
      <c r="C413" t="s">
        <v>18</v>
      </c>
      <c r="D413" t="s">
        <v>14</v>
      </c>
      <c r="E413">
        <v>52</v>
      </c>
      <c r="F413">
        <v>2670988.5699999998</v>
      </c>
      <c r="G413">
        <v>766561.97</v>
      </c>
      <c r="H413">
        <v>1904426.6</v>
      </c>
      <c r="I413">
        <v>3.6</v>
      </c>
      <c r="J413">
        <v>4.8099999999999996</v>
      </c>
    </row>
    <row r="414" spans="1:10" x14ac:dyDescent="0.25">
      <c r="A414">
        <v>45521</v>
      </c>
      <c r="B414" t="s">
        <v>10</v>
      </c>
      <c r="C414" t="s">
        <v>18</v>
      </c>
      <c r="D414" t="s">
        <v>12</v>
      </c>
      <c r="E414">
        <v>416</v>
      </c>
      <c r="F414">
        <v>34628927.539999999</v>
      </c>
      <c r="G414">
        <v>10847161.720000001</v>
      </c>
      <c r="H414">
        <v>23781765.829999998</v>
      </c>
      <c r="I414">
        <v>1.22</v>
      </c>
      <c r="J414">
        <v>4.34</v>
      </c>
    </row>
    <row r="415" spans="1:10" x14ac:dyDescent="0.25">
      <c r="A415">
        <v>45110</v>
      </c>
      <c r="B415" t="s">
        <v>10</v>
      </c>
      <c r="C415" t="s">
        <v>18</v>
      </c>
      <c r="D415" t="s">
        <v>17</v>
      </c>
      <c r="E415">
        <v>121</v>
      </c>
      <c r="F415">
        <v>5876647.8399999999</v>
      </c>
      <c r="G415">
        <v>1496827.2</v>
      </c>
      <c r="H415">
        <v>4379820.6399999997</v>
      </c>
      <c r="I415">
        <v>4.96</v>
      </c>
      <c r="J415">
        <v>3.65</v>
      </c>
    </row>
    <row r="416" spans="1:10" x14ac:dyDescent="0.25">
      <c r="A416">
        <v>44313</v>
      </c>
      <c r="B416" t="s">
        <v>10</v>
      </c>
      <c r="C416" t="s">
        <v>15</v>
      </c>
      <c r="D416" t="s">
        <v>17</v>
      </c>
      <c r="E416">
        <v>273</v>
      </c>
      <c r="F416">
        <v>22765444.539999999</v>
      </c>
      <c r="G416">
        <v>6112247.25</v>
      </c>
      <c r="H416">
        <v>16653197.289999999</v>
      </c>
      <c r="I416">
        <v>1.9</v>
      </c>
      <c r="J416">
        <v>4.6100000000000003</v>
      </c>
    </row>
    <row r="417" spans="1:10" x14ac:dyDescent="0.25">
      <c r="A417">
        <v>44664</v>
      </c>
      <c r="B417" t="s">
        <v>10</v>
      </c>
      <c r="C417" t="s">
        <v>16</v>
      </c>
      <c r="D417" t="s">
        <v>17</v>
      </c>
      <c r="E417">
        <v>351</v>
      </c>
      <c r="F417">
        <v>24176599.120000001</v>
      </c>
      <c r="G417">
        <v>8761479.9199999999</v>
      </c>
      <c r="H417">
        <v>15415119.199999999</v>
      </c>
      <c r="I417">
        <v>2.1</v>
      </c>
      <c r="J417">
        <v>4.68</v>
      </c>
    </row>
    <row r="418" spans="1:10" x14ac:dyDescent="0.25">
      <c r="A418">
        <v>44511</v>
      </c>
      <c r="B418" t="s">
        <v>10</v>
      </c>
      <c r="C418" t="s">
        <v>11</v>
      </c>
      <c r="D418" t="s">
        <v>12</v>
      </c>
      <c r="E418">
        <v>469</v>
      </c>
      <c r="F418">
        <v>16549897.880000001</v>
      </c>
      <c r="G418">
        <v>4101095.28</v>
      </c>
      <c r="H418">
        <v>12448802.6</v>
      </c>
      <c r="I418">
        <v>0.66</v>
      </c>
      <c r="J418">
        <v>4.62</v>
      </c>
    </row>
    <row r="419" spans="1:10" x14ac:dyDescent="0.25">
      <c r="A419">
        <v>45112</v>
      </c>
      <c r="B419" t="s">
        <v>10</v>
      </c>
      <c r="C419" t="s">
        <v>15</v>
      </c>
      <c r="D419" t="s">
        <v>12</v>
      </c>
      <c r="E419">
        <v>63</v>
      </c>
      <c r="F419">
        <v>4802175.0999999996</v>
      </c>
      <c r="G419">
        <v>1192210.67</v>
      </c>
      <c r="H419">
        <v>3609964.44</v>
      </c>
      <c r="I419">
        <v>3.55</v>
      </c>
      <c r="J419">
        <v>4.63</v>
      </c>
    </row>
    <row r="420" spans="1:10" x14ac:dyDescent="0.25">
      <c r="A420">
        <v>44433</v>
      </c>
      <c r="B420" t="s">
        <v>10</v>
      </c>
      <c r="C420" t="s">
        <v>16</v>
      </c>
      <c r="D420" t="s">
        <v>17</v>
      </c>
      <c r="E420">
        <v>272</v>
      </c>
      <c r="F420">
        <v>14091839.060000001</v>
      </c>
      <c r="G420">
        <v>3166011.34</v>
      </c>
      <c r="H420">
        <v>10925827.73</v>
      </c>
      <c r="I420">
        <v>4.9800000000000004</v>
      </c>
      <c r="J420">
        <v>4.05</v>
      </c>
    </row>
    <row r="421" spans="1:10" x14ac:dyDescent="0.25">
      <c r="A421">
        <v>44000</v>
      </c>
      <c r="B421" t="s">
        <v>10</v>
      </c>
      <c r="C421" t="s">
        <v>15</v>
      </c>
      <c r="D421" t="s">
        <v>17</v>
      </c>
      <c r="E421">
        <v>430</v>
      </c>
      <c r="F421">
        <v>30265586.5</v>
      </c>
      <c r="G421">
        <v>7382383.2199999997</v>
      </c>
      <c r="H421">
        <v>22883203.289999999</v>
      </c>
      <c r="I421">
        <v>1.48</v>
      </c>
      <c r="J421">
        <v>3.71</v>
      </c>
    </row>
    <row r="422" spans="1:10" x14ac:dyDescent="0.25">
      <c r="A422">
        <v>44633</v>
      </c>
      <c r="B422" t="s">
        <v>10</v>
      </c>
      <c r="C422" t="s">
        <v>11</v>
      </c>
      <c r="D422" t="s">
        <v>17</v>
      </c>
      <c r="E422">
        <v>279</v>
      </c>
      <c r="F422">
        <v>16096682.15</v>
      </c>
      <c r="G422">
        <v>4199244.0199999996</v>
      </c>
      <c r="H422">
        <v>11897438.130000001</v>
      </c>
      <c r="I422">
        <v>0.51</v>
      </c>
      <c r="J422">
        <v>4.43</v>
      </c>
    </row>
    <row r="423" spans="1:10" x14ac:dyDescent="0.25">
      <c r="A423">
        <v>44358</v>
      </c>
      <c r="B423" t="s">
        <v>10</v>
      </c>
      <c r="C423" t="s">
        <v>16</v>
      </c>
      <c r="D423" t="s">
        <v>12</v>
      </c>
      <c r="E423">
        <v>309</v>
      </c>
      <c r="F423">
        <v>13896521.16</v>
      </c>
      <c r="G423">
        <v>4481145.5999999996</v>
      </c>
      <c r="H423">
        <v>9415375.5600000005</v>
      </c>
      <c r="I423">
        <v>2.31</v>
      </c>
      <c r="J423">
        <v>4.8099999999999996</v>
      </c>
    </row>
    <row r="424" spans="1:10" x14ac:dyDescent="0.25">
      <c r="A424">
        <v>45420</v>
      </c>
      <c r="B424" t="s">
        <v>10</v>
      </c>
      <c r="C424" t="s">
        <v>16</v>
      </c>
      <c r="D424" t="s">
        <v>12</v>
      </c>
      <c r="E424">
        <v>270</v>
      </c>
      <c r="F424">
        <v>18988534.059999999</v>
      </c>
      <c r="G424">
        <v>7349118.6900000004</v>
      </c>
      <c r="H424">
        <v>11639415.369999999</v>
      </c>
      <c r="I424">
        <v>3.11</v>
      </c>
      <c r="J424">
        <v>4.34</v>
      </c>
    </row>
    <row r="425" spans="1:10" x14ac:dyDescent="0.25">
      <c r="A425">
        <v>44347</v>
      </c>
      <c r="B425" t="s">
        <v>10</v>
      </c>
      <c r="C425" t="s">
        <v>16</v>
      </c>
      <c r="D425" t="s">
        <v>12</v>
      </c>
      <c r="E425">
        <v>437</v>
      </c>
      <c r="F425">
        <v>16564143.189999999</v>
      </c>
      <c r="G425">
        <v>5013642.6100000003</v>
      </c>
      <c r="H425">
        <v>11550500.58</v>
      </c>
      <c r="I425">
        <v>3.2</v>
      </c>
      <c r="J425">
        <v>4.4000000000000004</v>
      </c>
    </row>
    <row r="426" spans="1:10" x14ac:dyDescent="0.25">
      <c r="A426">
        <v>44845</v>
      </c>
      <c r="B426" t="s">
        <v>10</v>
      </c>
      <c r="C426" t="s">
        <v>11</v>
      </c>
      <c r="D426" t="s">
        <v>14</v>
      </c>
      <c r="E426">
        <v>237</v>
      </c>
      <c r="F426">
        <v>19049519.059999999</v>
      </c>
      <c r="G426">
        <v>5721501.4000000004</v>
      </c>
      <c r="H426">
        <v>13328017.66</v>
      </c>
      <c r="I426">
        <v>0.85</v>
      </c>
      <c r="J426">
        <v>3.59</v>
      </c>
    </row>
    <row r="427" spans="1:10" x14ac:dyDescent="0.25">
      <c r="A427">
        <v>44401</v>
      </c>
      <c r="B427" t="s">
        <v>10</v>
      </c>
      <c r="C427" t="s">
        <v>13</v>
      </c>
      <c r="D427" t="s">
        <v>17</v>
      </c>
      <c r="E427">
        <v>158</v>
      </c>
      <c r="F427">
        <v>12012090.060000001</v>
      </c>
      <c r="G427">
        <v>2445735.5499999998</v>
      </c>
      <c r="H427">
        <v>9566354.5099999998</v>
      </c>
      <c r="I427">
        <v>1.44</v>
      </c>
      <c r="J427">
        <v>4.74</v>
      </c>
    </row>
    <row r="428" spans="1:10" x14ac:dyDescent="0.25">
      <c r="A428">
        <v>45654</v>
      </c>
      <c r="B428" t="s">
        <v>10</v>
      </c>
      <c r="C428" t="s">
        <v>13</v>
      </c>
      <c r="D428" t="s">
        <v>17</v>
      </c>
      <c r="E428">
        <v>68</v>
      </c>
      <c r="F428">
        <v>4026344.25</v>
      </c>
      <c r="G428">
        <v>1491798.77</v>
      </c>
      <c r="H428">
        <v>2534545.48</v>
      </c>
      <c r="I428">
        <v>1.98</v>
      </c>
      <c r="J428">
        <v>4.1500000000000004</v>
      </c>
    </row>
    <row r="429" spans="1:10" x14ac:dyDescent="0.25">
      <c r="A429">
        <v>43973</v>
      </c>
      <c r="B429" t="s">
        <v>10</v>
      </c>
      <c r="C429" t="s">
        <v>13</v>
      </c>
      <c r="D429" t="s">
        <v>12</v>
      </c>
      <c r="E429">
        <v>195</v>
      </c>
      <c r="F429">
        <v>10808500.970000001</v>
      </c>
      <c r="G429">
        <v>4188202.84</v>
      </c>
      <c r="H429">
        <v>6620298.1299999999</v>
      </c>
      <c r="I429">
        <v>4.1100000000000003</v>
      </c>
      <c r="J429">
        <v>4.6500000000000004</v>
      </c>
    </row>
    <row r="430" spans="1:10" x14ac:dyDescent="0.25">
      <c r="A430">
        <v>44866</v>
      </c>
      <c r="B430" t="s">
        <v>10</v>
      </c>
      <c r="C430" t="s">
        <v>16</v>
      </c>
      <c r="D430" t="s">
        <v>12</v>
      </c>
      <c r="E430">
        <v>362</v>
      </c>
      <c r="F430">
        <v>31248286.43</v>
      </c>
      <c r="G430">
        <v>8483502.2899999991</v>
      </c>
      <c r="H430">
        <v>22764784.140000001</v>
      </c>
      <c r="I430">
        <v>2.4</v>
      </c>
      <c r="J430">
        <v>4.45</v>
      </c>
    </row>
    <row r="431" spans="1:10" x14ac:dyDescent="0.25">
      <c r="A431">
        <v>45615</v>
      </c>
      <c r="B431" t="s">
        <v>10</v>
      </c>
      <c r="C431" t="s">
        <v>16</v>
      </c>
      <c r="D431" t="s">
        <v>17</v>
      </c>
      <c r="E431">
        <v>289</v>
      </c>
      <c r="F431">
        <v>12948322.960000001</v>
      </c>
      <c r="G431">
        <v>3403049.05</v>
      </c>
      <c r="H431">
        <v>9545273.9100000001</v>
      </c>
      <c r="I431">
        <v>4.96</v>
      </c>
      <c r="J431">
        <v>4.62</v>
      </c>
    </row>
    <row r="432" spans="1:10" x14ac:dyDescent="0.25">
      <c r="A432">
        <v>44144</v>
      </c>
      <c r="B432" t="s">
        <v>10</v>
      </c>
      <c r="C432" t="s">
        <v>13</v>
      </c>
      <c r="D432" t="s">
        <v>12</v>
      </c>
      <c r="E432">
        <v>408</v>
      </c>
      <c r="F432">
        <v>27112813.77</v>
      </c>
      <c r="G432">
        <v>7657909.2599999998</v>
      </c>
      <c r="H432">
        <v>19454904.5</v>
      </c>
      <c r="I432">
        <v>1.33</v>
      </c>
      <c r="J432">
        <v>4.04</v>
      </c>
    </row>
    <row r="433" spans="1:10" x14ac:dyDescent="0.25">
      <c r="A433">
        <v>44831</v>
      </c>
      <c r="B433" t="s">
        <v>10</v>
      </c>
      <c r="C433" t="s">
        <v>11</v>
      </c>
      <c r="D433" t="s">
        <v>17</v>
      </c>
      <c r="E433">
        <v>99</v>
      </c>
      <c r="F433">
        <v>4365026.43</v>
      </c>
      <c r="G433">
        <v>1134686.9099999999</v>
      </c>
      <c r="H433">
        <v>3230339.52</v>
      </c>
      <c r="I433">
        <v>3.14</v>
      </c>
      <c r="J433">
        <v>4.38</v>
      </c>
    </row>
    <row r="434" spans="1:10" x14ac:dyDescent="0.25">
      <c r="A434">
        <v>45012</v>
      </c>
      <c r="B434" t="s">
        <v>10</v>
      </c>
      <c r="C434" t="s">
        <v>15</v>
      </c>
      <c r="D434" t="s">
        <v>17</v>
      </c>
      <c r="E434">
        <v>247</v>
      </c>
      <c r="F434">
        <v>15683100.039999999</v>
      </c>
      <c r="G434">
        <v>5336251.4000000004</v>
      </c>
      <c r="H434">
        <v>10346848.630000001</v>
      </c>
      <c r="I434">
        <v>4.7300000000000004</v>
      </c>
      <c r="J434">
        <v>3.89</v>
      </c>
    </row>
    <row r="435" spans="1:10" x14ac:dyDescent="0.25">
      <c r="A435">
        <v>44982</v>
      </c>
      <c r="B435" t="s">
        <v>10</v>
      </c>
      <c r="C435" t="s">
        <v>15</v>
      </c>
      <c r="D435" t="s">
        <v>14</v>
      </c>
      <c r="E435">
        <v>351</v>
      </c>
      <c r="F435">
        <v>16639075.369999999</v>
      </c>
      <c r="G435">
        <v>5401329.5099999998</v>
      </c>
      <c r="H435">
        <v>11237745.859999999</v>
      </c>
      <c r="I435">
        <v>2.58</v>
      </c>
      <c r="J435">
        <v>4.22</v>
      </c>
    </row>
    <row r="436" spans="1:10" x14ac:dyDescent="0.25">
      <c r="A436">
        <v>44815</v>
      </c>
      <c r="B436" t="s">
        <v>10</v>
      </c>
      <c r="C436" t="s">
        <v>16</v>
      </c>
      <c r="D436" t="s">
        <v>12</v>
      </c>
      <c r="E436">
        <v>454</v>
      </c>
      <c r="F436">
        <v>27330926.559999999</v>
      </c>
      <c r="G436">
        <v>8292373.2699999996</v>
      </c>
      <c r="H436">
        <v>19038553.289999999</v>
      </c>
      <c r="I436">
        <v>1.1000000000000001</v>
      </c>
      <c r="J436">
        <v>3.62</v>
      </c>
    </row>
    <row r="437" spans="1:10" x14ac:dyDescent="0.25">
      <c r="A437">
        <v>44730</v>
      </c>
      <c r="B437" t="s">
        <v>10</v>
      </c>
      <c r="C437" t="s">
        <v>15</v>
      </c>
      <c r="D437" t="s">
        <v>12</v>
      </c>
      <c r="E437">
        <v>280</v>
      </c>
      <c r="F437">
        <v>23720265.289999999</v>
      </c>
      <c r="G437">
        <v>5173910.79</v>
      </c>
      <c r="H437">
        <v>18546354.489999998</v>
      </c>
      <c r="I437">
        <v>4.01</v>
      </c>
      <c r="J437">
        <v>3.51</v>
      </c>
    </row>
    <row r="438" spans="1:10" x14ac:dyDescent="0.25">
      <c r="A438">
        <v>45096</v>
      </c>
      <c r="B438" t="s">
        <v>10</v>
      </c>
      <c r="C438" t="s">
        <v>15</v>
      </c>
      <c r="D438" t="s">
        <v>12</v>
      </c>
      <c r="E438">
        <v>346</v>
      </c>
      <c r="F438">
        <v>15134022.43</v>
      </c>
      <c r="G438">
        <v>4206576.75</v>
      </c>
      <c r="H438">
        <v>10927445.68</v>
      </c>
      <c r="I438">
        <v>1.1100000000000001</v>
      </c>
      <c r="J438">
        <v>4.63</v>
      </c>
    </row>
    <row r="439" spans="1:10" x14ac:dyDescent="0.25">
      <c r="A439">
        <v>44147</v>
      </c>
      <c r="B439" t="s">
        <v>10</v>
      </c>
      <c r="C439" t="s">
        <v>15</v>
      </c>
      <c r="D439" t="s">
        <v>14</v>
      </c>
      <c r="E439">
        <v>201</v>
      </c>
      <c r="F439">
        <v>12253628.1</v>
      </c>
      <c r="G439">
        <v>4868605.08</v>
      </c>
      <c r="H439">
        <v>7385023.0199999996</v>
      </c>
      <c r="I439">
        <v>1.77</v>
      </c>
      <c r="J439">
        <v>3.57</v>
      </c>
    </row>
    <row r="440" spans="1:10" x14ac:dyDescent="0.25">
      <c r="A440">
        <v>44292</v>
      </c>
      <c r="B440" t="s">
        <v>10</v>
      </c>
      <c r="C440" t="s">
        <v>18</v>
      </c>
      <c r="D440" t="s">
        <v>14</v>
      </c>
      <c r="E440">
        <v>391</v>
      </c>
      <c r="F440">
        <v>19312980.73</v>
      </c>
      <c r="G440">
        <v>6771212.9299999997</v>
      </c>
      <c r="H440">
        <v>12541767.789999999</v>
      </c>
      <c r="I440">
        <v>4.58</v>
      </c>
      <c r="J440">
        <v>3.87</v>
      </c>
    </row>
    <row r="441" spans="1:10" x14ac:dyDescent="0.25">
      <c r="A441">
        <v>44218</v>
      </c>
      <c r="B441" t="s">
        <v>10</v>
      </c>
      <c r="C441" t="s">
        <v>16</v>
      </c>
      <c r="D441" t="s">
        <v>12</v>
      </c>
      <c r="E441">
        <v>385</v>
      </c>
      <c r="F441">
        <v>21335310.210000001</v>
      </c>
      <c r="G441">
        <v>6704037.1600000001</v>
      </c>
      <c r="H441">
        <v>14631273.050000001</v>
      </c>
      <c r="I441">
        <v>4.3</v>
      </c>
      <c r="J441">
        <v>3.9</v>
      </c>
    </row>
    <row r="442" spans="1:10" x14ac:dyDescent="0.25">
      <c r="A442">
        <v>45431</v>
      </c>
      <c r="B442" t="s">
        <v>10</v>
      </c>
      <c r="C442" t="s">
        <v>15</v>
      </c>
      <c r="D442" t="s">
        <v>12</v>
      </c>
      <c r="E442">
        <v>378</v>
      </c>
      <c r="F442">
        <v>23366605.120000001</v>
      </c>
      <c r="G442">
        <v>9189554.9000000004</v>
      </c>
      <c r="H442">
        <v>14177050.210000001</v>
      </c>
      <c r="I442">
        <v>0.78</v>
      </c>
      <c r="J442">
        <v>4.8600000000000003</v>
      </c>
    </row>
    <row r="443" spans="1:10" x14ac:dyDescent="0.25">
      <c r="A443">
        <v>45071</v>
      </c>
      <c r="B443" t="s">
        <v>10</v>
      </c>
      <c r="C443" t="s">
        <v>16</v>
      </c>
      <c r="D443" t="s">
        <v>17</v>
      </c>
      <c r="E443">
        <v>490</v>
      </c>
      <c r="F443">
        <v>26472556.059999999</v>
      </c>
      <c r="G443">
        <v>8920247.9700000007</v>
      </c>
      <c r="H443">
        <v>17552308.09</v>
      </c>
      <c r="I443">
        <v>3.97</v>
      </c>
      <c r="J443">
        <v>3.63</v>
      </c>
    </row>
    <row r="444" spans="1:10" x14ac:dyDescent="0.25">
      <c r="A444">
        <v>44727</v>
      </c>
      <c r="B444" t="s">
        <v>10</v>
      </c>
      <c r="C444" t="s">
        <v>15</v>
      </c>
      <c r="D444" t="s">
        <v>14</v>
      </c>
      <c r="E444">
        <v>448</v>
      </c>
      <c r="F444">
        <v>16217728.5</v>
      </c>
      <c r="G444">
        <v>4334059.22</v>
      </c>
      <c r="H444">
        <v>11883669.279999999</v>
      </c>
      <c r="I444">
        <v>4.84</v>
      </c>
      <c r="J444">
        <v>4.34</v>
      </c>
    </row>
    <row r="445" spans="1:10" x14ac:dyDescent="0.25">
      <c r="A445">
        <v>44702</v>
      </c>
      <c r="B445" t="s">
        <v>10</v>
      </c>
      <c r="C445" t="s">
        <v>13</v>
      </c>
      <c r="D445" t="s">
        <v>12</v>
      </c>
      <c r="E445">
        <v>248</v>
      </c>
      <c r="F445">
        <v>14046628.630000001</v>
      </c>
      <c r="G445">
        <v>3292899.53</v>
      </c>
      <c r="H445">
        <v>10753729.1</v>
      </c>
      <c r="I445">
        <v>4.04</v>
      </c>
      <c r="J445">
        <v>4.4400000000000004</v>
      </c>
    </row>
    <row r="446" spans="1:10" x14ac:dyDescent="0.25">
      <c r="A446">
        <v>45158</v>
      </c>
      <c r="B446" t="s">
        <v>10</v>
      </c>
      <c r="C446" t="s">
        <v>18</v>
      </c>
      <c r="D446" t="s">
        <v>12</v>
      </c>
      <c r="E446">
        <v>214</v>
      </c>
      <c r="F446">
        <v>19039866.760000002</v>
      </c>
      <c r="G446">
        <v>6639087.0599999996</v>
      </c>
      <c r="H446">
        <v>12400779.689999999</v>
      </c>
      <c r="I446">
        <v>3.44</v>
      </c>
      <c r="J446">
        <v>3.8</v>
      </c>
    </row>
    <row r="447" spans="1:10" x14ac:dyDescent="0.25">
      <c r="A447">
        <v>45273</v>
      </c>
      <c r="B447" t="s">
        <v>10</v>
      </c>
      <c r="C447" t="s">
        <v>11</v>
      </c>
      <c r="D447" t="s">
        <v>14</v>
      </c>
      <c r="E447">
        <v>354</v>
      </c>
      <c r="F447">
        <v>21422765.52</v>
      </c>
      <c r="G447">
        <v>4404497.75</v>
      </c>
      <c r="H447">
        <v>17018267.760000002</v>
      </c>
      <c r="I447">
        <v>3.24</v>
      </c>
      <c r="J447">
        <v>4.0199999999999996</v>
      </c>
    </row>
    <row r="448" spans="1:10" x14ac:dyDescent="0.25">
      <c r="A448">
        <v>44023</v>
      </c>
      <c r="B448" t="s">
        <v>10</v>
      </c>
      <c r="C448" t="s">
        <v>18</v>
      </c>
      <c r="D448" t="s">
        <v>12</v>
      </c>
      <c r="E448">
        <v>474</v>
      </c>
      <c r="F448">
        <v>17164456.629999999</v>
      </c>
      <c r="G448">
        <v>4394073.3</v>
      </c>
      <c r="H448">
        <v>12770383.33</v>
      </c>
      <c r="I448">
        <v>2.38</v>
      </c>
      <c r="J448">
        <v>3.63</v>
      </c>
    </row>
    <row r="449" spans="1:10" x14ac:dyDescent="0.25">
      <c r="A449">
        <v>44277</v>
      </c>
      <c r="B449" t="s">
        <v>10</v>
      </c>
      <c r="C449" t="s">
        <v>11</v>
      </c>
      <c r="D449" t="s">
        <v>17</v>
      </c>
      <c r="E449">
        <v>135</v>
      </c>
      <c r="F449">
        <v>8892079.1999999993</v>
      </c>
      <c r="G449">
        <v>2626024.9900000002</v>
      </c>
      <c r="H449">
        <v>6266054.21</v>
      </c>
      <c r="I449">
        <v>1.02</v>
      </c>
      <c r="J449">
        <v>4.79</v>
      </c>
    </row>
    <row r="450" spans="1:10" x14ac:dyDescent="0.25">
      <c r="A450">
        <v>45398</v>
      </c>
      <c r="B450" t="s">
        <v>10</v>
      </c>
      <c r="C450" t="s">
        <v>18</v>
      </c>
      <c r="D450" t="s">
        <v>17</v>
      </c>
      <c r="E450">
        <v>491</v>
      </c>
      <c r="F450">
        <v>31836449.420000002</v>
      </c>
      <c r="G450">
        <v>7693596.4400000004</v>
      </c>
      <c r="H450">
        <v>24142852.98</v>
      </c>
      <c r="I450">
        <v>2.97</v>
      </c>
      <c r="J450">
        <v>4.42</v>
      </c>
    </row>
    <row r="451" spans="1:10" x14ac:dyDescent="0.25">
      <c r="A451">
        <v>45267</v>
      </c>
      <c r="B451" t="s">
        <v>10</v>
      </c>
      <c r="C451" t="s">
        <v>15</v>
      </c>
      <c r="D451" t="s">
        <v>14</v>
      </c>
      <c r="E451">
        <v>247</v>
      </c>
      <c r="F451">
        <v>20150390.920000002</v>
      </c>
      <c r="G451">
        <v>6332741.75</v>
      </c>
      <c r="H451">
        <v>13817649.17</v>
      </c>
      <c r="I451">
        <v>1.1299999999999999</v>
      </c>
      <c r="J451">
        <v>4.5</v>
      </c>
    </row>
    <row r="452" spans="1:10" x14ac:dyDescent="0.25">
      <c r="A452">
        <v>44490</v>
      </c>
      <c r="B452" t="s">
        <v>10</v>
      </c>
      <c r="C452" t="s">
        <v>13</v>
      </c>
      <c r="D452" t="s">
        <v>12</v>
      </c>
      <c r="E452">
        <v>106</v>
      </c>
      <c r="F452">
        <v>7610400.2300000004</v>
      </c>
      <c r="G452">
        <v>2340509.2400000002</v>
      </c>
      <c r="H452">
        <v>5269890.9800000004</v>
      </c>
      <c r="I452">
        <v>2.35</v>
      </c>
      <c r="J452">
        <v>4.4800000000000004</v>
      </c>
    </row>
    <row r="453" spans="1:10" x14ac:dyDescent="0.25">
      <c r="A453">
        <v>45148</v>
      </c>
      <c r="B453" t="s">
        <v>10</v>
      </c>
      <c r="C453" t="s">
        <v>15</v>
      </c>
      <c r="D453" t="s">
        <v>14</v>
      </c>
      <c r="E453">
        <v>135</v>
      </c>
      <c r="F453">
        <v>6882612.6299999999</v>
      </c>
      <c r="G453">
        <v>1669762.93</v>
      </c>
      <c r="H453">
        <v>5212849.7</v>
      </c>
      <c r="I453">
        <v>1</v>
      </c>
      <c r="J453">
        <v>4.03</v>
      </c>
    </row>
    <row r="454" spans="1:10" x14ac:dyDescent="0.25">
      <c r="A454">
        <v>44742</v>
      </c>
      <c r="B454" t="s">
        <v>10</v>
      </c>
      <c r="C454" t="s">
        <v>18</v>
      </c>
      <c r="D454" t="s">
        <v>12</v>
      </c>
      <c r="E454">
        <v>148</v>
      </c>
      <c r="F454">
        <v>5602926.54</v>
      </c>
      <c r="G454">
        <v>1360078.82</v>
      </c>
      <c r="H454">
        <v>4242847.72</v>
      </c>
      <c r="I454">
        <v>1.41</v>
      </c>
      <c r="J454">
        <v>3.89</v>
      </c>
    </row>
    <row r="455" spans="1:10" x14ac:dyDescent="0.25">
      <c r="A455">
        <v>44423</v>
      </c>
      <c r="B455" t="s">
        <v>10</v>
      </c>
      <c r="C455" t="s">
        <v>18</v>
      </c>
      <c r="D455" t="s">
        <v>14</v>
      </c>
      <c r="E455">
        <v>69</v>
      </c>
      <c r="F455">
        <v>4482697.25</v>
      </c>
      <c r="G455">
        <v>1113120.95</v>
      </c>
      <c r="H455">
        <v>3369576.3</v>
      </c>
      <c r="I455">
        <v>3.89</v>
      </c>
      <c r="J455">
        <v>3.53</v>
      </c>
    </row>
    <row r="456" spans="1:10" x14ac:dyDescent="0.25">
      <c r="A456">
        <v>45314</v>
      </c>
      <c r="B456" t="s">
        <v>10</v>
      </c>
      <c r="C456" t="s">
        <v>15</v>
      </c>
      <c r="D456" t="s">
        <v>14</v>
      </c>
      <c r="E456">
        <v>281</v>
      </c>
      <c r="F456">
        <v>23401863.859999999</v>
      </c>
      <c r="G456">
        <v>5243974.58</v>
      </c>
      <c r="H456">
        <v>18157889.280000001</v>
      </c>
      <c r="I456">
        <v>4.42</v>
      </c>
      <c r="J456">
        <v>3.86</v>
      </c>
    </row>
    <row r="457" spans="1:10" x14ac:dyDescent="0.25">
      <c r="A457">
        <v>44008</v>
      </c>
      <c r="B457" t="s">
        <v>10</v>
      </c>
      <c r="C457" t="s">
        <v>11</v>
      </c>
      <c r="D457" t="s">
        <v>12</v>
      </c>
      <c r="E457">
        <v>217</v>
      </c>
      <c r="F457">
        <v>19350851.550000001</v>
      </c>
      <c r="G457">
        <v>4752520.8499999996</v>
      </c>
      <c r="H457">
        <v>14598330.689999999</v>
      </c>
      <c r="I457">
        <v>0.62</v>
      </c>
      <c r="J457">
        <v>3.6</v>
      </c>
    </row>
    <row r="458" spans="1:10" x14ac:dyDescent="0.25">
      <c r="A458">
        <v>44331</v>
      </c>
      <c r="B458" t="s">
        <v>10</v>
      </c>
      <c r="C458" t="s">
        <v>16</v>
      </c>
      <c r="D458" t="s">
        <v>17</v>
      </c>
      <c r="E458">
        <v>303</v>
      </c>
      <c r="F458">
        <v>16332147.1</v>
      </c>
      <c r="G458">
        <v>5610318.25</v>
      </c>
      <c r="H458">
        <v>10721828.859999999</v>
      </c>
      <c r="I458">
        <v>2.2599999999999998</v>
      </c>
      <c r="J458">
        <v>4.7</v>
      </c>
    </row>
    <row r="459" spans="1:10" x14ac:dyDescent="0.25">
      <c r="A459">
        <v>44488</v>
      </c>
      <c r="B459" t="s">
        <v>10</v>
      </c>
      <c r="C459" t="s">
        <v>16</v>
      </c>
      <c r="D459" t="s">
        <v>12</v>
      </c>
      <c r="E459">
        <v>216</v>
      </c>
      <c r="F459">
        <v>15362547.640000001</v>
      </c>
      <c r="G459">
        <v>3619099.26</v>
      </c>
      <c r="H459">
        <v>11743448.380000001</v>
      </c>
      <c r="I459">
        <v>2.21</v>
      </c>
      <c r="J459">
        <v>4.66</v>
      </c>
    </row>
    <row r="460" spans="1:10" x14ac:dyDescent="0.25">
      <c r="A460">
        <v>45416</v>
      </c>
      <c r="B460" t="s">
        <v>10</v>
      </c>
      <c r="C460" t="s">
        <v>13</v>
      </c>
      <c r="D460" t="s">
        <v>12</v>
      </c>
      <c r="E460">
        <v>356</v>
      </c>
      <c r="F460">
        <v>16290029.57</v>
      </c>
      <c r="G460">
        <v>5907666.2199999997</v>
      </c>
      <c r="H460">
        <v>10382363.34</v>
      </c>
      <c r="I460">
        <v>0.92</v>
      </c>
      <c r="J460">
        <v>4.04</v>
      </c>
    </row>
    <row r="461" spans="1:10" x14ac:dyDescent="0.25">
      <c r="A461">
        <v>44464</v>
      </c>
      <c r="B461" t="s">
        <v>10</v>
      </c>
      <c r="C461" t="s">
        <v>11</v>
      </c>
      <c r="D461" t="s">
        <v>14</v>
      </c>
      <c r="E461">
        <v>346</v>
      </c>
      <c r="F461">
        <v>23101601.75</v>
      </c>
      <c r="G461">
        <v>6308666.6399999997</v>
      </c>
      <c r="H461">
        <v>16792935.109999999</v>
      </c>
      <c r="I461">
        <v>4.09</v>
      </c>
      <c r="J461">
        <v>4.09</v>
      </c>
    </row>
    <row r="462" spans="1:10" x14ac:dyDescent="0.25">
      <c r="A462">
        <v>45336</v>
      </c>
      <c r="B462" t="s">
        <v>10</v>
      </c>
      <c r="C462" t="s">
        <v>11</v>
      </c>
      <c r="D462" t="s">
        <v>14</v>
      </c>
      <c r="E462">
        <v>481</v>
      </c>
      <c r="F462">
        <v>40564022.049999997</v>
      </c>
      <c r="G462">
        <v>12005404.85</v>
      </c>
      <c r="H462">
        <v>28558617.199999999</v>
      </c>
      <c r="I462">
        <v>2.5099999999999998</v>
      </c>
      <c r="J462">
        <v>4.34</v>
      </c>
    </row>
    <row r="463" spans="1:10" x14ac:dyDescent="0.25">
      <c r="A463">
        <v>45534</v>
      </c>
      <c r="B463" t="s">
        <v>10</v>
      </c>
      <c r="C463" t="s">
        <v>16</v>
      </c>
      <c r="D463" t="s">
        <v>17</v>
      </c>
      <c r="E463">
        <v>435</v>
      </c>
      <c r="F463">
        <v>22803523.120000001</v>
      </c>
      <c r="G463">
        <v>5212067.8499999996</v>
      </c>
      <c r="H463">
        <v>17591455.280000001</v>
      </c>
      <c r="I463">
        <v>4.58</v>
      </c>
      <c r="J463">
        <v>3.92</v>
      </c>
    </row>
    <row r="464" spans="1:10" x14ac:dyDescent="0.25">
      <c r="A464">
        <v>44789</v>
      </c>
      <c r="B464" t="s">
        <v>10</v>
      </c>
      <c r="C464" t="s">
        <v>16</v>
      </c>
      <c r="D464" t="s">
        <v>17</v>
      </c>
      <c r="E464">
        <v>89</v>
      </c>
      <c r="F464">
        <v>5597015.1500000004</v>
      </c>
      <c r="G464">
        <v>1569276.97</v>
      </c>
      <c r="H464">
        <v>4027738.18</v>
      </c>
      <c r="I464">
        <v>0.65</v>
      </c>
      <c r="J464">
        <v>4.05</v>
      </c>
    </row>
    <row r="465" spans="1:10" x14ac:dyDescent="0.25">
      <c r="A465">
        <v>44791</v>
      </c>
      <c r="B465" t="s">
        <v>10</v>
      </c>
      <c r="C465" t="s">
        <v>15</v>
      </c>
      <c r="D465" t="s">
        <v>14</v>
      </c>
      <c r="E465">
        <v>465</v>
      </c>
      <c r="F465">
        <v>33008532.030000001</v>
      </c>
      <c r="G465">
        <v>12199264.99</v>
      </c>
      <c r="H465">
        <v>20809267.039999999</v>
      </c>
      <c r="I465">
        <v>2.48</v>
      </c>
      <c r="J465">
        <v>4.42</v>
      </c>
    </row>
    <row r="466" spans="1:10" x14ac:dyDescent="0.25">
      <c r="A466">
        <v>44216</v>
      </c>
      <c r="B466" t="s">
        <v>10</v>
      </c>
      <c r="C466" t="s">
        <v>18</v>
      </c>
      <c r="D466" t="s">
        <v>12</v>
      </c>
      <c r="E466">
        <v>295</v>
      </c>
      <c r="F466">
        <v>24227779.609999999</v>
      </c>
      <c r="G466">
        <v>9121061.3200000003</v>
      </c>
      <c r="H466">
        <v>15106718.289999999</v>
      </c>
      <c r="I466">
        <v>3.83</v>
      </c>
      <c r="J466">
        <v>3.98</v>
      </c>
    </row>
    <row r="467" spans="1:10" x14ac:dyDescent="0.25">
      <c r="A467">
        <v>45159</v>
      </c>
      <c r="B467" t="s">
        <v>10</v>
      </c>
      <c r="C467" t="s">
        <v>11</v>
      </c>
      <c r="D467" t="s">
        <v>12</v>
      </c>
      <c r="E467">
        <v>178</v>
      </c>
      <c r="F467">
        <v>10319879.99</v>
      </c>
      <c r="G467">
        <v>2096771.92</v>
      </c>
      <c r="H467">
        <v>8223108.0700000003</v>
      </c>
      <c r="I467">
        <v>3.51</v>
      </c>
      <c r="J467">
        <v>4.45</v>
      </c>
    </row>
    <row r="468" spans="1:10" x14ac:dyDescent="0.25">
      <c r="A468">
        <v>45113</v>
      </c>
      <c r="B468" t="s">
        <v>10</v>
      </c>
      <c r="C468" t="s">
        <v>18</v>
      </c>
      <c r="D468" t="s">
        <v>12</v>
      </c>
      <c r="E468">
        <v>309</v>
      </c>
      <c r="F468">
        <v>27760343.280000001</v>
      </c>
      <c r="G468">
        <v>5664317.8399999999</v>
      </c>
      <c r="H468">
        <v>22096025.440000001</v>
      </c>
      <c r="I468">
        <v>3.45</v>
      </c>
      <c r="J468">
        <v>3.69</v>
      </c>
    </row>
    <row r="469" spans="1:10" x14ac:dyDescent="0.25">
      <c r="A469">
        <v>43860</v>
      </c>
      <c r="B469" t="s">
        <v>10</v>
      </c>
      <c r="C469" t="s">
        <v>13</v>
      </c>
      <c r="D469" t="s">
        <v>12</v>
      </c>
      <c r="E469">
        <v>374</v>
      </c>
      <c r="F469">
        <v>24604174.41</v>
      </c>
      <c r="G469">
        <v>7246423.3099999996</v>
      </c>
      <c r="H469">
        <v>17357751.109999999</v>
      </c>
      <c r="I469">
        <v>3.74</v>
      </c>
      <c r="J469">
        <v>4.84</v>
      </c>
    </row>
    <row r="470" spans="1:10" x14ac:dyDescent="0.25">
      <c r="A470">
        <v>44900</v>
      </c>
      <c r="B470" t="s">
        <v>10</v>
      </c>
      <c r="C470" t="s">
        <v>13</v>
      </c>
      <c r="D470" t="s">
        <v>14</v>
      </c>
      <c r="E470">
        <v>431</v>
      </c>
      <c r="F470">
        <v>24069838.030000001</v>
      </c>
      <c r="G470">
        <v>4941742.87</v>
      </c>
      <c r="H470">
        <v>19128095.16</v>
      </c>
      <c r="I470">
        <v>2.02</v>
      </c>
      <c r="J470">
        <v>3.94</v>
      </c>
    </row>
    <row r="471" spans="1:10" x14ac:dyDescent="0.25">
      <c r="A471">
        <v>43986</v>
      </c>
      <c r="B471" t="s">
        <v>10</v>
      </c>
      <c r="C471" t="s">
        <v>18</v>
      </c>
      <c r="D471" t="s">
        <v>14</v>
      </c>
      <c r="E471">
        <v>483</v>
      </c>
      <c r="F471">
        <v>19847032.449999999</v>
      </c>
      <c r="G471">
        <v>4923721.63</v>
      </c>
      <c r="H471">
        <v>14923310.82</v>
      </c>
      <c r="I471">
        <v>4.95</v>
      </c>
      <c r="J471">
        <v>4.8499999999999996</v>
      </c>
    </row>
    <row r="472" spans="1:10" x14ac:dyDescent="0.25">
      <c r="A472">
        <v>44831</v>
      </c>
      <c r="B472" t="s">
        <v>10</v>
      </c>
      <c r="C472" t="s">
        <v>13</v>
      </c>
      <c r="D472" t="s">
        <v>17</v>
      </c>
      <c r="E472">
        <v>413</v>
      </c>
      <c r="F472">
        <v>24887208.949999999</v>
      </c>
      <c r="G472">
        <v>8173963.54</v>
      </c>
      <c r="H472">
        <v>16713245.41</v>
      </c>
      <c r="I472">
        <v>2.72</v>
      </c>
      <c r="J472">
        <v>4.74</v>
      </c>
    </row>
    <row r="473" spans="1:10" x14ac:dyDescent="0.25">
      <c r="A473">
        <v>45330</v>
      </c>
      <c r="B473" t="s">
        <v>10</v>
      </c>
      <c r="C473" t="s">
        <v>13</v>
      </c>
      <c r="D473" t="s">
        <v>12</v>
      </c>
      <c r="E473">
        <v>335</v>
      </c>
      <c r="F473">
        <v>14926557.35</v>
      </c>
      <c r="G473">
        <v>3845039.32</v>
      </c>
      <c r="H473">
        <v>11081518.029999999</v>
      </c>
      <c r="I473">
        <v>4.22</v>
      </c>
      <c r="J473">
        <v>3.65</v>
      </c>
    </row>
    <row r="474" spans="1:10" x14ac:dyDescent="0.25">
      <c r="A474">
        <v>44036</v>
      </c>
      <c r="B474" t="s">
        <v>10</v>
      </c>
      <c r="C474" t="s">
        <v>13</v>
      </c>
      <c r="D474" t="s">
        <v>14</v>
      </c>
      <c r="E474">
        <v>212</v>
      </c>
      <c r="F474">
        <v>9075393.4000000004</v>
      </c>
      <c r="G474">
        <v>2998616.32</v>
      </c>
      <c r="H474">
        <v>6076777.0800000001</v>
      </c>
      <c r="I474">
        <v>2.5299999999999998</v>
      </c>
      <c r="J474">
        <v>4.62</v>
      </c>
    </row>
    <row r="475" spans="1:10" x14ac:dyDescent="0.25">
      <c r="A475">
        <v>44537</v>
      </c>
      <c r="B475" t="s">
        <v>10</v>
      </c>
      <c r="C475" t="s">
        <v>16</v>
      </c>
      <c r="D475" t="s">
        <v>17</v>
      </c>
      <c r="E475">
        <v>490</v>
      </c>
      <c r="F475">
        <v>28886872</v>
      </c>
      <c r="G475">
        <v>8219760.9800000004</v>
      </c>
      <c r="H475">
        <v>20667111.010000002</v>
      </c>
      <c r="I475">
        <v>3.82</v>
      </c>
      <c r="J475">
        <v>4.71</v>
      </c>
    </row>
    <row r="476" spans="1:10" x14ac:dyDescent="0.25">
      <c r="A476">
        <v>44319</v>
      </c>
      <c r="B476" t="s">
        <v>10</v>
      </c>
      <c r="C476" t="s">
        <v>16</v>
      </c>
      <c r="D476" t="s">
        <v>14</v>
      </c>
      <c r="E476">
        <v>399</v>
      </c>
      <c r="F476">
        <v>35451457.859999999</v>
      </c>
      <c r="G476">
        <v>9684330.4900000002</v>
      </c>
      <c r="H476">
        <v>25767127.379999999</v>
      </c>
      <c r="I476">
        <v>1.07</v>
      </c>
      <c r="J476">
        <v>4.51</v>
      </c>
    </row>
    <row r="477" spans="1:10" x14ac:dyDescent="0.25">
      <c r="A477">
        <v>45421</v>
      </c>
      <c r="B477" t="s">
        <v>10</v>
      </c>
      <c r="C477" t="s">
        <v>16</v>
      </c>
      <c r="D477" t="s">
        <v>17</v>
      </c>
      <c r="E477">
        <v>115</v>
      </c>
      <c r="F477">
        <v>6016866.4000000004</v>
      </c>
      <c r="G477">
        <v>2402153.12</v>
      </c>
      <c r="H477">
        <v>3614713.28</v>
      </c>
      <c r="I477">
        <v>3.57</v>
      </c>
      <c r="J477">
        <v>3.75</v>
      </c>
    </row>
    <row r="478" spans="1:10" x14ac:dyDescent="0.25">
      <c r="A478">
        <v>45546</v>
      </c>
      <c r="B478" t="s">
        <v>10</v>
      </c>
      <c r="C478" t="s">
        <v>13</v>
      </c>
      <c r="D478" t="s">
        <v>12</v>
      </c>
      <c r="E478">
        <v>197</v>
      </c>
      <c r="F478">
        <v>9356490.5</v>
      </c>
      <c r="G478">
        <v>2176242.73</v>
      </c>
      <c r="H478">
        <v>7180247.7699999996</v>
      </c>
      <c r="I478">
        <v>1.76</v>
      </c>
      <c r="J478">
        <v>4.46</v>
      </c>
    </row>
    <row r="479" spans="1:10" x14ac:dyDescent="0.25">
      <c r="A479">
        <v>44074</v>
      </c>
      <c r="B479" t="s">
        <v>10</v>
      </c>
      <c r="C479" t="s">
        <v>18</v>
      </c>
      <c r="D479" t="s">
        <v>17</v>
      </c>
      <c r="E479">
        <v>53</v>
      </c>
      <c r="F479">
        <v>4380516.6900000004</v>
      </c>
      <c r="G479">
        <v>1563380.24</v>
      </c>
      <c r="H479">
        <v>2817136.45</v>
      </c>
      <c r="I479">
        <v>2.12</v>
      </c>
      <c r="J479">
        <v>3.6</v>
      </c>
    </row>
    <row r="480" spans="1:10" x14ac:dyDescent="0.25">
      <c r="A480">
        <v>45125</v>
      </c>
      <c r="B480" t="s">
        <v>10</v>
      </c>
      <c r="C480" t="s">
        <v>18</v>
      </c>
      <c r="D480" t="s">
        <v>17</v>
      </c>
      <c r="E480">
        <v>362</v>
      </c>
      <c r="F480">
        <v>18721572.850000001</v>
      </c>
      <c r="G480">
        <v>5042982.1900000004</v>
      </c>
      <c r="H480">
        <v>13678590.66</v>
      </c>
      <c r="I480">
        <v>4.72</v>
      </c>
      <c r="J480">
        <v>4.8099999999999996</v>
      </c>
    </row>
    <row r="481" spans="1:10" x14ac:dyDescent="0.25">
      <c r="A481">
        <v>44399</v>
      </c>
      <c r="B481" t="s">
        <v>10</v>
      </c>
      <c r="C481" t="s">
        <v>15</v>
      </c>
      <c r="D481" t="s">
        <v>14</v>
      </c>
      <c r="E481">
        <v>88</v>
      </c>
      <c r="F481">
        <v>6987796.79</v>
      </c>
      <c r="G481">
        <v>2712531.5</v>
      </c>
      <c r="H481">
        <v>4275265.29</v>
      </c>
      <c r="I481">
        <v>4.54</v>
      </c>
      <c r="J481">
        <v>4.4800000000000004</v>
      </c>
    </row>
    <row r="482" spans="1:10" x14ac:dyDescent="0.25">
      <c r="A482">
        <v>44387</v>
      </c>
      <c r="B482" t="s">
        <v>10</v>
      </c>
      <c r="C482" t="s">
        <v>11</v>
      </c>
      <c r="D482" t="s">
        <v>17</v>
      </c>
      <c r="E482">
        <v>183</v>
      </c>
      <c r="F482">
        <v>13155920.720000001</v>
      </c>
      <c r="G482">
        <v>3787745.79</v>
      </c>
      <c r="H482">
        <v>9368174.9299999997</v>
      </c>
      <c r="I482">
        <v>1</v>
      </c>
      <c r="J482">
        <v>4.17</v>
      </c>
    </row>
    <row r="483" spans="1:10" x14ac:dyDescent="0.25">
      <c r="A483">
        <v>45336</v>
      </c>
      <c r="B483" t="s">
        <v>10</v>
      </c>
      <c r="C483" t="s">
        <v>11</v>
      </c>
      <c r="D483" t="s">
        <v>12</v>
      </c>
      <c r="E483">
        <v>87</v>
      </c>
      <c r="F483">
        <v>4129904.88</v>
      </c>
      <c r="G483">
        <v>1336757.75</v>
      </c>
      <c r="H483">
        <v>2793147.13</v>
      </c>
      <c r="I483">
        <v>1.08</v>
      </c>
      <c r="J483">
        <v>4.12</v>
      </c>
    </row>
    <row r="484" spans="1:10" x14ac:dyDescent="0.25">
      <c r="A484">
        <v>44232</v>
      </c>
      <c r="B484" t="s">
        <v>10</v>
      </c>
      <c r="C484" t="s">
        <v>18</v>
      </c>
      <c r="D484" t="s">
        <v>12</v>
      </c>
      <c r="E484">
        <v>383</v>
      </c>
      <c r="F484">
        <v>23496610.879999999</v>
      </c>
      <c r="G484">
        <v>9314056.1300000008</v>
      </c>
      <c r="H484">
        <v>14182554.74</v>
      </c>
      <c r="I484">
        <v>2.4</v>
      </c>
      <c r="J484">
        <v>3.54</v>
      </c>
    </row>
    <row r="485" spans="1:10" x14ac:dyDescent="0.25">
      <c r="A485">
        <v>44663</v>
      </c>
      <c r="B485" t="s">
        <v>10</v>
      </c>
      <c r="C485" t="s">
        <v>11</v>
      </c>
      <c r="D485" t="s">
        <v>12</v>
      </c>
      <c r="E485">
        <v>151</v>
      </c>
      <c r="F485">
        <v>7610710.0199999996</v>
      </c>
      <c r="G485">
        <v>1737766.09</v>
      </c>
      <c r="H485">
        <v>5872943.9299999997</v>
      </c>
      <c r="I485">
        <v>1.81</v>
      </c>
      <c r="J485">
        <v>4.87</v>
      </c>
    </row>
    <row r="486" spans="1:10" x14ac:dyDescent="0.25">
      <c r="A486">
        <v>45491</v>
      </c>
      <c r="B486" t="s">
        <v>10</v>
      </c>
      <c r="C486" t="s">
        <v>13</v>
      </c>
      <c r="D486" t="s">
        <v>14</v>
      </c>
      <c r="E486">
        <v>475</v>
      </c>
      <c r="F486">
        <v>34894614.18</v>
      </c>
      <c r="G486">
        <v>8099312.7599999998</v>
      </c>
      <c r="H486">
        <v>26795301.420000002</v>
      </c>
      <c r="I486">
        <v>4.92</v>
      </c>
      <c r="J486">
        <v>4.43</v>
      </c>
    </row>
    <row r="487" spans="1:10" x14ac:dyDescent="0.25">
      <c r="A487">
        <v>45385</v>
      </c>
      <c r="B487" t="s">
        <v>10</v>
      </c>
      <c r="C487" t="s">
        <v>13</v>
      </c>
      <c r="D487" t="s">
        <v>14</v>
      </c>
      <c r="E487">
        <v>122</v>
      </c>
      <c r="F487">
        <v>6314879.8499999996</v>
      </c>
      <c r="G487">
        <v>1478446.41</v>
      </c>
      <c r="H487">
        <v>4836433.4400000004</v>
      </c>
      <c r="I487">
        <v>1.77</v>
      </c>
      <c r="J487">
        <v>4.8099999999999996</v>
      </c>
    </row>
    <row r="488" spans="1:10" x14ac:dyDescent="0.25">
      <c r="A488">
        <v>43886</v>
      </c>
      <c r="B488" t="s">
        <v>10</v>
      </c>
      <c r="C488" t="s">
        <v>15</v>
      </c>
      <c r="D488" t="s">
        <v>14</v>
      </c>
      <c r="E488">
        <v>447</v>
      </c>
      <c r="F488">
        <v>21015425.649999999</v>
      </c>
      <c r="G488">
        <v>7900760.9299999997</v>
      </c>
      <c r="H488">
        <v>13114664.720000001</v>
      </c>
      <c r="I488">
        <v>0.81</v>
      </c>
      <c r="J488">
        <v>3.89</v>
      </c>
    </row>
    <row r="489" spans="1:10" x14ac:dyDescent="0.25">
      <c r="A489">
        <v>44865</v>
      </c>
      <c r="B489" t="s">
        <v>10</v>
      </c>
      <c r="C489" t="s">
        <v>15</v>
      </c>
      <c r="D489" t="s">
        <v>17</v>
      </c>
      <c r="E489">
        <v>314</v>
      </c>
      <c r="F489">
        <v>11204217.710000001</v>
      </c>
      <c r="G489">
        <v>3431251.41</v>
      </c>
      <c r="H489">
        <v>7772966.29</v>
      </c>
      <c r="I489">
        <v>1.86</v>
      </c>
      <c r="J489">
        <v>4.4000000000000004</v>
      </c>
    </row>
    <row r="490" spans="1:10" x14ac:dyDescent="0.25">
      <c r="A490">
        <v>45138</v>
      </c>
      <c r="B490" t="s">
        <v>10</v>
      </c>
      <c r="C490" t="s">
        <v>15</v>
      </c>
      <c r="D490" t="s">
        <v>12</v>
      </c>
      <c r="E490">
        <v>276</v>
      </c>
      <c r="F490">
        <v>13096015.68</v>
      </c>
      <c r="G490">
        <v>3325743.27</v>
      </c>
      <c r="H490">
        <v>9770272.4100000001</v>
      </c>
      <c r="I490">
        <v>3.19</v>
      </c>
      <c r="J490">
        <v>3.6</v>
      </c>
    </row>
    <row r="491" spans="1:10" x14ac:dyDescent="0.25">
      <c r="A491">
        <v>44257</v>
      </c>
      <c r="B491" t="s">
        <v>10</v>
      </c>
      <c r="C491" t="s">
        <v>15</v>
      </c>
      <c r="D491" t="s">
        <v>17</v>
      </c>
      <c r="E491">
        <v>313</v>
      </c>
      <c r="F491">
        <v>26057061.25</v>
      </c>
      <c r="G491">
        <v>8700932.1799999997</v>
      </c>
      <c r="H491">
        <v>17356129.07</v>
      </c>
      <c r="I491">
        <v>2.0299999999999998</v>
      </c>
      <c r="J491">
        <v>4.9800000000000004</v>
      </c>
    </row>
    <row r="492" spans="1:10" x14ac:dyDescent="0.25">
      <c r="A492">
        <v>44939</v>
      </c>
      <c r="B492" t="s">
        <v>10</v>
      </c>
      <c r="C492" t="s">
        <v>13</v>
      </c>
      <c r="D492" t="s">
        <v>12</v>
      </c>
      <c r="E492">
        <v>304</v>
      </c>
      <c r="F492">
        <v>11960364.390000001</v>
      </c>
      <c r="G492">
        <v>4211219.9800000004</v>
      </c>
      <c r="H492">
        <v>7749144.4199999999</v>
      </c>
      <c r="I492">
        <v>4.08</v>
      </c>
      <c r="J492">
        <v>3.55</v>
      </c>
    </row>
    <row r="493" spans="1:10" x14ac:dyDescent="0.25">
      <c r="A493">
        <v>45419</v>
      </c>
      <c r="B493" t="s">
        <v>10</v>
      </c>
      <c r="C493" t="s">
        <v>16</v>
      </c>
      <c r="D493" t="s">
        <v>14</v>
      </c>
      <c r="E493">
        <v>84</v>
      </c>
      <c r="F493">
        <v>4177128.24</v>
      </c>
      <c r="G493">
        <v>1011566.08</v>
      </c>
      <c r="H493">
        <v>3165562.16</v>
      </c>
      <c r="I493">
        <v>3.08</v>
      </c>
      <c r="J493">
        <v>4.49</v>
      </c>
    </row>
    <row r="494" spans="1:10" x14ac:dyDescent="0.25">
      <c r="A494">
        <v>44791</v>
      </c>
      <c r="B494" t="s">
        <v>10</v>
      </c>
      <c r="C494" t="s">
        <v>16</v>
      </c>
      <c r="D494" t="s">
        <v>14</v>
      </c>
      <c r="E494">
        <v>353</v>
      </c>
      <c r="F494">
        <v>28496116.780000001</v>
      </c>
      <c r="G494">
        <v>7984734.4100000001</v>
      </c>
      <c r="H494">
        <v>20511382.370000001</v>
      </c>
      <c r="I494">
        <v>1.02</v>
      </c>
      <c r="J494">
        <v>3.64</v>
      </c>
    </row>
    <row r="495" spans="1:10" x14ac:dyDescent="0.25">
      <c r="A495">
        <v>44776</v>
      </c>
      <c r="B495" t="s">
        <v>10</v>
      </c>
      <c r="C495" t="s">
        <v>11</v>
      </c>
      <c r="D495" t="s">
        <v>14</v>
      </c>
      <c r="E495">
        <v>494</v>
      </c>
      <c r="F495">
        <v>18176983.059999999</v>
      </c>
      <c r="G495">
        <v>4113264.02</v>
      </c>
      <c r="H495">
        <v>14063719.039999999</v>
      </c>
      <c r="I495">
        <v>0.79</v>
      </c>
      <c r="J495">
        <v>4.93</v>
      </c>
    </row>
    <row r="496" spans="1:10" x14ac:dyDescent="0.25">
      <c r="A496">
        <v>44753</v>
      </c>
      <c r="B496" t="s">
        <v>10</v>
      </c>
      <c r="C496" t="s">
        <v>13</v>
      </c>
      <c r="D496" t="s">
        <v>17</v>
      </c>
      <c r="E496">
        <v>57</v>
      </c>
      <c r="F496">
        <v>3617194.31</v>
      </c>
      <c r="G496">
        <v>1135489.81</v>
      </c>
      <c r="H496">
        <v>2481704.5</v>
      </c>
      <c r="I496">
        <v>1.93</v>
      </c>
      <c r="J496">
        <v>4.1500000000000004</v>
      </c>
    </row>
    <row r="497" spans="1:10" x14ac:dyDescent="0.25">
      <c r="A497">
        <v>45543</v>
      </c>
      <c r="B497" t="s">
        <v>10</v>
      </c>
      <c r="C497" t="s">
        <v>13</v>
      </c>
      <c r="D497" t="s">
        <v>14</v>
      </c>
      <c r="E497">
        <v>96</v>
      </c>
      <c r="F497">
        <v>4086125.53</v>
      </c>
      <c r="G497">
        <v>1355927.07</v>
      </c>
      <c r="H497">
        <v>2730198.47</v>
      </c>
      <c r="I497">
        <v>1.24</v>
      </c>
      <c r="J497">
        <v>3.76</v>
      </c>
    </row>
    <row r="498" spans="1:10" x14ac:dyDescent="0.25">
      <c r="A498">
        <v>45244</v>
      </c>
      <c r="B498" t="s">
        <v>10</v>
      </c>
      <c r="C498" t="s">
        <v>15</v>
      </c>
      <c r="D498" t="s">
        <v>17</v>
      </c>
      <c r="E498">
        <v>70</v>
      </c>
      <c r="F498">
        <v>4880534.08</v>
      </c>
      <c r="G498">
        <v>1374654</v>
      </c>
      <c r="H498">
        <v>3505880.08</v>
      </c>
      <c r="I498">
        <v>3.66</v>
      </c>
      <c r="J498">
        <v>3.86</v>
      </c>
    </row>
    <row r="499" spans="1:10" x14ac:dyDescent="0.25">
      <c r="A499">
        <v>45049</v>
      </c>
      <c r="B499" t="s">
        <v>10</v>
      </c>
      <c r="C499" t="s">
        <v>11</v>
      </c>
      <c r="D499" t="s">
        <v>12</v>
      </c>
      <c r="E499">
        <v>397</v>
      </c>
      <c r="F499">
        <v>16170748.57</v>
      </c>
      <c r="G499">
        <v>5224732.2300000004</v>
      </c>
      <c r="H499">
        <v>10946016.34</v>
      </c>
      <c r="I499">
        <v>2.69</v>
      </c>
      <c r="J499">
        <v>4.4800000000000004</v>
      </c>
    </row>
    <row r="500" spans="1:10" x14ac:dyDescent="0.25">
      <c r="A500">
        <v>45206</v>
      </c>
      <c r="B500" t="s">
        <v>10</v>
      </c>
      <c r="C500" t="s">
        <v>18</v>
      </c>
      <c r="D500" t="s">
        <v>17</v>
      </c>
      <c r="E500">
        <v>243</v>
      </c>
      <c r="F500">
        <v>12134516.539999999</v>
      </c>
      <c r="G500">
        <v>3706131</v>
      </c>
      <c r="H500">
        <v>8428385.5399999991</v>
      </c>
      <c r="I500">
        <v>4.93</v>
      </c>
      <c r="J500">
        <v>3.9</v>
      </c>
    </row>
    <row r="501" spans="1:10" x14ac:dyDescent="0.25">
      <c r="A501">
        <v>45148</v>
      </c>
      <c r="B501" t="s">
        <v>10</v>
      </c>
      <c r="C501" t="s">
        <v>11</v>
      </c>
      <c r="D501" t="s">
        <v>17</v>
      </c>
      <c r="E501">
        <v>471</v>
      </c>
      <c r="F501">
        <v>18322499.059999999</v>
      </c>
      <c r="G501">
        <v>6396781.7199999997</v>
      </c>
      <c r="H501">
        <v>11925717.34</v>
      </c>
      <c r="I501">
        <v>2.13</v>
      </c>
      <c r="J501">
        <v>4.21</v>
      </c>
    </row>
    <row r="502" spans="1:10" x14ac:dyDescent="0.25">
      <c r="A502">
        <v>43925</v>
      </c>
      <c r="B502" t="s">
        <v>10</v>
      </c>
      <c r="C502" t="s">
        <v>18</v>
      </c>
      <c r="D502" t="s">
        <v>17</v>
      </c>
      <c r="E502">
        <v>267</v>
      </c>
      <c r="F502">
        <v>22669877.719999999</v>
      </c>
      <c r="G502">
        <v>7984980.8300000001</v>
      </c>
      <c r="H502">
        <v>14684896.890000001</v>
      </c>
      <c r="I502">
        <v>2.61</v>
      </c>
      <c r="J502">
        <v>4.18</v>
      </c>
    </row>
    <row r="503" spans="1:10" x14ac:dyDescent="0.25">
      <c r="A503">
        <v>43875</v>
      </c>
      <c r="B503" t="s">
        <v>10</v>
      </c>
      <c r="C503" t="s">
        <v>15</v>
      </c>
      <c r="D503" t="s">
        <v>12</v>
      </c>
      <c r="E503">
        <v>158</v>
      </c>
      <c r="F503">
        <v>9718936.7899999991</v>
      </c>
      <c r="G503">
        <v>3506402.46</v>
      </c>
      <c r="H503">
        <v>6212534.3300000001</v>
      </c>
      <c r="I503">
        <v>3.25</v>
      </c>
      <c r="J503">
        <v>3.92</v>
      </c>
    </row>
    <row r="504" spans="1:10" x14ac:dyDescent="0.25">
      <c r="A504">
        <v>44723</v>
      </c>
      <c r="B504" t="s">
        <v>10</v>
      </c>
      <c r="C504" t="s">
        <v>11</v>
      </c>
      <c r="D504" t="s">
        <v>12</v>
      </c>
      <c r="E504">
        <v>361</v>
      </c>
      <c r="F504">
        <v>24366673.050000001</v>
      </c>
      <c r="G504">
        <v>7129652.04</v>
      </c>
      <c r="H504">
        <v>17237021.010000002</v>
      </c>
      <c r="I504">
        <v>4.34</v>
      </c>
      <c r="J504">
        <v>3.57</v>
      </c>
    </row>
    <row r="505" spans="1:10" x14ac:dyDescent="0.25">
      <c r="A505">
        <v>44615</v>
      </c>
      <c r="B505" t="s">
        <v>10</v>
      </c>
      <c r="C505" t="s">
        <v>16</v>
      </c>
      <c r="D505" t="s">
        <v>12</v>
      </c>
      <c r="E505">
        <v>185</v>
      </c>
      <c r="F505">
        <v>6848639.8600000003</v>
      </c>
      <c r="G505">
        <v>2591490.0499999998</v>
      </c>
      <c r="H505">
        <v>4257149.82</v>
      </c>
      <c r="I505">
        <v>2.02</v>
      </c>
      <c r="J505">
        <v>4.7</v>
      </c>
    </row>
    <row r="506" spans="1:10" x14ac:dyDescent="0.25">
      <c r="A506">
        <v>45326</v>
      </c>
      <c r="B506" t="s">
        <v>10</v>
      </c>
      <c r="C506" t="s">
        <v>13</v>
      </c>
      <c r="D506" t="s">
        <v>14</v>
      </c>
      <c r="E506">
        <v>482</v>
      </c>
      <c r="F506">
        <v>22662695.710000001</v>
      </c>
      <c r="G506">
        <v>7266581.04</v>
      </c>
      <c r="H506">
        <v>15396114.67</v>
      </c>
      <c r="I506">
        <v>0.7</v>
      </c>
      <c r="J506">
        <v>3.92</v>
      </c>
    </row>
    <row r="507" spans="1:10" x14ac:dyDescent="0.25">
      <c r="A507">
        <v>44403</v>
      </c>
      <c r="B507" t="s">
        <v>10</v>
      </c>
      <c r="C507" t="s">
        <v>18</v>
      </c>
      <c r="D507" t="s">
        <v>14</v>
      </c>
      <c r="E507">
        <v>393</v>
      </c>
      <c r="F507">
        <v>15637510.15</v>
      </c>
      <c r="G507">
        <v>4325127.28</v>
      </c>
      <c r="H507">
        <v>11312382.869999999</v>
      </c>
      <c r="I507">
        <v>1.01</v>
      </c>
      <c r="J507">
        <v>4.0199999999999996</v>
      </c>
    </row>
    <row r="508" spans="1:10" x14ac:dyDescent="0.25">
      <c r="A508">
        <v>45263</v>
      </c>
      <c r="B508" t="s">
        <v>10</v>
      </c>
      <c r="C508" t="s">
        <v>11</v>
      </c>
      <c r="D508" t="s">
        <v>17</v>
      </c>
      <c r="E508">
        <v>472</v>
      </c>
      <c r="F508">
        <v>31441277.23</v>
      </c>
      <c r="G508">
        <v>12389949.529999999</v>
      </c>
      <c r="H508">
        <v>19051327.699999999</v>
      </c>
      <c r="I508">
        <v>3.54</v>
      </c>
      <c r="J508">
        <v>3.57</v>
      </c>
    </row>
    <row r="509" spans="1:10" x14ac:dyDescent="0.25">
      <c r="A509">
        <v>44745</v>
      </c>
      <c r="B509" t="s">
        <v>10</v>
      </c>
      <c r="C509" t="s">
        <v>18</v>
      </c>
      <c r="D509" t="s">
        <v>17</v>
      </c>
      <c r="E509">
        <v>444</v>
      </c>
      <c r="F509">
        <v>18750964.309999999</v>
      </c>
      <c r="G509">
        <v>6470089.5199999996</v>
      </c>
      <c r="H509">
        <v>12280874.789999999</v>
      </c>
      <c r="I509">
        <v>2.2799999999999998</v>
      </c>
      <c r="J509">
        <v>4.13</v>
      </c>
    </row>
    <row r="510" spans="1:10" x14ac:dyDescent="0.25">
      <c r="A510">
        <v>44293</v>
      </c>
      <c r="B510" t="s">
        <v>10</v>
      </c>
      <c r="C510" t="s">
        <v>16</v>
      </c>
      <c r="D510" t="s">
        <v>14</v>
      </c>
      <c r="E510">
        <v>381</v>
      </c>
      <c r="F510">
        <v>31822728.039999999</v>
      </c>
      <c r="G510">
        <v>8458843.8599999994</v>
      </c>
      <c r="H510">
        <v>23363884.18</v>
      </c>
      <c r="I510">
        <v>1.66</v>
      </c>
      <c r="J510">
        <v>4.51</v>
      </c>
    </row>
    <row r="511" spans="1:10" x14ac:dyDescent="0.25">
      <c r="A511">
        <v>44636</v>
      </c>
      <c r="B511" t="s">
        <v>10</v>
      </c>
      <c r="C511" t="s">
        <v>15</v>
      </c>
      <c r="D511" t="s">
        <v>14</v>
      </c>
      <c r="E511">
        <v>466</v>
      </c>
      <c r="F511">
        <v>37423747.549999997</v>
      </c>
      <c r="G511">
        <v>7821110.3200000003</v>
      </c>
      <c r="H511">
        <v>29602637.219999999</v>
      </c>
      <c r="I511">
        <v>4.2</v>
      </c>
      <c r="J511">
        <v>3.5</v>
      </c>
    </row>
    <row r="512" spans="1:10" x14ac:dyDescent="0.25">
      <c r="A512">
        <v>45323</v>
      </c>
      <c r="B512" t="s">
        <v>10</v>
      </c>
      <c r="C512" t="s">
        <v>11</v>
      </c>
      <c r="D512" t="s">
        <v>14</v>
      </c>
      <c r="E512">
        <v>396</v>
      </c>
      <c r="F512">
        <v>13905821.699999999</v>
      </c>
      <c r="G512">
        <v>3566642.68</v>
      </c>
      <c r="H512">
        <v>10339179.029999999</v>
      </c>
      <c r="I512">
        <v>4.2300000000000004</v>
      </c>
      <c r="J512">
        <v>3.56</v>
      </c>
    </row>
    <row r="513" spans="1:10" x14ac:dyDescent="0.25">
      <c r="A513">
        <v>44751</v>
      </c>
      <c r="B513" t="s">
        <v>10</v>
      </c>
      <c r="C513" t="s">
        <v>11</v>
      </c>
      <c r="D513" t="s">
        <v>14</v>
      </c>
      <c r="E513">
        <v>389</v>
      </c>
      <c r="F513">
        <v>28304591.199999999</v>
      </c>
      <c r="G513">
        <v>10673731.32</v>
      </c>
      <c r="H513">
        <v>17630859.879999999</v>
      </c>
      <c r="I513">
        <v>2.23</v>
      </c>
      <c r="J513">
        <v>4.18</v>
      </c>
    </row>
    <row r="514" spans="1:10" x14ac:dyDescent="0.25">
      <c r="A514">
        <v>44104</v>
      </c>
      <c r="B514" t="s">
        <v>10</v>
      </c>
      <c r="C514" t="s">
        <v>16</v>
      </c>
      <c r="D514" t="s">
        <v>12</v>
      </c>
      <c r="E514">
        <v>131</v>
      </c>
      <c r="F514">
        <v>5249911.93</v>
      </c>
      <c r="G514">
        <v>1473837.68</v>
      </c>
      <c r="H514">
        <v>3776074.25</v>
      </c>
      <c r="I514">
        <v>2.97</v>
      </c>
      <c r="J514">
        <v>4.8499999999999996</v>
      </c>
    </row>
    <row r="515" spans="1:10" x14ac:dyDescent="0.25">
      <c r="A515">
        <v>45317</v>
      </c>
      <c r="B515" t="s">
        <v>10</v>
      </c>
      <c r="C515" t="s">
        <v>18</v>
      </c>
      <c r="D515" t="s">
        <v>12</v>
      </c>
      <c r="E515">
        <v>381</v>
      </c>
      <c r="F515">
        <v>15015172.199999999</v>
      </c>
      <c r="G515">
        <v>4940678.47</v>
      </c>
      <c r="H515">
        <v>10074493.720000001</v>
      </c>
      <c r="I515">
        <v>4.74</v>
      </c>
      <c r="J515">
        <v>4.5</v>
      </c>
    </row>
    <row r="516" spans="1:10" x14ac:dyDescent="0.25">
      <c r="A516">
        <v>45330</v>
      </c>
      <c r="B516" t="s">
        <v>10</v>
      </c>
      <c r="C516" t="s">
        <v>18</v>
      </c>
      <c r="D516" t="s">
        <v>12</v>
      </c>
      <c r="E516">
        <v>154</v>
      </c>
      <c r="F516">
        <v>10865432.26</v>
      </c>
      <c r="G516">
        <v>2416387.25</v>
      </c>
      <c r="H516">
        <v>8449045.0199999996</v>
      </c>
      <c r="I516">
        <v>3.19</v>
      </c>
      <c r="J516">
        <v>4.25</v>
      </c>
    </row>
    <row r="517" spans="1:10" x14ac:dyDescent="0.25">
      <c r="A517">
        <v>44427</v>
      </c>
      <c r="B517" t="s">
        <v>10</v>
      </c>
      <c r="C517" t="s">
        <v>18</v>
      </c>
      <c r="D517" t="s">
        <v>14</v>
      </c>
      <c r="E517">
        <v>100</v>
      </c>
      <c r="F517">
        <v>8523078.2100000009</v>
      </c>
      <c r="G517">
        <v>2365028.9700000002</v>
      </c>
      <c r="H517">
        <v>6158049.2400000002</v>
      </c>
      <c r="I517">
        <v>4.43</v>
      </c>
      <c r="J517">
        <v>4.59</v>
      </c>
    </row>
    <row r="518" spans="1:10" x14ac:dyDescent="0.25">
      <c r="A518">
        <v>43873</v>
      </c>
      <c r="B518" t="s">
        <v>10</v>
      </c>
      <c r="C518" t="s">
        <v>15</v>
      </c>
      <c r="D518" t="s">
        <v>17</v>
      </c>
      <c r="E518">
        <v>204</v>
      </c>
      <c r="F518">
        <v>15453809.630000001</v>
      </c>
      <c r="G518">
        <v>4543446.2300000004</v>
      </c>
      <c r="H518">
        <v>10910363.4</v>
      </c>
      <c r="I518">
        <v>4.2300000000000004</v>
      </c>
      <c r="J518">
        <v>4.99</v>
      </c>
    </row>
    <row r="519" spans="1:10" x14ac:dyDescent="0.25">
      <c r="A519">
        <v>44065</v>
      </c>
      <c r="B519" t="s">
        <v>10</v>
      </c>
      <c r="C519" t="s">
        <v>16</v>
      </c>
      <c r="D519" t="s">
        <v>17</v>
      </c>
      <c r="E519">
        <v>307</v>
      </c>
      <c r="F519">
        <v>10942666.119999999</v>
      </c>
      <c r="G519">
        <v>3453430.45</v>
      </c>
      <c r="H519">
        <v>7489235.6699999999</v>
      </c>
      <c r="I519">
        <v>1.83</v>
      </c>
      <c r="J519">
        <v>4.2300000000000004</v>
      </c>
    </row>
    <row r="520" spans="1:10" x14ac:dyDescent="0.25">
      <c r="A520">
        <v>43986</v>
      </c>
      <c r="B520" t="s">
        <v>10</v>
      </c>
      <c r="C520" t="s">
        <v>18</v>
      </c>
      <c r="D520" t="s">
        <v>17</v>
      </c>
      <c r="E520">
        <v>350</v>
      </c>
      <c r="F520">
        <v>19937848.41</v>
      </c>
      <c r="G520">
        <v>4345914.08</v>
      </c>
      <c r="H520">
        <v>15591934.33</v>
      </c>
      <c r="I520">
        <v>4.1399999999999997</v>
      </c>
      <c r="J520">
        <v>3.82</v>
      </c>
    </row>
    <row r="521" spans="1:10" x14ac:dyDescent="0.25">
      <c r="A521">
        <v>45387</v>
      </c>
      <c r="B521" t="s">
        <v>10</v>
      </c>
      <c r="C521" t="s">
        <v>15</v>
      </c>
      <c r="D521" t="s">
        <v>14</v>
      </c>
      <c r="E521">
        <v>458</v>
      </c>
      <c r="F521">
        <v>34397880.149999999</v>
      </c>
      <c r="G521">
        <v>9271662.0700000003</v>
      </c>
      <c r="H521">
        <v>25126218.079999998</v>
      </c>
      <c r="I521">
        <v>4.3099999999999996</v>
      </c>
      <c r="J521">
        <v>4.54</v>
      </c>
    </row>
    <row r="522" spans="1:10" x14ac:dyDescent="0.25">
      <c r="A522">
        <v>44821</v>
      </c>
      <c r="B522" t="s">
        <v>10</v>
      </c>
      <c r="C522" t="s">
        <v>18</v>
      </c>
      <c r="D522" t="s">
        <v>14</v>
      </c>
      <c r="E522">
        <v>195</v>
      </c>
      <c r="F522">
        <v>11156804.59</v>
      </c>
      <c r="G522">
        <v>4289535.55</v>
      </c>
      <c r="H522">
        <v>6867269.04</v>
      </c>
      <c r="I522">
        <v>2.94</v>
      </c>
      <c r="J522">
        <v>4.79</v>
      </c>
    </row>
    <row r="523" spans="1:10" x14ac:dyDescent="0.25">
      <c r="A523">
        <v>44895</v>
      </c>
      <c r="B523" t="s">
        <v>10</v>
      </c>
      <c r="C523" t="s">
        <v>16</v>
      </c>
      <c r="D523" t="s">
        <v>14</v>
      </c>
      <c r="E523">
        <v>79</v>
      </c>
      <c r="F523">
        <v>4704692.8</v>
      </c>
      <c r="G523">
        <v>1130650.27</v>
      </c>
      <c r="H523">
        <v>3574042.53</v>
      </c>
      <c r="I523">
        <v>4.2</v>
      </c>
      <c r="J523">
        <v>4.79</v>
      </c>
    </row>
    <row r="524" spans="1:10" x14ac:dyDescent="0.25">
      <c r="A524">
        <v>43852</v>
      </c>
      <c r="B524" t="s">
        <v>10</v>
      </c>
      <c r="C524" t="s">
        <v>15</v>
      </c>
      <c r="D524" t="s">
        <v>12</v>
      </c>
      <c r="E524">
        <v>384</v>
      </c>
      <c r="F524">
        <v>29477493.66</v>
      </c>
      <c r="G524">
        <v>11208088.18</v>
      </c>
      <c r="H524">
        <v>18269405.489999998</v>
      </c>
      <c r="I524">
        <v>4.5</v>
      </c>
      <c r="J524">
        <v>3.52</v>
      </c>
    </row>
    <row r="525" spans="1:10" x14ac:dyDescent="0.25">
      <c r="A525">
        <v>45189</v>
      </c>
      <c r="B525" t="s">
        <v>10</v>
      </c>
      <c r="C525" t="s">
        <v>11</v>
      </c>
      <c r="D525" t="s">
        <v>12</v>
      </c>
      <c r="E525">
        <v>362</v>
      </c>
      <c r="F525">
        <v>13215938.369999999</v>
      </c>
      <c r="G525">
        <v>4247670.72</v>
      </c>
      <c r="H525">
        <v>8968267.6500000004</v>
      </c>
      <c r="I525">
        <v>2.87</v>
      </c>
      <c r="J525">
        <v>4.2699999999999996</v>
      </c>
    </row>
    <row r="526" spans="1:10" x14ac:dyDescent="0.25">
      <c r="A526">
        <v>44403</v>
      </c>
      <c r="B526" t="s">
        <v>10</v>
      </c>
      <c r="C526" t="s">
        <v>18</v>
      </c>
      <c r="D526" t="s">
        <v>14</v>
      </c>
      <c r="E526">
        <v>205</v>
      </c>
      <c r="F526">
        <v>12029218.289999999</v>
      </c>
      <c r="G526">
        <v>4468628.0999999996</v>
      </c>
      <c r="H526">
        <v>7560590.1900000004</v>
      </c>
      <c r="I526">
        <v>4.51</v>
      </c>
      <c r="J526">
        <v>4.0199999999999996</v>
      </c>
    </row>
    <row r="527" spans="1:10" x14ac:dyDescent="0.25">
      <c r="A527">
        <v>44266</v>
      </c>
      <c r="B527" t="s">
        <v>10</v>
      </c>
      <c r="C527" t="s">
        <v>18</v>
      </c>
      <c r="D527" t="s">
        <v>12</v>
      </c>
      <c r="E527">
        <v>197</v>
      </c>
      <c r="F527">
        <v>10576395.24</v>
      </c>
      <c r="G527">
        <v>3136452.47</v>
      </c>
      <c r="H527">
        <v>7439942.7699999996</v>
      </c>
      <c r="I527">
        <v>2.21</v>
      </c>
      <c r="J527">
        <v>3.51</v>
      </c>
    </row>
    <row r="528" spans="1:10" x14ac:dyDescent="0.25">
      <c r="A528">
        <v>43842</v>
      </c>
      <c r="B528" t="s">
        <v>10</v>
      </c>
      <c r="C528" t="s">
        <v>16</v>
      </c>
      <c r="D528" t="s">
        <v>12</v>
      </c>
      <c r="E528">
        <v>175</v>
      </c>
      <c r="F528">
        <v>11861392.609999999</v>
      </c>
      <c r="G528">
        <v>4504340.32</v>
      </c>
      <c r="H528">
        <v>7357052.2800000003</v>
      </c>
      <c r="I528">
        <v>4.3099999999999996</v>
      </c>
      <c r="J528">
        <v>4.3</v>
      </c>
    </row>
    <row r="529" spans="1:10" x14ac:dyDescent="0.25">
      <c r="A529">
        <v>43941</v>
      </c>
      <c r="B529" t="s">
        <v>10</v>
      </c>
      <c r="C529" t="s">
        <v>16</v>
      </c>
      <c r="D529" t="s">
        <v>17</v>
      </c>
      <c r="E529">
        <v>225</v>
      </c>
      <c r="F529">
        <v>10571420.359999999</v>
      </c>
      <c r="G529">
        <v>2139579.44</v>
      </c>
      <c r="H529">
        <v>8431840.9199999999</v>
      </c>
      <c r="I529">
        <v>2.54</v>
      </c>
      <c r="J529">
        <v>4.53</v>
      </c>
    </row>
    <row r="530" spans="1:10" x14ac:dyDescent="0.25">
      <c r="A530">
        <v>45470</v>
      </c>
      <c r="B530" t="s">
        <v>10</v>
      </c>
      <c r="C530" t="s">
        <v>18</v>
      </c>
      <c r="D530" t="s">
        <v>12</v>
      </c>
      <c r="E530">
        <v>414</v>
      </c>
      <c r="F530">
        <v>36623015.090000004</v>
      </c>
      <c r="G530">
        <v>12975631.32</v>
      </c>
      <c r="H530">
        <v>23647383.77</v>
      </c>
      <c r="I530">
        <v>4.9000000000000004</v>
      </c>
      <c r="J530">
        <v>4.3</v>
      </c>
    </row>
    <row r="531" spans="1:10" x14ac:dyDescent="0.25">
      <c r="A531">
        <v>45060</v>
      </c>
      <c r="B531" t="s">
        <v>10</v>
      </c>
      <c r="C531" t="s">
        <v>13</v>
      </c>
      <c r="D531" t="s">
        <v>12</v>
      </c>
      <c r="E531">
        <v>94</v>
      </c>
      <c r="F531">
        <v>5276348.71</v>
      </c>
      <c r="G531">
        <v>2069388.17</v>
      </c>
      <c r="H531">
        <v>3206960.54</v>
      </c>
      <c r="I531">
        <v>0.64</v>
      </c>
      <c r="J531">
        <v>4.08</v>
      </c>
    </row>
    <row r="532" spans="1:10" x14ac:dyDescent="0.25">
      <c r="A532">
        <v>45559</v>
      </c>
      <c r="B532" t="s">
        <v>10</v>
      </c>
      <c r="C532" t="s">
        <v>13</v>
      </c>
      <c r="D532" t="s">
        <v>14</v>
      </c>
      <c r="E532">
        <v>283</v>
      </c>
      <c r="F532">
        <v>16059934.380000001</v>
      </c>
      <c r="G532">
        <v>5417959.3499999996</v>
      </c>
      <c r="H532">
        <v>10641975.029999999</v>
      </c>
      <c r="I532">
        <v>1.1599999999999999</v>
      </c>
      <c r="J532">
        <v>4.2300000000000004</v>
      </c>
    </row>
    <row r="533" spans="1:10" x14ac:dyDescent="0.25">
      <c r="A533">
        <v>45654</v>
      </c>
      <c r="B533" t="s">
        <v>10</v>
      </c>
      <c r="C533" t="s">
        <v>11</v>
      </c>
      <c r="D533" t="s">
        <v>17</v>
      </c>
      <c r="E533">
        <v>475</v>
      </c>
      <c r="F533">
        <v>40139673.159999996</v>
      </c>
      <c r="G533">
        <v>15123513.279999999</v>
      </c>
      <c r="H533">
        <v>25016159.870000001</v>
      </c>
      <c r="I533">
        <v>4.8</v>
      </c>
      <c r="J533">
        <v>3.97</v>
      </c>
    </row>
    <row r="534" spans="1:10" x14ac:dyDescent="0.25">
      <c r="A534">
        <v>43837</v>
      </c>
      <c r="B534" t="s">
        <v>10</v>
      </c>
      <c r="C534" t="s">
        <v>18</v>
      </c>
      <c r="D534" t="s">
        <v>14</v>
      </c>
      <c r="E534">
        <v>136</v>
      </c>
      <c r="F534">
        <v>8082075.29</v>
      </c>
      <c r="G534">
        <v>1624726.71</v>
      </c>
      <c r="H534">
        <v>6457348.5899999999</v>
      </c>
      <c r="I534">
        <v>2.95</v>
      </c>
      <c r="J534">
        <v>3.63</v>
      </c>
    </row>
    <row r="535" spans="1:10" x14ac:dyDescent="0.25">
      <c r="A535">
        <v>45351</v>
      </c>
      <c r="B535" t="s">
        <v>10</v>
      </c>
      <c r="C535" t="s">
        <v>16</v>
      </c>
      <c r="D535" t="s">
        <v>14</v>
      </c>
      <c r="E535">
        <v>108</v>
      </c>
      <c r="F535">
        <v>9489144.7799999993</v>
      </c>
      <c r="G535">
        <v>3056487.9</v>
      </c>
      <c r="H535">
        <v>6432656.8899999997</v>
      </c>
      <c r="I535">
        <v>2.23</v>
      </c>
      <c r="J535">
        <v>4.01</v>
      </c>
    </row>
    <row r="536" spans="1:10" x14ac:dyDescent="0.25">
      <c r="A536">
        <v>44940</v>
      </c>
      <c r="B536" t="s">
        <v>10</v>
      </c>
      <c r="C536" t="s">
        <v>11</v>
      </c>
      <c r="D536" t="s">
        <v>14</v>
      </c>
      <c r="E536">
        <v>117</v>
      </c>
      <c r="F536">
        <v>10402001.369999999</v>
      </c>
      <c r="G536">
        <v>3166622.09</v>
      </c>
      <c r="H536">
        <v>7235379.2699999996</v>
      </c>
      <c r="I536">
        <v>2.9</v>
      </c>
      <c r="J536">
        <v>3.75</v>
      </c>
    </row>
    <row r="537" spans="1:10" x14ac:dyDescent="0.25">
      <c r="A537">
        <v>45314</v>
      </c>
      <c r="B537" t="s">
        <v>10</v>
      </c>
      <c r="C537" t="s">
        <v>15</v>
      </c>
      <c r="D537" t="s">
        <v>17</v>
      </c>
      <c r="E537">
        <v>358</v>
      </c>
      <c r="F537">
        <v>28944567.75</v>
      </c>
      <c r="G537">
        <v>9028150.1999999993</v>
      </c>
      <c r="H537">
        <v>19916417.550000001</v>
      </c>
      <c r="I537">
        <v>1.86</v>
      </c>
      <c r="J537">
        <v>3.89</v>
      </c>
    </row>
    <row r="538" spans="1:10" x14ac:dyDescent="0.25">
      <c r="A538">
        <v>44840</v>
      </c>
      <c r="B538" t="s">
        <v>10</v>
      </c>
      <c r="C538" t="s">
        <v>13</v>
      </c>
      <c r="D538" t="s">
        <v>12</v>
      </c>
      <c r="E538">
        <v>100</v>
      </c>
      <c r="F538">
        <v>4474440.09</v>
      </c>
      <c r="G538">
        <v>1335668.3600000001</v>
      </c>
      <c r="H538">
        <v>3138771.73</v>
      </c>
      <c r="I538">
        <v>3.55</v>
      </c>
      <c r="J538">
        <v>3.85</v>
      </c>
    </row>
    <row r="539" spans="1:10" x14ac:dyDescent="0.25">
      <c r="A539">
        <v>45588</v>
      </c>
      <c r="B539" t="s">
        <v>10</v>
      </c>
      <c r="C539" t="s">
        <v>15</v>
      </c>
      <c r="D539" t="s">
        <v>12</v>
      </c>
      <c r="E539">
        <v>188</v>
      </c>
      <c r="F539">
        <v>12346709.26</v>
      </c>
      <c r="G539">
        <v>4081137.98</v>
      </c>
      <c r="H539">
        <v>8265571.29</v>
      </c>
      <c r="I539">
        <v>3.11</v>
      </c>
      <c r="J539">
        <v>3.71</v>
      </c>
    </row>
    <row r="540" spans="1:10" x14ac:dyDescent="0.25">
      <c r="A540">
        <v>44328</v>
      </c>
      <c r="B540" t="s">
        <v>10</v>
      </c>
      <c r="C540" t="s">
        <v>15</v>
      </c>
      <c r="D540" t="s">
        <v>14</v>
      </c>
      <c r="E540">
        <v>446</v>
      </c>
      <c r="F540">
        <v>30971527.899999999</v>
      </c>
      <c r="G540">
        <v>9360228.5899999999</v>
      </c>
      <c r="H540">
        <v>21611299.309999999</v>
      </c>
      <c r="I540">
        <v>2.31</v>
      </c>
      <c r="J540">
        <v>4.99</v>
      </c>
    </row>
    <row r="541" spans="1:10" x14ac:dyDescent="0.25">
      <c r="A541">
        <v>45415</v>
      </c>
      <c r="B541" t="s">
        <v>10</v>
      </c>
      <c r="C541" t="s">
        <v>13</v>
      </c>
      <c r="D541" t="s">
        <v>12</v>
      </c>
      <c r="E541">
        <v>301</v>
      </c>
      <c r="F541">
        <v>15509601.779999999</v>
      </c>
      <c r="G541">
        <v>5193163.3499999996</v>
      </c>
      <c r="H541">
        <v>10316438.43</v>
      </c>
      <c r="I541">
        <v>4.07</v>
      </c>
      <c r="J541">
        <v>4.1900000000000004</v>
      </c>
    </row>
    <row r="542" spans="1:10" x14ac:dyDescent="0.25">
      <c r="A542">
        <v>44879</v>
      </c>
      <c r="B542" t="s">
        <v>10</v>
      </c>
      <c r="C542" t="s">
        <v>16</v>
      </c>
      <c r="D542" t="s">
        <v>12</v>
      </c>
      <c r="E542">
        <v>390</v>
      </c>
      <c r="F542">
        <v>16824259.960000001</v>
      </c>
      <c r="G542">
        <v>3860973.23</v>
      </c>
      <c r="H542">
        <v>12963286.73</v>
      </c>
      <c r="I542">
        <v>3.7</v>
      </c>
      <c r="J542">
        <v>4.8600000000000003</v>
      </c>
    </row>
    <row r="543" spans="1:10" x14ac:dyDescent="0.25">
      <c r="A543">
        <v>44697</v>
      </c>
      <c r="B543" t="s">
        <v>10</v>
      </c>
      <c r="C543" t="s">
        <v>15</v>
      </c>
      <c r="D543" t="s">
        <v>14</v>
      </c>
      <c r="E543">
        <v>113</v>
      </c>
      <c r="F543">
        <v>7640585.1200000001</v>
      </c>
      <c r="G543">
        <v>2140707.6800000002</v>
      </c>
      <c r="H543">
        <v>5499877.4400000004</v>
      </c>
      <c r="I543">
        <v>2.09</v>
      </c>
      <c r="J543">
        <v>4.1900000000000004</v>
      </c>
    </row>
    <row r="544" spans="1:10" x14ac:dyDescent="0.25">
      <c r="A544">
        <v>44191</v>
      </c>
      <c r="B544" t="s">
        <v>10</v>
      </c>
      <c r="C544" t="s">
        <v>11</v>
      </c>
      <c r="D544" t="s">
        <v>14</v>
      </c>
      <c r="E544">
        <v>295</v>
      </c>
      <c r="F544">
        <v>12444834.279999999</v>
      </c>
      <c r="G544">
        <v>3010381.03</v>
      </c>
      <c r="H544">
        <v>9434453.2400000002</v>
      </c>
      <c r="I544">
        <v>1.06</v>
      </c>
      <c r="J544">
        <v>4.6900000000000004</v>
      </c>
    </row>
    <row r="545" spans="1:10" x14ac:dyDescent="0.25">
      <c r="A545">
        <v>43925</v>
      </c>
      <c r="B545" t="s">
        <v>10</v>
      </c>
      <c r="C545" t="s">
        <v>11</v>
      </c>
      <c r="D545" t="s">
        <v>17</v>
      </c>
      <c r="E545">
        <v>69</v>
      </c>
      <c r="F545">
        <v>4186437.98</v>
      </c>
      <c r="G545">
        <v>1645721.21</v>
      </c>
      <c r="H545">
        <v>2540716.77</v>
      </c>
      <c r="I545">
        <v>4.8600000000000003</v>
      </c>
      <c r="J545">
        <v>4.92</v>
      </c>
    </row>
    <row r="546" spans="1:10" x14ac:dyDescent="0.25">
      <c r="A546">
        <v>45380</v>
      </c>
      <c r="B546" t="s">
        <v>10</v>
      </c>
      <c r="C546" t="s">
        <v>18</v>
      </c>
      <c r="D546" t="s">
        <v>17</v>
      </c>
      <c r="E546">
        <v>203</v>
      </c>
      <c r="F546">
        <v>18057724.079999998</v>
      </c>
      <c r="G546">
        <v>5477242.0099999998</v>
      </c>
      <c r="H546">
        <v>12580482.07</v>
      </c>
      <c r="I546">
        <v>4.3899999999999997</v>
      </c>
      <c r="J546">
        <v>4.38</v>
      </c>
    </row>
    <row r="547" spans="1:10" x14ac:dyDescent="0.25">
      <c r="A547">
        <v>43943</v>
      </c>
      <c r="B547" t="s">
        <v>10</v>
      </c>
      <c r="C547" t="s">
        <v>13</v>
      </c>
      <c r="D547" t="s">
        <v>14</v>
      </c>
      <c r="E547">
        <v>299</v>
      </c>
      <c r="F547">
        <v>18546371.93</v>
      </c>
      <c r="G547">
        <v>5480660.0899999999</v>
      </c>
      <c r="H547">
        <v>13065711.84</v>
      </c>
      <c r="I547">
        <v>3.03</v>
      </c>
      <c r="J547">
        <v>4.16</v>
      </c>
    </row>
    <row r="548" spans="1:10" x14ac:dyDescent="0.25">
      <c r="A548">
        <v>44327</v>
      </c>
      <c r="B548" t="s">
        <v>10</v>
      </c>
      <c r="C548" t="s">
        <v>15</v>
      </c>
      <c r="D548" t="s">
        <v>14</v>
      </c>
      <c r="E548">
        <v>460</v>
      </c>
      <c r="F548">
        <v>29035269.190000001</v>
      </c>
      <c r="G548">
        <v>8755147.1099999994</v>
      </c>
      <c r="H548">
        <v>20280122.079999998</v>
      </c>
      <c r="I548">
        <v>3.1</v>
      </c>
      <c r="J548">
        <v>4.8</v>
      </c>
    </row>
    <row r="549" spans="1:10" x14ac:dyDescent="0.25">
      <c r="A549">
        <v>43950</v>
      </c>
      <c r="B549" t="s">
        <v>10</v>
      </c>
      <c r="C549" t="s">
        <v>18</v>
      </c>
      <c r="D549" t="s">
        <v>17</v>
      </c>
      <c r="E549">
        <v>268</v>
      </c>
      <c r="F549">
        <v>15387791.23</v>
      </c>
      <c r="G549">
        <v>3608378.81</v>
      </c>
      <c r="H549">
        <v>11779412.42</v>
      </c>
      <c r="I549">
        <v>3.94</v>
      </c>
      <c r="J549">
        <v>4.3600000000000003</v>
      </c>
    </row>
    <row r="550" spans="1:10" x14ac:dyDescent="0.25">
      <c r="A550">
        <v>45157</v>
      </c>
      <c r="B550" t="s">
        <v>10</v>
      </c>
      <c r="C550" t="s">
        <v>13</v>
      </c>
      <c r="D550" t="s">
        <v>12</v>
      </c>
      <c r="E550">
        <v>414</v>
      </c>
      <c r="F550">
        <v>25339526.649999999</v>
      </c>
      <c r="G550">
        <v>5087553.8499999996</v>
      </c>
      <c r="H550">
        <v>20251972.789999999</v>
      </c>
      <c r="I550">
        <v>0.77</v>
      </c>
      <c r="J550">
        <v>3.5</v>
      </c>
    </row>
    <row r="551" spans="1:10" x14ac:dyDescent="0.25">
      <c r="A551">
        <v>43923</v>
      </c>
      <c r="B551" t="s">
        <v>10</v>
      </c>
      <c r="C551" t="s">
        <v>16</v>
      </c>
      <c r="D551" t="s">
        <v>12</v>
      </c>
      <c r="E551">
        <v>386</v>
      </c>
      <c r="F551">
        <v>31491148.77</v>
      </c>
      <c r="G551">
        <v>6971572.21</v>
      </c>
      <c r="H551">
        <v>24519576.57</v>
      </c>
      <c r="I551">
        <v>0.78</v>
      </c>
      <c r="J551">
        <v>4.83</v>
      </c>
    </row>
    <row r="552" spans="1:10" x14ac:dyDescent="0.25">
      <c r="A552">
        <v>44012</v>
      </c>
      <c r="B552" t="s">
        <v>10</v>
      </c>
      <c r="C552" t="s">
        <v>15</v>
      </c>
      <c r="D552" t="s">
        <v>14</v>
      </c>
      <c r="E552">
        <v>492</v>
      </c>
      <c r="F552">
        <v>18053178.739999998</v>
      </c>
      <c r="G552">
        <v>3713419.56</v>
      </c>
      <c r="H552">
        <v>14339759.18</v>
      </c>
      <c r="I552">
        <v>1.49</v>
      </c>
      <c r="J552">
        <v>4.5999999999999996</v>
      </c>
    </row>
    <row r="553" spans="1:10" x14ac:dyDescent="0.25">
      <c r="A553">
        <v>43980</v>
      </c>
      <c r="B553" t="s">
        <v>10</v>
      </c>
      <c r="C553" t="s">
        <v>18</v>
      </c>
      <c r="D553" t="s">
        <v>12</v>
      </c>
      <c r="E553">
        <v>163</v>
      </c>
      <c r="F553">
        <v>9979901.6899999995</v>
      </c>
      <c r="G553">
        <v>2619281</v>
      </c>
      <c r="H553">
        <v>7360620.6900000004</v>
      </c>
      <c r="I553">
        <v>3.75</v>
      </c>
      <c r="J553">
        <v>4.54</v>
      </c>
    </row>
    <row r="554" spans="1:10" x14ac:dyDescent="0.25">
      <c r="A554">
        <v>44016</v>
      </c>
      <c r="B554" t="s">
        <v>10</v>
      </c>
      <c r="C554" t="s">
        <v>16</v>
      </c>
      <c r="D554" t="s">
        <v>12</v>
      </c>
      <c r="E554">
        <v>347</v>
      </c>
      <c r="F554">
        <v>24217104.34</v>
      </c>
      <c r="G554">
        <v>6565400.9500000002</v>
      </c>
      <c r="H554">
        <v>17651703.390000001</v>
      </c>
      <c r="I554">
        <v>4.1900000000000004</v>
      </c>
      <c r="J554">
        <v>4</v>
      </c>
    </row>
    <row r="555" spans="1:10" x14ac:dyDescent="0.25">
      <c r="A555">
        <v>43894</v>
      </c>
      <c r="B555" t="s">
        <v>10</v>
      </c>
      <c r="C555" t="s">
        <v>11</v>
      </c>
      <c r="D555" t="s">
        <v>12</v>
      </c>
      <c r="E555">
        <v>84</v>
      </c>
      <c r="F555">
        <v>3913456.93</v>
      </c>
      <c r="G555">
        <v>815996.46</v>
      </c>
      <c r="H555">
        <v>3097460.48</v>
      </c>
      <c r="I555">
        <v>0.54</v>
      </c>
      <c r="J555">
        <v>5</v>
      </c>
    </row>
    <row r="556" spans="1:10" x14ac:dyDescent="0.25">
      <c r="A556">
        <v>45602</v>
      </c>
      <c r="B556" t="s">
        <v>10</v>
      </c>
      <c r="C556" t="s">
        <v>15</v>
      </c>
      <c r="D556" t="s">
        <v>17</v>
      </c>
      <c r="E556">
        <v>313</v>
      </c>
      <c r="F556">
        <v>28077876.359999999</v>
      </c>
      <c r="G556">
        <v>10726803.630000001</v>
      </c>
      <c r="H556">
        <v>17351072.73</v>
      </c>
      <c r="I556">
        <v>0.51</v>
      </c>
      <c r="J556">
        <v>3.57</v>
      </c>
    </row>
    <row r="557" spans="1:10" x14ac:dyDescent="0.25">
      <c r="A557">
        <v>44010</v>
      </c>
      <c r="B557" t="s">
        <v>10</v>
      </c>
      <c r="C557" t="s">
        <v>16</v>
      </c>
      <c r="D557" t="s">
        <v>12</v>
      </c>
      <c r="E557">
        <v>341</v>
      </c>
      <c r="F557">
        <v>27579381.920000002</v>
      </c>
      <c r="G557">
        <v>6947377.96</v>
      </c>
      <c r="H557">
        <v>20632003.960000001</v>
      </c>
      <c r="I557">
        <v>1.1399999999999999</v>
      </c>
      <c r="J557">
        <v>4.63</v>
      </c>
    </row>
    <row r="558" spans="1:10" x14ac:dyDescent="0.25">
      <c r="A558">
        <v>43958</v>
      </c>
      <c r="B558" t="s">
        <v>10</v>
      </c>
      <c r="C558" t="s">
        <v>15</v>
      </c>
      <c r="D558" t="s">
        <v>17</v>
      </c>
      <c r="E558">
        <v>438</v>
      </c>
      <c r="F558">
        <v>35130212.659999996</v>
      </c>
      <c r="G558">
        <v>8366729.6900000004</v>
      </c>
      <c r="H558">
        <v>26763482.969999999</v>
      </c>
      <c r="I558">
        <v>4.4800000000000004</v>
      </c>
      <c r="J558">
        <v>4.55</v>
      </c>
    </row>
    <row r="559" spans="1:10" x14ac:dyDescent="0.25">
      <c r="A559">
        <v>45427</v>
      </c>
      <c r="B559" t="s">
        <v>10</v>
      </c>
      <c r="C559" t="s">
        <v>16</v>
      </c>
      <c r="D559" t="s">
        <v>12</v>
      </c>
      <c r="E559">
        <v>240</v>
      </c>
      <c r="F559">
        <v>9569582.2200000007</v>
      </c>
      <c r="G559">
        <v>2894554.01</v>
      </c>
      <c r="H559">
        <v>6675028.2199999997</v>
      </c>
      <c r="I559">
        <v>0.85</v>
      </c>
      <c r="J559">
        <v>4.1100000000000003</v>
      </c>
    </row>
    <row r="560" spans="1:10" x14ac:dyDescent="0.25">
      <c r="A560">
        <v>44521</v>
      </c>
      <c r="B560" t="s">
        <v>10</v>
      </c>
      <c r="C560" t="s">
        <v>15</v>
      </c>
      <c r="D560" t="s">
        <v>17</v>
      </c>
      <c r="E560">
        <v>463</v>
      </c>
      <c r="F560">
        <v>16828852.989999998</v>
      </c>
      <c r="G560">
        <v>5701153.1299999999</v>
      </c>
      <c r="H560">
        <v>11127699.85</v>
      </c>
      <c r="I560">
        <v>2.97</v>
      </c>
      <c r="J560">
        <v>4.45</v>
      </c>
    </row>
    <row r="561" spans="1:10" x14ac:dyDescent="0.25">
      <c r="A561">
        <v>44919</v>
      </c>
      <c r="B561" t="s">
        <v>10</v>
      </c>
      <c r="C561" t="s">
        <v>18</v>
      </c>
      <c r="D561" t="s">
        <v>17</v>
      </c>
      <c r="E561">
        <v>222</v>
      </c>
      <c r="F561">
        <v>16289604.130000001</v>
      </c>
      <c r="G561">
        <v>6496004.9900000002</v>
      </c>
      <c r="H561">
        <v>9793599.1400000006</v>
      </c>
      <c r="I561">
        <v>0.95</v>
      </c>
      <c r="J561">
        <v>4.8</v>
      </c>
    </row>
    <row r="562" spans="1:10" x14ac:dyDescent="0.25">
      <c r="A562">
        <v>43995</v>
      </c>
      <c r="B562" t="s">
        <v>10</v>
      </c>
      <c r="C562" t="s">
        <v>15</v>
      </c>
      <c r="D562" t="s">
        <v>14</v>
      </c>
      <c r="E562">
        <v>115</v>
      </c>
      <c r="F562">
        <v>4511152.63</v>
      </c>
      <c r="G562">
        <v>1352782.55</v>
      </c>
      <c r="H562">
        <v>3158370.07</v>
      </c>
      <c r="I562">
        <v>4.08</v>
      </c>
      <c r="J562">
        <v>4.5599999999999996</v>
      </c>
    </row>
    <row r="563" spans="1:10" x14ac:dyDescent="0.25">
      <c r="A563">
        <v>44408</v>
      </c>
      <c r="B563" t="s">
        <v>10</v>
      </c>
      <c r="C563" t="s">
        <v>15</v>
      </c>
      <c r="D563" t="s">
        <v>17</v>
      </c>
      <c r="E563">
        <v>237</v>
      </c>
      <c r="F563">
        <v>10187636.550000001</v>
      </c>
      <c r="G563">
        <v>2628185.9900000002</v>
      </c>
      <c r="H563">
        <v>7559450.5599999996</v>
      </c>
      <c r="I563">
        <v>3.5</v>
      </c>
      <c r="J563">
        <v>3.82</v>
      </c>
    </row>
    <row r="564" spans="1:10" x14ac:dyDescent="0.25">
      <c r="A564">
        <v>45028</v>
      </c>
      <c r="B564" t="s">
        <v>10</v>
      </c>
      <c r="C564" t="s">
        <v>16</v>
      </c>
      <c r="D564" t="s">
        <v>17</v>
      </c>
      <c r="E564">
        <v>339</v>
      </c>
      <c r="F564">
        <v>17104328.879999999</v>
      </c>
      <c r="G564">
        <v>4093124.93</v>
      </c>
      <c r="H564">
        <v>13011203.949999999</v>
      </c>
      <c r="I564">
        <v>4.68</v>
      </c>
      <c r="J564">
        <v>4.1100000000000003</v>
      </c>
    </row>
    <row r="565" spans="1:10" x14ac:dyDescent="0.25">
      <c r="A565">
        <v>45194</v>
      </c>
      <c r="B565" t="s">
        <v>10</v>
      </c>
      <c r="C565" t="s">
        <v>16</v>
      </c>
      <c r="D565" t="s">
        <v>12</v>
      </c>
      <c r="E565">
        <v>76</v>
      </c>
      <c r="F565">
        <v>2752072.53</v>
      </c>
      <c r="G565">
        <v>779795.63</v>
      </c>
      <c r="H565">
        <v>1972276.9</v>
      </c>
      <c r="I565">
        <v>4.29</v>
      </c>
      <c r="J565">
        <v>4.32</v>
      </c>
    </row>
    <row r="566" spans="1:10" x14ac:dyDescent="0.25">
      <c r="A566">
        <v>45140</v>
      </c>
      <c r="B566" t="s">
        <v>10</v>
      </c>
      <c r="C566" t="s">
        <v>11</v>
      </c>
      <c r="D566" t="s">
        <v>17</v>
      </c>
      <c r="E566">
        <v>207</v>
      </c>
      <c r="F566">
        <v>18390700</v>
      </c>
      <c r="G566">
        <v>5136547.9000000004</v>
      </c>
      <c r="H566">
        <v>13254152.09</v>
      </c>
      <c r="I566">
        <v>2.11</v>
      </c>
      <c r="J566">
        <v>4.47</v>
      </c>
    </row>
    <row r="567" spans="1:10" x14ac:dyDescent="0.25">
      <c r="A567">
        <v>44766</v>
      </c>
      <c r="B567" t="s">
        <v>10</v>
      </c>
      <c r="C567" t="s">
        <v>15</v>
      </c>
      <c r="D567" t="s">
        <v>14</v>
      </c>
      <c r="E567">
        <v>263</v>
      </c>
      <c r="F567">
        <v>11922146.859999999</v>
      </c>
      <c r="G567">
        <v>3052566.86</v>
      </c>
      <c r="H567">
        <v>8869580</v>
      </c>
      <c r="I567">
        <v>4.4000000000000004</v>
      </c>
      <c r="J567">
        <v>4.18</v>
      </c>
    </row>
    <row r="568" spans="1:10" x14ac:dyDescent="0.25">
      <c r="A568">
        <v>43944</v>
      </c>
      <c r="B568" t="s">
        <v>10</v>
      </c>
      <c r="C568" t="s">
        <v>16</v>
      </c>
      <c r="D568" t="s">
        <v>14</v>
      </c>
      <c r="E568">
        <v>103</v>
      </c>
      <c r="F568">
        <v>4011609.94</v>
      </c>
      <c r="G568">
        <v>1056965.17</v>
      </c>
      <c r="H568">
        <v>2954644.77</v>
      </c>
      <c r="I568">
        <v>1.59</v>
      </c>
      <c r="J568">
        <v>4.57</v>
      </c>
    </row>
    <row r="569" spans="1:10" x14ac:dyDescent="0.25">
      <c r="A569">
        <v>44415</v>
      </c>
      <c r="B569" t="s">
        <v>10</v>
      </c>
      <c r="C569" t="s">
        <v>18</v>
      </c>
      <c r="D569" t="s">
        <v>12</v>
      </c>
      <c r="E569">
        <v>102</v>
      </c>
      <c r="F569">
        <v>8080207.2300000004</v>
      </c>
      <c r="G569">
        <v>2339218.4300000002</v>
      </c>
      <c r="H569">
        <v>5740988.7999999998</v>
      </c>
      <c r="I569">
        <v>2.84</v>
      </c>
      <c r="J569">
        <v>3.71</v>
      </c>
    </row>
    <row r="570" spans="1:10" x14ac:dyDescent="0.25">
      <c r="A570">
        <v>44332</v>
      </c>
      <c r="B570" t="s">
        <v>10</v>
      </c>
      <c r="C570" t="s">
        <v>18</v>
      </c>
      <c r="D570" t="s">
        <v>17</v>
      </c>
      <c r="E570">
        <v>313</v>
      </c>
      <c r="F570">
        <v>15627312.48</v>
      </c>
      <c r="G570">
        <v>4698522.08</v>
      </c>
      <c r="H570">
        <v>10928790.41</v>
      </c>
      <c r="I570">
        <v>1.78</v>
      </c>
      <c r="J570">
        <v>3.7</v>
      </c>
    </row>
    <row r="571" spans="1:10" x14ac:dyDescent="0.25">
      <c r="A571">
        <v>44289</v>
      </c>
      <c r="B571" t="s">
        <v>10</v>
      </c>
      <c r="C571" t="s">
        <v>15</v>
      </c>
      <c r="D571" t="s">
        <v>14</v>
      </c>
      <c r="E571">
        <v>403</v>
      </c>
      <c r="F571">
        <v>30101958.219999999</v>
      </c>
      <c r="G571">
        <v>10405963.710000001</v>
      </c>
      <c r="H571">
        <v>19695994.5</v>
      </c>
      <c r="I571">
        <v>2.31</v>
      </c>
      <c r="J571">
        <v>3.65</v>
      </c>
    </row>
    <row r="572" spans="1:10" x14ac:dyDescent="0.25">
      <c r="A572">
        <v>43863</v>
      </c>
      <c r="B572" t="s">
        <v>10</v>
      </c>
      <c r="C572" t="s">
        <v>13</v>
      </c>
      <c r="D572" t="s">
        <v>17</v>
      </c>
      <c r="E572">
        <v>290</v>
      </c>
      <c r="F572">
        <v>18302509.77</v>
      </c>
      <c r="G572">
        <v>7149502.4100000001</v>
      </c>
      <c r="H572">
        <v>11153007.369999999</v>
      </c>
      <c r="I572">
        <v>1.74</v>
      </c>
      <c r="J572">
        <v>4.5599999999999996</v>
      </c>
    </row>
    <row r="573" spans="1:10" x14ac:dyDescent="0.25">
      <c r="A573">
        <v>43970</v>
      </c>
      <c r="B573" t="s">
        <v>10</v>
      </c>
      <c r="C573" t="s">
        <v>16</v>
      </c>
      <c r="D573" t="s">
        <v>14</v>
      </c>
      <c r="E573">
        <v>392</v>
      </c>
      <c r="F573">
        <v>26295226.120000001</v>
      </c>
      <c r="G573">
        <v>8062284.6200000001</v>
      </c>
      <c r="H573">
        <v>18232941.5</v>
      </c>
      <c r="I573">
        <v>2.0299999999999998</v>
      </c>
      <c r="J573">
        <v>4.91</v>
      </c>
    </row>
    <row r="574" spans="1:10" x14ac:dyDescent="0.25">
      <c r="A574">
        <v>44464</v>
      </c>
      <c r="B574" t="s">
        <v>10</v>
      </c>
      <c r="C574" t="s">
        <v>13</v>
      </c>
      <c r="D574" t="s">
        <v>17</v>
      </c>
      <c r="E574">
        <v>369</v>
      </c>
      <c r="F574">
        <v>19333702.690000001</v>
      </c>
      <c r="G574">
        <v>7339489.6500000004</v>
      </c>
      <c r="H574">
        <v>11994213.039999999</v>
      </c>
      <c r="I574">
        <v>2.12</v>
      </c>
      <c r="J574">
        <v>3.91</v>
      </c>
    </row>
    <row r="575" spans="1:10" x14ac:dyDescent="0.25">
      <c r="A575">
        <v>45314</v>
      </c>
      <c r="B575" t="s">
        <v>10</v>
      </c>
      <c r="C575" t="s">
        <v>11</v>
      </c>
      <c r="D575" t="s">
        <v>17</v>
      </c>
      <c r="E575">
        <v>460</v>
      </c>
      <c r="F575">
        <v>38023663.939999998</v>
      </c>
      <c r="G575">
        <v>10861009.68</v>
      </c>
      <c r="H575">
        <v>27162654.260000002</v>
      </c>
      <c r="I575">
        <v>4.58</v>
      </c>
      <c r="J575">
        <v>4.91</v>
      </c>
    </row>
    <row r="576" spans="1:10" x14ac:dyDescent="0.25">
      <c r="A576">
        <v>44302</v>
      </c>
      <c r="B576" t="s">
        <v>10</v>
      </c>
      <c r="C576" t="s">
        <v>16</v>
      </c>
      <c r="D576" t="s">
        <v>12</v>
      </c>
      <c r="E576">
        <v>132</v>
      </c>
      <c r="F576">
        <v>11226187.220000001</v>
      </c>
      <c r="G576">
        <v>3643306.27</v>
      </c>
      <c r="H576">
        <v>7582880.96</v>
      </c>
      <c r="I576">
        <v>4.84</v>
      </c>
      <c r="J576">
        <v>3.63</v>
      </c>
    </row>
    <row r="577" spans="1:10" x14ac:dyDescent="0.25">
      <c r="A577">
        <v>44301</v>
      </c>
      <c r="B577" t="s">
        <v>10</v>
      </c>
      <c r="C577" t="s">
        <v>18</v>
      </c>
      <c r="D577" t="s">
        <v>14</v>
      </c>
      <c r="E577">
        <v>235</v>
      </c>
      <c r="F577">
        <v>8771620.8599999994</v>
      </c>
      <c r="G577">
        <v>2518105.9500000002</v>
      </c>
      <c r="H577">
        <v>6253514.9100000001</v>
      </c>
      <c r="I577">
        <v>4.6900000000000004</v>
      </c>
      <c r="J577">
        <v>4.7699999999999996</v>
      </c>
    </row>
    <row r="578" spans="1:10" x14ac:dyDescent="0.25">
      <c r="A578">
        <v>45319</v>
      </c>
      <c r="B578" t="s">
        <v>10</v>
      </c>
      <c r="C578" t="s">
        <v>13</v>
      </c>
      <c r="D578" t="s">
        <v>12</v>
      </c>
      <c r="E578">
        <v>488</v>
      </c>
      <c r="F578">
        <v>17197110.16</v>
      </c>
      <c r="G578">
        <v>6304621.9299999997</v>
      </c>
      <c r="H578">
        <v>10892488.23</v>
      </c>
      <c r="I578">
        <v>3.71</v>
      </c>
      <c r="J578">
        <v>4.5</v>
      </c>
    </row>
    <row r="579" spans="1:10" x14ac:dyDescent="0.25">
      <c r="A579">
        <v>45252</v>
      </c>
      <c r="B579" t="s">
        <v>10</v>
      </c>
      <c r="C579" t="s">
        <v>18</v>
      </c>
      <c r="D579" t="s">
        <v>17</v>
      </c>
      <c r="E579">
        <v>466</v>
      </c>
      <c r="F579">
        <v>23446402.030000001</v>
      </c>
      <c r="G579">
        <v>8770827.0199999996</v>
      </c>
      <c r="H579">
        <v>14675575.01</v>
      </c>
      <c r="I579">
        <v>3.54</v>
      </c>
      <c r="J579">
        <v>4.92</v>
      </c>
    </row>
    <row r="580" spans="1:10" x14ac:dyDescent="0.25">
      <c r="A580">
        <v>43942</v>
      </c>
      <c r="B580" t="s">
        <v>10</v>
      </c>
      <c r="C580" t="s">
        <v>15</v>
      </c>
      <c r="D580" t="s">
        <v>17</v>
      </c>
      <c r="E580">
        <v>250</v>
      </c>
      <c r="F580">
        <v>10198767.68</v>
      </c>
      <c r="G580">
        <v>2484779.08</v>
      </c>
      <c r="H580">
        <v>7713988.5999999996</v>
      </c>
      <c r="I580">
        <v>3.4</v>
      </c>
      <c r="J580">
        <v>3.57</v>
      </c>
    </row>
    <row r="581" spans="1:10" x14ac:dyDescent="0.25">
      <c r="A581">
        <v>44414</v>
      </c>
      <c r="B581" t="s">
        <v>10</v>
      </c>
      <c r="C581" t="s">
        <v>15</v>
      </c>
      <c r="D581" t="s">
        <v>14</v>
      </c>
      <c r="E581">
        <v>150</v>
      </c>
      <c r="F581">
        <v>9363209.0999999996</v>
      </c>
      <c r="G581">
        <v>3024091.6</v>
      </c>
      <c r="H581">
        <v>6339117.5</v>
      </c>
      <c r="I581">
        <v>4.4000000000000004</v>
      </c>
      <c r="J581">
        <v>4.21</v>
      </c>
    </row>
    <row r="582" spans="1:10" x14ac:dyDescent="0.25">
      <c r="A582">
        <v>44788</v>
      </c>
      <c r="B582" t="s">
        <v>10</v>
      </c>
      <c r="C582" t="s">
        <v>13</v>
      </c>
      <c r="D582" t="s">
        <v>17</v>
      </c>
      <c r="E582">
        <v>195</v>
      </c>
      <c r="F582">
        <v>13629198.960000001</v>
      </c>
      <c r="G582">
        <v>3350655.1</v>
      </c>
      <c r="H582">
        <v>10278543.85</v>
      </c>
      <c r="I582">
        <v>0.51</v>
      </c>
      <c r="J582">
        <v>4.79</v>
      </c>
    </row>
    <row r="583" spans="1:10" x14ac:dyDescent="0.25">
      <c r="A583">
        <v>45481</v>
      </c>
      <c r="B583" t="s">
        <v>10</v>
      </c>
      <c r="C583" t="s">
        <v>18</v>
      </c>
      <c r="D583" t="s">
        <v>17</v>
      </c>
      <c r="E583">
        <v>62</v>
      </c>
      <c r="F583">
        <v>3590280.11</v>
      </c>
      <c r="G583">
        <v>845740.83</v>
      </c>
      <c r="H583">
        <v>2744539.29</v>
      </c>
      <c r="I583">
        <v>4.33</v>
      </c>
      <c r="J583">
        <v>3.82</v>
      </c>
    </row>
    <row r="584" spans="1:10" x14ac:dyDescent="0.25">
      <c r="A584">
        <v>45171</v>
      </c>
      <c r="B584" t="s">
        <v>10</v>
      </c>
      <c r="C584" t="s">
        <v>16</v>
      </c>
      <c r="D584" t="s">
        <v>17</v>
      </c>
      <c r="E584">
        <v>378</v>
      </c>
      <c r="F584">
        <v>31312376.440000001</v>
      </c>
      <c r="G584">
        <v>7950235.1699999999</v>
      </c>
      <c r="H584">
        <v>23362141.27</v>
      </c>
      <c r="I584">
        <v>3.41</v>
      </c>
      <c r="J584">
        <v>4.6900000000000004</v>
      </c>
    </row>
    <row r="585" spans="1:10" x14ac:dyDescent="0.25">
      <c r="A585">
        <v>45506</v>
      </c>
      <c r="B585" t="s">
        <v>10</v>
      </c>
      <c r="C585" t="s">
        <v>16</v>
      </c>
      <c r="D585" t="s">
        <v>14</v>
      </c>
      <c r="E585">
        <v>392</v>
      </c>
      <c r="F585">
        <v>26823135.760000002</v>
      </c>
      <c r="G585">
        <v>9145071.9800000004</v>
      </c>
      <c r="H585">
        <v>17678063.780000001</v>
      </c>
      <c r="I585">
        <v>1.1100000000000001</v>
      </c>
      <c r="J585">
        <v>4.4800000000000004</v>
      </c>
    </row>
    <row r="586" spans="1:10" x14ac:dyDescent="0.25">
      <c r="A586">
        <v>45159</v>
      </c>
      <c r="B586" t="s">
        <v>10</v>
      </c>
      <c r="C586" t="s">
        <v>13</v>
      </c>
      <c r="D586" t="s">
        <v>17</v>
      </c>
      <c r="E586">
        <v>323</v>
      </c>
      <c r="F586">
        <v>24399520.219999999</v>
      </c>
      <c r="G586">
        <v>5003893.57</v>
      </c>
      <c r="H586">
        <v>19395626.649999999</v>
      </c>
      <c r="I586">
        <v>0.73</v>
      </c>
      <c r="J586">
        <v>4.5199999999999996</v>
      </c>
    </row>
    <row r="587" spans="1:10" x14ac:dyDescent="0.25">
      <c r="A587">
        <v>45499</v>
      </c>
      <c r="B587" t="s">
        <v>10</v>
      </c>
      <c r="C587" t="s">
        <v>18</v>
      </c>
      <c r="D587" t="s">
        <v>17</v>
      </c>
      <c r="E587">
        <v>359</v>
      </c>
      <c r="F587">
        <v>16498505.6</v>
      </c>
      <c r="G587">
        <v>3661958.8</v>
      </c>
      <c r="H587">
        <v>12836546.800000001</v>
      </c>
      <c r="I587">
        <v>1.79</v>
      </c>
      <c r="J587">
        <v>4.05</v>
      </c>
    </row>
    <row r="588" spans="1:10" x14ac:dyDescent="0.25">
      <c r="A588">
        <v>44068</v>
      </c>
      <c r="B588" t="s">
        <v>10</v>
      </c>
      <c r="C588" t="s">
        <v>15</v>
      </c>
      <c r="D588" t="s">
        <v>17</v>
      </c>
      <c r="E588">
        <v>362</v>
      </c>
      <c r="F588">
        <v>29062090.75</v>
      </c>
      <c r="G588">
        <v>7079436.1699999999</v>
      </c>
      <c r="H588">
        <v>21982654.57</v>
      </c>
      <c r="I588">
        <v>2.95</v>
      </c>
      <c r="J588">
        <v>3.65</v>
      </c>
    </row>
    <row r="589" spans="1:10" x14ac:dyDescent="0.25">
      <c r="A589">
        <v>44084</v>
      </c>
      <c r="B589" t="s">
        <v>10</v>
      </c>
      <c r="C589" t="s">
        <v>16</v>
      </c>
      <c r="D589" t="s">
        <v>12</v>
      </c>
      <c r="E589">
        <v>123</v>
      </c>
      <c r="F589">
        <v>4404400.7699999996</v>
      </c>
      <c r="G589">
        <v>1427823.89</v>
      </c>
      <c r="H589">
        <v>2976576.89</v>
      </c>
      <c r="I589">
        <v>2.02</v>
      </c>
      <c r="J589">
        <v>3.53</v>
      </c>
    </row>
    <row r="590" spans="1:10" x14ac:dyDescent="0.25">
      <c r="A590">
        <v>43863</v>
      </c>
      <c r="B590" t="s">
        <v>10</v>
      </c>
      <c r="C590" t="s">
        <v>15</v>
      </c>
      <c r="D590" t="s">
        <v>14</v>
      </c>
      <c r="E590">
        <v>405</v>
      </c>
      <c r="F590">
        <v>35310543.670000002</v>
      </c>
      <c r="G590">
        <v>13902313.15</v>
      </c>
      <c r="H590">
        <v>21408230.52</v>
      </c>
      <c r="I590">
        <v>3.81</v>
      </c>
      <c r="J590">
        <v>4</v>
      </c>
    </row>
    <row r="591" spans="1:10" x14ac:dyDescent="0.25">
      <c r="A591">
        <v>44920</v>
      </c>
      <c r="B591" t="s">
        <v>10</v>
      </c>
      <c r="C591" t="s">
        <v>13</v>
      </c>
      <c r="D591" t="s">
        <v>17</v>
      </c>
      <c r="E591">
        <v>317</v>
      </c>
      <c r="F591">
        <v>21471120.75</v>
      </c>
      <c r="G591">
        <v>8545833.1899999995</v>
      </c>
      <c r="H591">
        <v>12925287.560000001</v>
      </c>
      <c r="I591">
        <v>2.59</v>
      </c>
      <c r="J591">
        <v>4.95</v>
      </c>
    </row>
    <row r="592" spans="1:10" x14ac:dyDescent="0.25">
      <c r="A592">
        <v>43960</v>
      </c>
      <c r="B592" t="s">
        <v>10</v>
      </c>
      <c r="C592" t="s">
        <v>15</v>
      </c>
      <c r="D592" t="s">
        <v>12</v>
      </c>
      <c r="E592">
        <v>237</v>
      </c>
      <c r="F592">
        <v>13478336.199999999</v>
      </c>
      <c r="G592">
        <v>3336403</v>
      </c>
      <c r="H592">
        <v>10141933.199999999</v>
      </c>
      <c r="I592">
        <v>2.5499999999999998</v>
      </c>
      <c r="J592">
        <v>3.9</v>
      </c>
    </row>
    <row r="593" spans="1:10" x14ac:dyDescent="0.25">
      <c r="A593">
        <v>44689</v>
      </c>
      <c r="B593" t="s">
        <v>10</v>
      </c>
      <c r="C593" t="s">
        <v>13</v>
      </c>
      <c r="D593" t="s">
        <v>12</v>
      </c>
      <c r="E593">
        <v>153</v>
      </c>
      <c r="F593">
        <v>6461726.2199999997</v>
      </c>
      <c r="G593">
        <v>1476983.18</v>
      </c>
      <c r="H593">
        <v>4984743.04</v>
      </c>
      <c r="I593">
        <v>3.09</v>
      </c>
      <c r="J593">
        <v>3.61</v>
      </c>
    </row>
    <row r="594" spans="1:10" x14ac:dyDescent="0.25">
      <c r="A594">
        <v>44020</v>
      </c>
      <c r="B594" t="s">
        <v>10</v>
      </c>
      <c r="C594" t="s">
        <v>13</v>
      </c>
      <c r="D594" t="s">
        <v>17</v>
      </c>
      <c r="E594">
        <v>224</v>
      </c>
      <c r="F594">
        <v>17784156.219999999</v>
      </c>
      <c r="G594">
        <v>6686105.6600000001</v>
      </c>
      <c r="H594">
        <v>11098050.560000001</v>
      </c>
      <c r="I594">
        <v>1.7</v>
      </c>
      <c r="J594">
        <v>3.53</v>
      </c>
    </row>
    <row r="595" spans="1:10" x14ac:dyDescent="0.25">
      <c r="A595">
        <v>45592</v>
      </c>
      <c r="B595" t="s">
        <v>10</v>
      </c>
      <c r="C595" t="s">
        <v>11</v>
      </c>
      <c r="D595" t="s">
        <v>17</v>
      </c>
      <c r="E595">
        <v>202</v>
      </c>
      <c r="F595">
        <v>15659606.220000001</v>
      </c>
      <c r="G595">
        <v>4641630.91</v>
      </c>
      <c r="H595">
        <v>11017975.310000001</v>
      </c>
      <c r="I595">
        <v>2.0699999999999998</v>
      </c>
      <c r="J595">
        <v>4.0599999999999996</v>
      </c>
    </row>
    <row r="596" spans="1:10" x14ac:dyDescent="0.25">
      <c r="A596">
        <v>45300</v>
      </c>
      <c r="B596" t="s">
        <v>10</v>
      </c>
      <c r="C596" t="s">
        <v>16</v>
      </c>
      <c r="D596" t="s">
        <v>14</v>
      </c>
      <c r="E596">
        <v>65</v>
      </c>
      <c r="F596">
        <v>4305930.7300000004</v>
      </c>
      <c r="G596">
        <v>1151399.55</v>
      </c>
      <c r="H596">
        <v>3154531.18</v>
      </c>
      <c r="I596">
        <v>2.97</v>
      </c>
      <c r="J596">
        <v>4.82</v>
      </c>
    </row>
    <row r="597" spans="1:10" x14ac:dyDescent="0.25">
      <c r="A597">
        <v>44300</v>
      </c>
      <c r="B597" t="s">
        <v>10</v>
      </c>
      <c r="C597" t="s">
        <v>18</v>
      </c>
      <c r="D597" t="s">
        <v>12</v>
      </c>
      <c r="E597">
        <v>356</v>
      </c>
      <c r="F597">
        <v>12921989.41</v>
      </c>
      <c r="G597">
        <v>2846557.64</v>
      </c>
      <c r="H597">
        <v>10075431.77</v>
      </c>
      <c r="I597">
        <v>4.0199999999999996</v>
      </c>
      <c r="J597">
        <v>4.67</v>
      </c>
    </row>
    <row r="598" spans="1:10" x14ac:dyDescent="0.25">
      <c r="A598">
        <v>44734</v>
      </c>
      <c r="B598" t="s">
        <v>10</v>
      </c>
      <c r="C598" t="s">
        <v>16</v>
      </c>
      <c r="D598" t="s">
        <v>14</v>
      </c>
      <c r="E598">
        <v>94</v>
      </c>
      <c r="F598">
        <v>5347687.3600000003</v>
      </c>
      <c r="G598">
        <v>1815095.22</v>
      </c>
      <c r="H598">
        <v>3532592.14</v>
      </c>
      <c r="I598">
        <v>0.8</v>
      </c>
      <c r="J598">
        <v>3.84</v>
      </c>
    </row>
    <row r="599" spans="1:10" x14ac:dyDescent="0.25">
      <c r="A599">
        <v>45430</v>
      </c>
      <c r="B599" t="s">
        <v>10</v>
      </c>
      <c r="C599" t="s">
        <v>13</v>
      </c>
      <c r="D599" t="s">
        <v>12</v>
      </c>
      <c r="E599">
        <v>147</v>
      </c>
      <c r="F599">
        <v>10022614.25</v>
      </c>
      <c r="G599">
        <v>3060102.82</v>
      </c>
      <c r="H599">
        <v>6962511.4299999997</v>
      </c>
      <c r="I599">
        <v>0.77</v>
      </c>
      <c r="J599">
        <v>4.51</v>
      </c>
    </row>
    <row r="600" spans="1:10" x14ac:dyDescent="0.25">
      <c r="A600">
        <v>45243</v>
      </c>
      <c r="B600" t="s">
        <v>10</v>
      </c>
      <c r="C600" t="s">
        <v>15</v>
      </c>
      <c r="D600" t="s">
        <v>17</v>
      </c>
      <c r="E600">
        <v>53</v>
      </c>
      <c r="F600">
        <v>4646957.2699999996</v>
      </c>
      <c r="G600">
        <v>982622.98</v>
      </c>
      <c r="H600">
        <v>3664334.29</v>
      </c>
      <c r="I600">
        <v>4.03</v>
      </c>
      <c r="J600">
        <v>4.99</v>
      </c>
    </row>
    <row r="601" spans="1:10" x14ac:dyDescent="0.25">
      <c r="A601">
        <v>44555</v>
      </c>
      <c r="B601" t="s">
        <v>10</v>
      </c>
      <c r="C601" t="s">
        <v>11</v>
      </c>
      <c r="D601" t="s">
        <v>17</v>
      </c>
      <c r="E601">
        <v>483</v>
      </c>
      <c r="F601">
        <v>34028564.560000002</v>
      </c>
      <c r="G601">
        <v>9791423.1099999994</v>
      </c>
      <c r="H601">
        <v>24237141.449999999</v>
      </c>
      <c r="I601">
        <v>4</v>
      </c>
      <c r="J601">
        <v>3.81</v>
      </c>
    </row>
    <row r="602" spans="1:10" x14ac:dyDescent="0.25">
      <c r="A602">
        <v>44967</v>
      </c>
      <c r="B602" t="s">
        <v>10</v>
      </c>
      <c r="C602" t="s">
        <v>11</v>
      </c>
      <c r="D602" t="s">
        <v>14</v>
      </c>
      <c r="E602">
        <v>139</v>
      </c>
      <c r="F602">
        <v>6362143.9299999997</v>
      </c>
      <c r="G602">
        <v>2365695.85</v>
      </c>
      <c r="H602">
        <v>3996448.08</v>
      </c>
      <c r="I602">
        <v>3.3</v>
      </c>
      <c r="J602">
        <v>4.67</v>
      </c>
    </row>
    <row r="603" spans="1:10" x14ac:dyDescent="0.25">
      <c r="A603">
        <v>45427</v>
      </c>
      <c r="B603" t="s">
        <v>10</v>
      </c>
      <c r="C603" t="s">
        <v>11</v>
      </c>
      <c r="D603" t="s">
        <v>17</v>
      </c>
      <c r="E603">
        <v>350</v>
      </c>
      <c r="F603">
        <v>17567568.510000002</v>
      </c>
      <c r="G603">
        <v>3577975</v>
      </c>
      <c r="H603">
        <v>13989593.51</v>
      </c>
      <c r="I603">
        <v>2.87</v>
      </c>
      <c r="J603">
        <v>4.8600000000000003</v>
      </c>
    </row>
    <row r="604" spans="1:10" x14ac:dyDescent="0.25">
      <c r="A604">
        <v>44039</v>
      </c>
      <c r="B604" t="s">
        <v>10</v>
      </c>
      <c r="C604" t="s">
        <v>18</v>
      </c>
      <c r="D604" t="s">
        <v>12</v>
      </c>
      <c r="E604">
        <v>400</v>
      </c>
      <c r="F604">
        <v>28830866.5</v>
      </c>
      <c r="G604">
        <v>10033689.449999999</v>
      </c>
      <c r="H604">
        <v>18797177.050000001</v>
      </c>
      <c r="I604">
        <v>2.0499999999999998</v>
      </c>
      <c r="J604">
        <v>4.88</v>
      </c>
    </row>
    <row r="605" spans="1:10" x14ac:dyDescent="0.25">
      <c r="A605">
        <v>45342</v>
      </c>
      <c r="B605" t="s">
        <v>10</v>
      </c>
      <c r="C605" t="s">
        <v>15</v>
      </c>
      <c r="D605" t="s">
        <v>14</v>
      </c>
      <c r="E605">
        <v>265</v>
      </c>
      <c r="F605">
        <v>19841600.550000001</v>
      </c>
      <c r="G605">
        <v>5798457.7199999997</v>
      </c>
      <c r="H605">
        <v>14043142.83</v>
      </c>
      <c r="I605">
        <v>0.77</v>
      </c>
      <c r="J605">
        <v>4.53</v>
      </c>
    </row>
    <row r="606" spans="1:10" x14ac:dyDescent="0.25">
      <c r="A606">
        <v>43979</v>
      </c>
      <c r="B606" t="s">
        <v>10</v>
      </c>
      <c r="C606" t="s">
        <v>16</v>
      </c>
      <c r="D606" t="s">
        <v>14</v>
      </c>
      <c r="E606">
        <v>331</v>
      </c>
      <c r="F606">
        <v>14266651.92</v>
      </c>
      <c r="G606">
        <v>5684286.1200000001</v>
      </c>
      <c r="H606">
        <v>8582365.8000000007</v>
      </c>
      <c r="I606">
        <v>3.34</v>
      </c>
      <c r="J606">
        <v>4.17</v>
      </c>
    </row>
    <row r="607" spans="1:10" x14ac:dyDescent="0.25">
      <c r="A607">
        <v>45296</v>
      </c>
      <c r="B607" t="s">
        <v>10</v>
      </c>
      <c r="C607" t="s">
        <v>18</v>
      </c>
      <c r="D607" t="s">
        <v>12</v>
      </c>
      <c r="E607">
        <v>103</v>
      </c>
      <c r="F607">
        <v>5959612.9900000002</v>
      </c>
      <c r="G607">
        <v>2023983.86</v>
      </c>
      <c r="H607">
        <v>3935629.13</v>
      </c>
      <c r="I607">
        <v>3.92</v>
      </c>
      <c r="J607">
        <v>4.03</v>
      </c>
    </row>
    <row r="608" spans="1:10" x14ac:dyDescent="0.25">
      <c r="A608">
        <v>44760</v>
      </c>
      <c r="B608" t="s">
        <v>10</v>
      </c>
      <c r="C608" t="s">
        <v>13</v>
      </c>
      <c r="D608" t="s">
        <v>14</v>
      </c>
      <c r="E608">
        <v>171</v>
      </c>
      <c r="F608">
        <v>12376829.23</v>
      </c>
      <c r="G608">
        <v>4762011.74</v>
      </c>
      <c r="H608">
        <v>7614817.4900000002</v>
      </c>
      <c r="I608">
        <v>1.74</v>
      </c>
      <c r="J608">
        <v>4.71</v>
      </c>
    </row>
    <row r="609" spans="1:10" x14ac:dyDescent="0.25">
      <c r="A609">
        <v>44274</v>
      </c>
      <c r="B609" t="s">
        <v>10</v>
      </c>
      <c r="C609" t="s">
        <v>16</v>
      </c>
      <c r="D609" t="s">
        <v>14</v>
      </c>
      <c r="E609">
        <v>259</v>
      </c>
      <c r="F609">
        <v>16855015.59</v>
      </c>
      <c r="G609">
        <v>6134187.6200000001</v>
      </c>
      <c r="H609">
        <v>10720827.960000001</v>
      </c>
      <c r="I609">
        <v>2.56</v>
      </c>
      <c r="J609">
        <v>4.34</v>
      </c>
    </row>
    <row r="610" spans="1:10" x14ac:dyDescent="0.25">
      <c r="A610">
        <v>44909</v>
      </c>
      <c r="B610" t="s">
        <v>10</v>
      </c>
      <c r="C610" t="s">
        <v>16</v>
      </c>
      <c r="D610" t="s">
        <v>14</v>
      </c>
      <c r="E610">
        <v>55</v>
      </c>
      <c r="F610">
        <v>3272763.46</v>
      </c>
      <c r="G610">
        <v>1172182.47</v>
      </c>
      <c r="H610">
        <v>2100580.98</v>
      </c>
      <c r="I610">
        <v>0.72</v>
      </c>
      <c r="J610">
        <v>4.7699999999999996</v>
      </c>
    </row>
    <row r="611" spans="1:10" x14ac:dyDescent="0.25">
      <c r="A611">
        <v>43870</v>
      </c>
      <c r="B611" t="s">
        <v>10</v>
      </c>
      <c r="C611" t="s">
        <v>16</v>
      </c>
      <c r="D611" t="s">
        <v>17</v>
      </c>
      <c r="E611">
        <v>289</v>
      </c>
      <c r="F611">
        <v>25930228.870000001</v>
      </c>
      <c r="G611">
        <v>7637838.8300000001</v>
      </c>
      <c r="H611">
        <v>18292390.030000001</v>
      </c>
      <c r="I611">
        <v>2.2599999999999998</v>
      </c>
      <c r="J611">
        <v>4.49</v>
      </c>
    </row>
    <row r="612" spans="1:10" x14ac:dyDescent="0.25">
      <c r="A612">
        <v>44552</v>
      </c>
      <c r="B612" t="s">
        <v>10</v>
      </c>
      <c r="C612" t="s">
        <v>18</v>
      </c>
      <c r="D612" t="s">
        <v>12</v>
      </c>
      <c r="E612">
        <v>218</v>
      </c>
      <c r="F612">
        <v>9991139.1999999993</v>
      </c>
      <c r="G612">
        <v>2095282.14</v>
      </c>
      <c r="H612">
        <v>7895857.0499999998</v>
      </c>
      <c r="I612">
        <v>4.9800000000000004</v>
      </c>
      <c r="J612">
        <v>4.57</v>
      </c>
    </row>
    <row r="613" spans="1:10" x14ac:dyDescent="0.25">
      <c r="A613">
        <v>44715</v>
      </c>
      <c r="B613" t="s">
        <v>10</v>
      </c>
      <c r="C613" t="s">
        <v>16</v>
      </c>
      <c r="D613" t="s">
        <v>14</v>
      </c>
      <c r="E613">
        <v>139</v>
      </c>
      <c r="F613">
        <v>8859816.1300000008</v>
      </c>
      <c r="G613">
        <v>3155658.34</v>
      </c>
      <c r="H613">
        <v>5704157.7999999998</v>
      </c>
      <c r="I613">
        <v>2.57</v>
      </c>
      <c r="J613">
        <v>4.88</v>
      </c>
    </row>
    <row r="614" spans="1:10" x14ac:dyDescent="0.25">
      <c r="A614">
        <v>45202</v>
      </c>
      <c r="B614" t="s">
        <v>10</v>
      </c>
      <c r="C614" t="s">
        <v>16</v>
      </c>
      <c r="D614" t="s">
        <v>12</v>
      </c>
      <c r="E614">
        <v>360</v>
      </c>
      <c r="F614">
        <v>16836349.370000001</v>
      </c>
      <c r="G614">
        <v>6690665.6799999997</v>
      </c>
      <c r="H614">
        <v>10145683.689999999</v>
      </c>
      <c r="I614">
        <v>0.56000000000000005</v>
      </c>
      <c r="J614">
        <v>4.74</v>
      </c>
    </row>
    <row r="615" spans="1:10" x14ac:dyDescent="0.25">
      <c r="A615">
        <v>44559</v>
      </c>
      <c r="B615" t="s">
        <v>10</v>
      </c>
      <c r="C615" t="s">
        <v>16</v>
      </c>
      <c r="D615" t="s">
        <v>14</v>
      </c>
      <c r="E615">
        <v>334</v>
      </c>
      <c r="F615">
        <v>28368100.84</v>
      </c>
      <c r="G615">
        <v>5993035.9500000002</v>
      </c>
      <c r="H615">
        <v>22375064.890000001</v>
      </c>
      <c r="I615">
        <v>4.82</v>
      </c>
      <c r="J615">
        <v>4.28</v>
      </c>
    </row>
    <row r="616" spans="1:10" x14ac:dyDescent="0.25">
      <c r="A616">
        <v>43934</v>
      </c>
      <c r="B616" t="s">
        <v>10</v>
      </c>
      <c r="C616" t="s">
        <v>13</v>
      </c>
      <c r="D616" t="s">
        <v>17</v>
      </c>
      <c r="E616">
        <v>499</v>
      </c>
      <c r="F616">
        <v>44005760.840000004</v>
      </c>
      <c r="G616">
        <v>14145266.550000001</v>
      </c>
      <c r="H616">
        <v>29860494.300000001</v>
      </c>
      <c r="I616">
        <v>4.34</v>
      </c>
      <c r="J616">
        <v>4.66</v>
      </c>
    </row>
    <row r="617" spans="1:10" x14ac:dyDescent="0.25">
      <c r="A617">
        <v>44867</v>
      </c>
      <c r="B617" t="s">
        <v>10</v>
      </c>
      <c r="C617" t="s">
        <v>15</v>
      </c>
      <c r="D617" t="s">
        <v>14</v>
      </c>
      <c r="E617">
        <v>143</v>
      </c>
      <c r="F617">
        <v>10043438.42</v>
      </c>
      <c r="G617">
        <v>2678383.2000000002</v>
      </c>
      <c r="H617">
        <v>7365055.2199999997</v>
      </c>
      <c r="I617">
        <v>1.23</v>
      </c>
      <c r="J617">
        <v>4.3499999999999996</v>
      </c>
    </row>
    <row r="618" spans="1:10" x14ac:dyDescent="0.25">
      <c r="A618">
        <v>44846</v>
      </c>
      <c r="B618" t="s">
        <v>10</v>
      </c>
      <c r="C618" t="s">
        <v>15</v>
      </c>
      <c r="D618" t="s">
        <v>12</v>
      </c>
      <c r="E618">
        <v>391</v>
      </c>
      <c r="F618">
        <v>32076226.210000001</v>
      </c>
      <c r="G618">
        <v>8961685.0600000005</v>
      </c>
      <c r="H618">
        <v>23114541.149999999</v>
      </c>
      <c r="I618">
        <v>4.26</v>
      </c>
      <c r="J618">
        <v>4.68</v>
      </c>
    </row>
    <row r="619" spans="1:10" x14ac:dyDescent="0.25">
      <c r="A619">
        <v>44992</v>
      </c>
      <c r="B619" t="s">
        <v>10</v>
      </c>
      <c r="C619" t="s">
        <v>15</v>
      </c>
      <c r="D619" t="s">
        <v>12</v>
      </c>
      <c r="E619">
        <v>205</v>
      </c>
      <c r="F619">
        <v>9753330.6899999995</v>
      </c>
      <c r="G619">
        <v>2663900.5099999998</v>
      </c>
      <c r="H619">
        <v>7089430.1799999997</v>
      </c>
      <c r="I619">
        <v>1.5</v>
      </c>
      <c r="J619">
        <v>3.98</v>
      </c>
    </row>
    <row r="620" spans="1:10" x14ac:dyDescent="0.25">
      <c r="A620">
        <v>43947</v>
      </c>
      <c r="B620" t="s">
        <v>10</v>
      </c>
      <c r="C620" t="s">
        <v>18</v>
      </c>
      <c r="D620" t="s">
        <v>14</v>
      </c>
      <c r="E620">
        <v>371</v>
      </c>
      <c r="F620">
        <v>23487119.210000001</v>
      </c>
      <c r="G620">
        <v>5598035.3600000003</v>
      </c>
      <c r="H620">
        <v>17889083.84</v>
      </c>
      <c r="I620">
        <v>1.64</v>
      </c>
      <c r="J620">
        <v>3.87</v>
      </c>
    </row>
    <row r="621" spans="1:10" x14ac:dyDescent="0.25">
      <c r="A621">
        <v>44174</v>
      </c>
      <c r="B621" t="s">
        <v>10</v>
      </c>
      <c r="C621" t="s">
        <v>18</v>
      </c>
      <c r="D621" t="s">
        <v>17</v>
      </c>
      <c r="E621">
        <v>398</v>
      </c>
      <c r="F621">
        <v>24456685.309999999</v>
      </c>
      <c r="G621">
        <v>6542486.0899999999</v>
      </c>
      <c r="H621">
        <v>17914199.219999999</v>
      </c>
      <c r="I621">
        <v>1.03</v>
      </c>
      <c r="J621">
        <v>3.93</v>
      </c>
    </row>
    <row r="622" spans="1:10" x14ac:dyDescent="0.25">
      <c r="A622">
        <v>45252</v>
      </c>
      <c r="B622" t="s">
        <v>10</v>
      </c>
      <c r="C622" t="s">
        <v>16</v>
      </c>
      <c r="D622" t="s">
        <v>17</v>
      </c>
      <c r="E622">
        <v>297</v>
      </c>
      <c r="F622">
        <v>26568060.949999999</v>
      </c>
      <c r="G622">
        <v>5553537.7599999998</v>
      </c>
      <c r="H622">
        <v>21014523.190000001</v>
      </c>
      <c r="I622">
        <v>2.73</v>
      </c>
      <c r="J622">
        <v>4.2699999999999996</v>
      </c>
    </row>
    <row r="623" spans="1:10" x14ac:dyDescent="0.25">
      <c r="A623">
        <v>44555</v>
      </c>
      <c r="B623" t="s">
        <v>10</v>
      </c>
      <c r="C623" t="s">
        <v>15</v>
      </c>
      <c r="D623" t="s">
        <v>17</v>
      </c>
      <c r="E623">
        <v>376</v>
      </c>
      <c r="F623">
        <v>20847253.690000001</v>
      </c>
      <c r="G623">
        <v>6702566.4000000004</v>
      </c>
      <c r="H623">
        <v>14144687.289999999</v>
      </c>
      <c r="I623">
        <v>3.89</v>
      </c>
      <c r="J623">
        <v>4.88</v>
      </c>
    </row>
    <row r="624" spans="1:10" x14ac:dyDescent="0.25">
      <c r="A624">
        <v>44056</v>
      </c>
      <c r="B624" t="s">
        <v>10</v>
      </c>
      <c r="C624" t="s">
        <v>16</v>
      </c>
      <c r="D624" t="s">
        <v>12</v>
      </c>
      <c r="E624">
        <v>162</v>
      </c>
      <c r="F624">
        <v>9629295.2599999998</v>
      </c>
      <c r="G624">
        <v>3321051.61</v>
      </c>
      <c r="H624">
        <v>6308243.6500000004</v>
      </c>
      <c r="I624">
        <v>3.3</v>
      </c>
      <c r="J624">
        <v>4.99</v>
      </c>
    </row>
    <row r="625" spans="1:10" x14ac:dyDescent="0.25">
      <c r="A625">
        <v>45137</v>
      </c>
      <c r="B625" t="s">
        <v>10</v>
      </c>
      <c r="C625" t="s">
        <v>18</v>
      </c>
      <c r="D625" t="s">
        <v>17</v>
      </c>
      <c r="E625">
        <v>398</v>
      </c>
      <c r="F625">
        <v>26277580.489999998</v>
      </c>
      <c r="G625">
        <v>8626517.3200000003</v>
      </c>
      <c r="H625">
        <v>17651063.170000002</v>
      </c>
      <c r="I625">
        <v>3.45</v>
      </c>
      <c r="J625">
        <v>3.86</v>
      </c>
    </row>
    <row r="626" spans="1:10" x14ac:dyDescent="0.25">
      <c r="A626">
        <v>44802</v>
      </c>
      <c r="B626" t="s">
        <v>10</v>
      </c>
      <c r="C626" t="s">
        <v>18</v>
      </c>
      <c r="D626" t="s">
        <v>12</v>
      </c>
      <c r="E626">
        <v>107</v>
      </c>
      <c r="F626">
        <v>8908237.7799999993</v>
      </c>
      <c r="G626">
        <v>1827307.19</v>
      </c>
      <c r="H626">
        <v>7080930.5800000001</v>
      </c>
      <c r="I626">
        <v>0.62</v>
      </c>
      <c r="J626">
        <v>4.76</v>
      </c>
    </row>
    <row r="627" spans="1:10" x14ac:dyDescent="0.25">
      <c r="A627">
        <v>45385</v>
      </c>
      <c r="B627" t="s">
        <v>10</v>
      </c>
      <c r="C627" t="s">
        <v>13</v>
      </c>
      <c r="D627" t="s">
        <v>17</v>
      </c>
      <c r="E627">
        <v>90</v>
      </c>
      <c r="F627">
        <v>3342703.32</v>
      </c>
      <c r="G627">
        <v>1313001.28</v>
      </c>
      <c r="H627">
        <v>2029702.04</v>
      </c>
      <c r="I627">
        <v>1.29</v>
      </c>
      <c r="J627">
        <v>4.8</v>
      </c>
    </row>
    <row r="628" spans="1:10" x14ac:dyDescent="0.25">
      <c r="A628">
        <v>44407</v>
      </c>
      <c r="B628" t="s">
        <v>10</v>
      </c>
      <c r="C628" t="s">
        <v>18</v>
      </c>
      <c r="D628" t="s">
        <v>12</v>
      </c>
      <c r="E628">
        <v>286</v>
      </c>
      <c r="F628">
        <v>13547523.109999999</v>
      </c>
      <c r="G628">
        <v>4250181.38</v>
      </c>
      <c r="H628">
        <v>9297341.7300000004</v>
      </c>
      <c r="I628">
        <v>3.74</v>
      </c>
      <c r="J628">
        <v>4.34</v>
      </c>
    </row>
    <row r="629" spans="1:10" x14ac:dyDescent="0.25">
      <c r="A629">
        <v>45083</v>
      </c>
      <c r="B629" t="s">
        <v>10</v>
      </c>
      <c r="C629" t="s">
        <v>18</v>
      </c>
      <c r="D629" t="s">
        <v>17</v>
      </c>
      <c r="E629">
        <v>198</v>
      </c>
      <c r="F629">
        <v>12556845.42</v>
      </c>
      <c r="G629">
        <v>3117170.94</v>
      </c>
      <c r="H629">
        <v>9439674.4700000007</v>
      </c>
      <c r="I629">
        <v>1.77</v>
      </c>
      <c r="J629">
        <v>4.03</v>
      </c>
    </row>
    <row r="630" spans="1:10" x14ac:dyDescent="0.25">
      <c r="A630">
        <v>44598</v>
      </c>
      <c r="B630" t="s">
        <v>10</v>
      </c>
      <c r="C630" t="s">
        <v>13</v>
      </c>
      <c r="D630" t="s">
        <v>14</v>
      </c>
      <c r="E630">
        <v>352</v>
      </c>
      <c r="F630">
        <v>29816746.59</v>
      </c>
      <c r="G630">
        <v>6882602.2999999998</v>
      </c>
      <c r="H630">
        <v>22934144.289999999</v>
      </c>
      <c r="I630">
        <v>2.2999999999999998</v>
      </c>
      <c r="J630">
        <v>4.6399999999999997</v>
      </c>
    </row>
    <row r="631" spans="1:10" x14ac:dyDescent="0.25">
      <c r="A631">
        <v>44016</v>
      </c>
      <c r="B631" t="s">
        <v>10</v>
      </c>
      <c r="C631" t="s">
        <v>11</v>
      </c>
      <c r="D631" t="s">
        <v>12</v>
      </c>
      <c r="E631">
        <v>328</v>
      </c>
      <c r="F631">
        <v>20073096.629999999</v>
      </c>
      <c r="G631">
        <v>6031805.5499999998</v>
      </c>
      <c r="H631">
        <v>14041291.08</v>
      </c>
      <c r="I631">
        <v>1.42</v>
      </c>
      <c r="J631">
        <v>4.3899999999999997</v>
      </c>
    </row>
    <row r="632" spans="1:10" x14ac:dyDescent="0.25">
      <c r="A632">
        <v>44557</v>
      </c>
      <c r="B632" t="s">
        <v>10</v>
      </c>
      <c r="C632" t="s">
        <v>18</v>
      </c>
      <c r="D632" t="s">
        <v>17</v>
      </c>
      <c r="E632">
        <v>90</v>
      </c>
      <c r="F632">
        <v>4613688.6399999997</v>
      </c>
      <c r="G632">
        <v>1297551.5</v>
      </c>
      <c r="H632">
        <v>3316137.13</v>
      </c>
      <c r="I632">
        <v>0.65</v>
      </c>
      <c r="J632">
        <v>4.45</v>
      </c>
    </row>
    <row r="633" spans="1:10" x14ac:dyDescent="0.25">
      <c r="A633">
        <v>44607</v>
      </c>
      <c r="B633" t="s">
        <v>10</v>
      </c>
      <c r="C633" t="s">
        <v>13</v>
      </c>
      <c r="D633" t="s">
        <v>17</v>
      </c>
      <c r="E633">
        <v>373</v>
      </c>
      <c r="F633">
        <v>19111885.579999998</v>
      </c>
      <c r="G633">
        <v>4282986.67</v>
      </c>
      <c r="H633">
        <v>14828898.91</v>
      </c>
      <c r="I633">
        <v>2.57</v>
      </c>
      <c r="J633">
        <v>3.64</v>
      </c>
    </row>
    <row r="634" spans="1:10" x14ac:dyDescent="0.25">
      <c r="A634">
        <v>44685</v>
      </c>
      <c r="B634" t="s">
        <v>10</v>
      </c>
      <c r="C634" t="s">
        <v>16</v>
      </c>
      <c r="D634" t="s">
        <v>17</v>
      </c>
      <c r="E634">
        <v>332</v>
      </c>
      <c r="F634">
        <v>26882181.440000001</v>
      </c>
      <c r="G634">
        <v>8966868.6500000004</v>
      </c>
      <c r="H634">
        <v>17915312.789999999</v>
      </c>
      <c r="I634">
        <v>3.62</v>
      </c>
      <c r="J634">
        <v>4.66</v>
      </c>
    </row>
    <row r="635" spans="1:10" x14ac:dyDescent="0.25">
      <c r="A635">
        <v>45338</v>
      </c>
      <c r="B635" t="s">
        <v>10</v>
      </c>
      <c r="C635" t="s">
        <v>18</v>
      </c>
      <c r="D635" t="s">
        <v>12</v>
      </c>
      <c r="E635">
        <v>53</v>
      </c>
      <c r="F635">
        <v>2296899.64</v>
      </c>
      <c r="G635">
        <v>516396.75</v>
      </c>
      <c r="H635">
        <v>1780502.89</v>
      </c>
      <c r="I635">
        <v>2.93</v>
      </c>
      <c r="J635">
        <v>3.92</v>
      </c>
    </row>
    <row r="636" spans="1:10" x14ac:dyDescent="0.25">
      <c r="A636">
        <v>44562</v>
      </c>
      <c r="B636" t="s">
        <v>10</v>
      </c>
      <c r="C636" t="s">
        <v>11</v>
      </c>
      <c r="D636" t="s">
        <v>14</v>
      </c>
      <c r="E636">
        <v>328</v>
      </c>
      <c r="F636">
        <v>28275419.870000001</v>
      </c>
      <c r="G636">
        <v>9094370.5299999993</v>
      </c>
      <c r="H636">
        <v>19181049.34</v>
      </c>
      <c r="I636">
        <v>2.96</v>
      </c>
      <c r="J636">
        <v>4.3</v>
      </c>
    </row>
    <row r="637" spans="1:10" x14ac:dyDescent="0.25">
      <c r="A637">
        <v>44413</v>
      </c>
      <c r="B637" t="s">
        <v>10</v>
      </c>
      <c r="C637" t="s">
        <v>15</v>
      </c>
      <c r="D637" t="s">
        <v>12</v>
      </c>
      <c r="E637">
        <v>298</v>
      </c>
      <c r="F637">
        <v>11435214.359999999</v>
      </c>
      <c r="G637">
        <v>3745773.12</v>
      </c>
      <c r="H637">
        <v>7689441.2400000002</v>
      </c>
      <c r="I637">
        <v>3.75</v>
      </c>
      <c r="J637">
        <v>3.8</v>
      </c>
    </row>
    <row r="638" spans="1:10" x14ac:dyDescent="0.25">
      <c r="A638">
        <v>44236</v>
      </c>
      <c r="B638" t="s">
        <v>10</v>
      </c>
      <c r="C638" t="s">
        <v>18</v>
      </c>
      <c r="D638" t="s">
        <v>12</v>
      </c>
      <c r="E638">
        <v>152</v>
      </c>
      <c r="F638">
        <v>7863101.2999999998</v>
      </c>
      <c r="G638">
        <v>2667254.37</v>
      </c>
      <c r="H638">
        <v>5195846.93</v>
      </c>
      <c r="I638">
        <v>1.54</v>
      </c>
      <c r="J638">
        <v>3.5</v>
      </c>
    </row>
    <row r="639" spans="1:10" x14ac:dyDescent="0.25">
      <c r="A639">
        <v>44817</v>
      </c>
      <c r="B639" t="s">
        <v>10</v>
      </c>
      <c r="C639" t="s">
        <v>18</v>
      </c>
      <c r="D639" t="s">
        <v>17</v>
      </c>
      <c r="E639">
        <v>352</v>
      </c>
      <c r="F639">
        <v>16020058.220000001</v>
      </c>
      <c r="G639">
        <v>5414508.8200000003</v>
      </c>
      <c r="H639">
        <v>10605549.4</v>
      </c>
      <c r="I639">
        <v>3.79</v>
      </c>
      <c r="J639">
        <v>4.46</v>
      </c>
    </row>
    <row r="640" spans="1:10" x14ac:dyDescent="0.25">
      <c r="A640">
        <v>45283</v>
      </c>
      <c r="B640" t="s">
        <v>10</v>
      </c>
      <c r="C640" t="s">
        <v>13</v>
      </c>
      <c r="D640" t="s">
        <v>17</v>
      </c>
      <c r="E640">
        <v>218</v>
      </c>
      <c r="F640">
        <v>17802620.300000001</v>
      </c>
      <c r="G640">
        <v>5616266.6900000004</v>
      </c>
      <c r="H640">
        <v>12186353.6</v>
      </c>
      <c r="I640">
        <v>1.86</v>
      </c>
      <c r="J640">
        <v>3.99</v>
      </c>
    </row>
    <row r="641" spans="1:10" x14ac:dyDescent="0.25">
      <c r="A641">
        <v>44879</v>
      </c>
      <c r="B641" t="s">
        <v>10</v>
      </c>
      <c r="C641" t="s">
        <v>13</v>
      </c>
      <c r="D641" t="s">
        <v>12</v>
      </c>
      <c r="E641">
        <v>74</v>
      </c>
      <c r="F641">
        <v>3618951.38</v>
      </c>
      <c r="G641">
        <v>1251115.95</v>
      </c>
      <c r="H641">
        <v>2367835.4300000002</v>
      </c>
      <c r="I641">
        <v>1.06</v>
      </c>
      <c r="J641">
        <v>4.01</v>
      </c>
    </row>
    <row r="642" spans="1:10" x14ac:dyDescent="0.25">
      <c r="A642">
        <v>45197</v>
      </c>
      <c r="B642" t="s">
        <v>10</v>
      </c>
      <c r="C642" t="s">
        <v>11</v>
      </c>
      <c r="D642" t="s">
        <v>12</v>
      </c>
      <c r="E642">
        <v>96</v>
      </c>
      <c r="F642">
        <v>7619341.7800000003</v>
      </c>
      <c r="G642">
        <v>1546942.16</v>
      </c>
      <c r="H642">
        <v>6072399.6299999999</v>
      </c>
      <c r="I642">
        <v>3.89</v>
      </c>
      <c r="J642">
        <v>4.09</v>
      </c>
    </row>
    <row r="643" spans="1:10" x14ac:dyDescent="0.25">
      <c r="A643">
        <v>44080</v>
      </c>
      <c r="B643" t="s">
        <v>10</v>
      </c>
      <c r="C643" t="s">
        <v>15</v>
      </c>
      <c r="D643" t="s">
        <v>12</v>
      </c>
      <c r="E643">
        <v>198</v>
      </c>
      <c r="F643">
        <v>8559159.7899999991</v>
      </c>
      <c r="G643">
        <v>2771987.15</v>
      </c>
      <c r="H643">
        <v>5787172.6299999999</v>
      </c>
      <c r="I643">
        <v>2.37</v>
      </c>
      <c r="J643">
        <v>4.63</v>
      </c>
    </row>
    <row r="644" spans="1:10" x14ac:dyDescent="0.25">
      <c r="A644">
        <v>44645</v>
      </c>
      <c r="B644" t="s">
        <v>10</v>
      </c>
      <c r="C644" t="s">
        <v>11</v>
      </c>
      <c r="D644" t="s">
        <v>17</v>
      </c>
      <c r="E644">
        <v>81</v>
      </c>
      <c r="F644">
        <v>3580416.41</v>
      </c>
      <c r="G644">
        <v>873169.24</v>
      </c>
      <c r="H644">
        <v>2707247.17</v>
      </c>
      <c r="I644">
        <v>3.13</v>
      </c>
      <c r="J644">
        <v>4.93</v>
      </c>
    </row>
    <row r="645" spans="1:10" x14ac:dyDescent="0.25">
      <c r="A645">
        <v>45398</v>
      </c>
      <c r="B645" t="s">
        <v>10</v>
      </c>
      <c r="C645" t="s">
        <v>18</v>
      </c>
      <c r="D645" t="s">
        <v>17</v>
      </c>
      <c r="E645">
        <v>59</v>
      </c>
      <c r="F645">
        <v>3628659.97</v>
      </c>
      <c r="G645">
        <v>1188959.28</v>
      </c>
      <c r="H645">
        <v>2439700.69</v>
      </c>
      <c r="I645">
        <v>4.7699999999999996</v>
      </c>
      <c r="J645">
        <v>4.45</v>
      </c>
    </row>
    <row r="646" spans="1:10" x14ac:dyDescent="0.25">
      <c r="A646">
        <v>45525</v>
      </c>
      <c r="B646" t="s">
        <v>10</v>
      </c>
      <c r="C646" t="s">
        <v>16</v>
      </c>
      <c r="D646" t="s">
        <v>14</v>
      </c>
      <c r="E646">
        <v>172</v>
      </c>
      <c r="F646">
        <v>13200189.970000001</v>
      </c>
      <c r="G646">
        <v>5009429.95</v>
      </c>
      <c r="H646">
        <v>8190760.0199999996</v>
      </c>
      <c r="I646">
        <v>2.81</v>
      </c>
      <c r="J646">
        <v>4.26</v>
      </c>
    </row>
    <row r="647" spans="1:10" x14ac:dyDescent="0.25">
      <c r="A647">
        <v>44783</v>
      </c>
      <c r="B647" t="s">
        <v>10</v>
      </c>
      <c r="C647" t="s">
        <v>11</v>
      </c>
      <c r="D647" t="s">
        <v>14</v>
      </c>
      <c r="E647">
        <v>341</v>
      </c>
      <c r="F647">
        <v>30172737.079999998</v>
      </c>
      <c r="G647">
        <v>9360707.6099999994</v>
      </c>
      <c r="H647">
        <v>20812029.48</v>
      </c>
      <c r="I647">
        <v>1.22</v>
      </c>
      <c r="J647">
        <v>3.77</v>
      </c>
    </row>
    <row r="648" spans="1:10" x14ac:dyDescent="0.25">
      <c r="A648">
        <v>44130</v>
      </c>
      <c r="B648" t="s">
        <v>10</v>
      </c>
      <c r="C648" t="s">
        <v>11</v>
      </c>
      <c r="D648" t="s">
        <v>12</v>
      </c>
      <c r="E648">
        <v>472</v>
      </c>
      <c r="F648">
        <v>28506151.09</v>
      </c>
      <c r="G648">
        <v>6151658.6399999997</v>
      </c>
      <c r="H648">
        <v>22354492.449999999</v>
      </c>
      <c r="I648">
        <v>3.63</v>
      </c>
      <c r="J648">
        <v>4.59</v>
      </c>
    </row>
    <row r="649" spans="1:10" x14ac:dyDescent="0.25">
      <c r="A649">
        <v>45266</v>
      </c>
      <c r="B649" t="s">
        <v>10</v>
      </c>
      <c r="C649" t="s">
        <v>15</v>
      </c>
      <c r="D649" t="s">
        <v>12</v>
      </c>
      <c r="E649">
        <v>175</v>
      </c>
      <c r="F649">
        <v>9441814.3100000005</v>
      </c>
      <c r="G649">
        <v>3718454.8</v>
      </c>
      <c r="H649">
        <v>5723359.5099999998</v>
      </c>
      <c r="I649">
        <v>0.73</v>
      </c>
      <c r="J649">
        <v>3.71</v>
      </c>
    </row>
    <row r="650" spans="1:10" x14ac:dyDescent="0.25">
      <c r="A650">
        <v>43957</v>
      </c>
      <c r="B650" t="s">
        <v>10</v>
      </c>
      <c r="C650" t="s">
        <v>13</v>
      </c>
      <c r="D650" t="s">
        <v>14</v>
      </c>
      <c r="E650">
        <v>119</v>
      </c>
      <c r="F650">
        <v>6361570.4199999999</v>
      </c>
      <c r="G650">
        <v>1299636.43</v>
      </c>
      <c r="H650">
        <v>5061933.99</v>
      </c>
      <c r="I650">
        <v>4.3499999999999996</v>
      </c>
      <c r="J650">
        <v>4.55</v>
      </c>
    </row>
    <row r="651" spans="1:10" x14ac:dyDescent="0.25">
      <c r="A651">
        <v>44111</v>
      </c>
      <c r="B651" t="s">
        <v>10</v>
      </c>
      <c r="C651" t="s">
        <v>11</v>
      </c>
      <c r="D651" t="s">
        <v>12</v>
      </c>
      <c r="E651">
        <v>125</v>
      </c>
      <c r="F651">
        <v>8988505.0800000001</v>
      </c>
      <c r="G651">
        <v>2812819.24</v>
      </c>
      <c r="H651">
        <v>6175685.8399999999</v>
      </c>
      <c r="I651">
        <v>2.97</v>
      </c>
      <c r="J651">
        <v>3.97</v>
      </c>
    </row>
    <row r="652" spans="1:10" x14ac:dyDescent="0.25">
      <c r="A652">
        <v>44125</v>
      </c>
      <c r="B652" t="s">
        <v>10</v>
      </c>
      <c r="C652" t="s">
        <v>18</v>
      </c>
      <c r="D652" t="s">
        <v>14</v>
      </c>
      <c r="E652">
        <v>320</v>
      </c>
      <c r="F652">
        <v>20117438.620000001</v>
      </c>
      <c r="G652">
        <v>6488931.04</v>
      </c>
      <c r="H652">
        <v>13628507.58</v>
      </c>
      <c r="I652">
        <v>4.58</v>
      </c>
      <c r="J652">
        <v>3.52</v>
      </c>
    </row>
    <row r="653" spans="1:10" x14ac:dyDescent="0.25">
      <c r="A653">
        <v>44745</v>
      </c>
      <c r="B653" t="s">
        <v>10</v>
      </c>
      <c r="C653" t="s">
        <v>16</v>
      </c>
      <c r="D653" t="s">
        <v>17</v>
      </c>
      <c r="E653">
        <v>92</v>
      </c>
      <c r="F653">
        <v>7465326.4800000004</v>
      </c>
      <c r="G653">
        <v>2969082.8</v>
      </c>
      <c r="H653">
        <v>4496243.68</v>
      </c>
      <c r="I653">
        <v>3.67</v>
      </c>
      <c r="J653">
        <v>4.96</v>
      </c>
    </row>
    <row r="654" spans="1:10" x14ac:dyDescent="0.25">
      <c r="A654">
        <v>44793</v>
      </c>
      <c r="B654" t="s">
        <v>10</v>
      </c>
      <c r="C654" t="s">
        <v>18</v>
      </c>
      <c r="D654" t="s">
        <v>14</v>
      </c>
      <c r="E654">
        <v>238</v>
      </c>
      <c r="F654">
        <v>9606462.5199999996</v>
      </c>
      <c r="G654">
        <v>2768619.71</v>
      </c>
      <c r="H654">
        <v>6837842.8200000003</v>
      </c>
      <c r="I654">
        <v>2.75</v>
      </c>
      <c r="J654">
        <v>4.5599999999999996</v>
      </c>
    </row>
    <row r="655" spans="1:10" x14ac:dyDescent="0.25">
      <c r="A655">
        <v>45529</v>
      </c>
      <c r="B655" t="s">
        <v>10</v>
      </c>
      <c r="C655" t="s">
        <v>15</v>
      </c>
      <c r="D655" t="s">
        <v>17</v>
      </c>
      <c r="E655">
        <v>482</v>
      </c>
      <c r="F655">
        <v>31204873.370000001</v>
      </c>
      <c r="G655">
        <v>9800851.9499999993</v>
      </c>
      <c r="H655">
        <v>21404021.43</v>
      </c>
      <c r="I655">
        <v>1.89</v>
      </c>
      <c r="J655">
        <v>4.22</v>
      </c>
    </row>
    <row r="656" spans="1:10" x14ac:dyDescent="0.25">
      <c r="A656">
        <v>43932</v>
      </c>
      <c r="B656" t="s">
        <v>10</v>
      </c>
      <c r="C656" t="s">
        <v>15</v>
      </c>
      <c r="D656" t="s">
        <v>14</v>
      </c>
      <c r="E656">
        <v>62</v>
      </c>
      <c r="F656">
        <v>5448760.4900000002</v>
      </c>
      <c r="G656">
        <v>1400973.57</v>
      </c>
      <c r="H656">
        <v>4047786.92</v>
      </c>
      <c r="I656">
        <v>4.79</v>
      </c>
      <c r="J656">
        <v>3.84</v>
      </c>
    </row>
    <row r="657" spans="1:10" x14ac:dyDescent="0.25">
      <c r="A657">
        <v>44054</v>
      </c>
      <c r="B657" t="s">
        <v>10</v>
      </c>
      <c r="C657" t="s">
        <v>11</v>
      </c>
      <c r="D657" t="s">
        <v>12</v>
      </c>
      <c r="E657">
        <v>92</v>
      </c>
      <c r="F657">
        <v>7598396.54</v>
      </c>
      <c r="G657">
        <v>2800353.78</v>
      </c>
      <c r="H657">
        <v>4798042.76</v>
      </c>
      <c r="I657">
        <v>1.89</v>
      </c>
      <c r="J657">
        <v>3.94</v>
      </c>
    </row>
    <row r="658" spans="1:10" x14ac:dyDescent="0.25">
      <c r="A658">
        <v>45166</v>
      </c>
      <c r="B658" t="s">
        <v>10</v>
      </c>
      <c r="C658" t="s">
        <v>13</v>
      </c>
      <c r="D658" t="s">
        <v>17</v>
      </c>
      <c r="E658">
        <v>425</v>
      </c>
      <c r="F658">
        <v>33958602.100000001</v>
      </c>
      <c r="G658">
        <v>10177288.039999999</v>
      </c>
      <c r="H658">
        <v>23781314.059999999</v>
      </c>
      <c r="I658">
        <v>0.82</v>
      </c>
      <c r="J658">
        <v>3.97</v>
      </c>
    </row>
    <row r="659" spans="1:10" x14ac:dyDescent="0.25">
      <c r="A659">
        <v>44290</v>
      </c>
      <c r="B659" t="s">
        <v>10</v>
      </c>
      <c r="C659" t="s">
        <v>15</v>
      </c>
      <c r="D659" t="s">
        <v>12</v>
      </c>
      <c r="E659">
        <v>424</v>
      </c>
      <c r="F659">
        <v>28173116.329999998</v>
      </c>
      <c r="G659">
        <v>6576561.1100000003</v>
      </c>
      <c r="H659">
        <v>21596555.210000001</v>
      </c>
      <c r="I659">
        <v>4.58</v>
      </c>
      <c r="J659">
        <v>3.52</v>
      </c>
    </row>
    <row r="660" spans="1:10" x14ac:dyDescent="0.25">
      <c r="A660">
        <v>44220</v>
      </c>
      <c r="B660" t="s">
        <v>10</v>
      </c>
      <c r="C660" t="s">
        <v>13</v>
      </c>
      <c r="D660" t="s">
        <v>17</v>
      </c>
      <c r="E660">
        <v>377</v>
      </c>
      <c r="F660">
        <v>14269815.289999999</v>
      </c>
      <c r="G660">
        <v>4141503.76</v>
      </c>
      <c r="H660">
        <v>10128311.529999999</v>
      </c>
      <c r="I660">
        <v>1.79</v>
      </c>
      <c r="J660">
        <v>3.96</v>
      </c>
    </row>
    <row r="661" spans="1:10" x14ac:dyDescent="0.25">
      <c r="A661">
        <v>45295</v>
      </c>
      <c r="B661" t="s">
        <v>10</v>
      </c>
      <c r="C661" t="s">
        <v>15</v>
      </c>
      <c r="D661" t="s">
        <v>12</v>
      </c>
      <c r="E661">
        <v>332</v>
      </c>
      <c r="F661">
        <v>19136828.710000001</v>
      </c>
      <c r="G661">
        <v>4076165.83</v>
      </c>
      <c r="H661">
        <v>15060662.880000001</v>
      </c>
      <c r="I661">
        <v>2.44</v>
      </c>
      <c r="J661">
        <v>4.82</v>
      </c>
    </row>
    <row r="662" spans="1:10" x14ac:dyDescent="0.25">
      <c r="A662">
        <v>44411</v>
      </c>
      <c r="B662" t="s">
        <v>10</v>
      </c>
      <c r="C662" t="s">
        <v>13</v>
      </c>
      <c r="D662" t="s">
        <v>17</v>
      </c>
      <c r="E662">
        <v>118</v>
      </c>
      <c r="F662">
        <v>4573612.2699999996</v>
      </c>
      <c r="G662">
        <v>1112522.18</v>
      </c>
      <c r="H662">
        <v>3461090.09</v>
      </c>
      <c r="I662">
        <v>1.79</v>
      </c>
      <c r="J662">
        <v>4.1500000000000004</v>
      </c>
    </row>
    <row r="663" spans="1:10" x14ac:dyDescent="0.25">
      <c r="A663">
        <v>45559</v>
      </c>
      <c r="B663" t="s">
        <v>10</v>
      </c>
      <c r="C663" t="s">
        <v>18</v>
      </c>
      <c r="D663" t="s">
        <v>12</v>
      </c>
      <c r="E663">
        <v>68</v>
      </c>
      <c r="F663">
        <v>4914003.1399999997</v>
      </c>
      <c r="G663">
        <v>1894730.43</v>
      </c>
      <c r="H663">
        <v>3019272.71</v>
      </c>
      <c r="I663">
        <v>1.42</v>
      </c>
      <c r="J663">
        <v>4.07</v>
      </c>
    </row>
    <row r="664" spans="1:10" x14ac:dyDescent="0.25">
      <c r="A664">
        <v>44795</v>
      </c>
      <c r="B664" t="s">
        <v>10</v>
      </c>
      <c r="C664" t="s">
        <v>13</v>
      </c>
      <c r="D664" t="s">
        <v>17</v>
      </c>
      <c r="E664">
        <v>338</v>
      </c>
      <c r="F664">
        <v>23759842.449999999</v>
      </c>
      <c r="G664">
        <v>6313089.2199999997</v>
      </c>
      <c r="H664">
        <v>17446753.219999999</v>
      </c>
      <c r="I664">
        <v>3.35</v>
      </c>
      <c r="J664">
        <v>3.8</v>
      </c>
    </row>
    <row r="665" spans="1:10" x14ac:dyDescent="0.25">
      <c r="A665">
        <v>45113</v>
      </c>
      <c r="B665" t="s">
        <v>10</v>
      </c>
      <c r="C665" t="s">
        <v>15</v>
      </c>
      <c r="D665" t="s">
        <v>12</v>
      </c>
      <c r="E665">
        <v>452</v>
      </c>
      <c r="F665">
        <v>35341782.649999999</v>
      </c>
      <c r="G665">
        <v>9887904.9000000004</v>
      </c>
      <c r="H665">
        <v>25453877.760000002</v>
      </c>
      <c r="I665">
        <v>4.96</v>
      </c>
      <c r="J665">
        <v>3.99</v>
      </c>
    </row>
    <row r="666" spans="1:10" x14ac:dyDescent="0.25">
      <c r="A666">
        <v>44370</v>
      </c>
      <c r="B666" t="s">
        <v>10</v>
      </c>
      <c r="C666" t="s">
        <v>16</v>
      </c>
      <c r="D666" t="s">
        <v>14</v>
      </c>
      <c r="E666">
        <v>368</v>
      </c>
      <c r="F666">
        <v>21624063.09</v>
      </c>
      <c r="G666">
        <v>4409714.1399999997</v>
      </c>
      <c r="H666">
        <v>17214348.960000001</v>
      </c>
      <c r="I666">
        <v>0.8</v>
      </c>
      <c r="J666">
        <v>4.28</v>
      </c>
    </row>
    <row r="667" spans="1:10" x14ac:dyDescent="0.25">
      <c r="A667">
        <v>44976</v>
      </c>
      <c r="B667" t="s">
        <v>10</v>
      </c>
      <c r="C667" t="s">
        <v>16</v>
      </c>
      <c r="D667" t="s">
        <v>14</v>
      </c>
      <c r="E667">
        <v>66</v>
      </c>
      <c r="F667">
        <v>2684330.5499999998</v>
      </c>
      <c r="G667">
        <v>779645.18</v>
      </c>
      <c r="H667">
        <v>1904685.36</v>
      </c>
      <c r="I667">
        <v>4.91</v>
      </c>
      <c r="J667">
        <v>4.33</v>
      </c>
    </row>
    <row r="668" spans="1:10" x14ac:dyDescent="0.25">
      <c r="A668">
        <v>44497</v>
      </c>
      <c r="B668" t="s">
        <v>10</v>
      </c>
      <c r="C668" t="s">
        <v>16</v>
      </c>
      <c r="D668" t="s">
        <v>14</v>
      </c>
      <c r="E668">
        <v>131</v>
      </c>
      <c r="F668">
        <v>9661314.6500000004</v>
      </c>
      <c r="G668">
        <v>3047702.99</v>
      </c>
      <c r="H668">
        <v>6613611.6699999999</v>
      </c>
      <c r="I668">
        <v>2.06</v>
      </c>
      <c r="J668">
        <v>4.0999999999999996</v>
      </c>
    </row>
    <row r="669" spans="1:10" x14ac:dyDescent="0.25">
      <c r="A669">
        <v>45512</v>
      </c>
      <c r="B669" t="s">
        <v>10</v>
      </c>
      <c r="C669" t="s">
        <v>18</v>
      </c>
      <c r="D669" t="s">
        <v>14</v>
      </c>
      <c r="E669">
        <v>436</v>
      </c>
      <c r="F669">
        <v>20183883.870000001</v>
      </c>
      <c r="G669">
        <v>6123630.1200000001</v>
      </c>
      <c r="H669">
        <v>14060253.75</v>
      </c>
      <c r="I669">
        <v>1.71</v>
      </c>
      <c r="J669">
        <v>3.93</v>
      </c>
    </row>
    <row r="670" spans="1:10" x14ac:dyDescent="0.25">
      <c r="A670">
        <v>44168</v>
      </c>
      <c r="B670" t="s">
        <v>10</v>
      </c>
      <c r="C670" t="s">
        <v>13</v>
      </c>
      <c r="D670" t="s">
        <v>12</v>
      </c>
      <c r="E670">
        <v>123</v>
      </c>
      <c r="F670">
        <v>8971353.9199999999</v>
      </c>
      <c r="G670">
        <v>3330270.8</v>
      </c>
      <c r="H670">
        <v>5641083.1200000001</v>
      </c>
      <c r="I670">
        <v>3.18</v>
      </c>
      <c r="J670">
        <v>3.76</v>
      </c>
    </row>
    <row r="671" spans="1:10" x14ac:dyDescent="0.25">
      <c r="A671">
        <v>45277</v>
      </c>
      <c r="B671" t="s">
        <v>10</v>
      </c>
      <c r="C671" t="s">
        <v>18</v>
      </c>
      <c r="D671" t="s">
        <v>17</v>
      </c>
      <c r="E671">
        <v>279</v>
      </c>
      <c r="F671">
        <v>10813586.84</v>
      </c>
      <c r="G671">
        <v>3394655.79</v>
      </c>
      <c r="H671">
        <v>7418931.0499999998</v>
      </c>
      <c r="I671">
        <v>3.63</v>
      </c>
      <c r="J671">
        <v>4.1900000000000004</v>
      </c>
    </row>
    <row r="672" spans="1:10" x14ac:dyDescent="0.25">
      <c r="A672">
        <v>45159</v>
      </c>
      <c r="B672" t="s">
        <v>10</v>
      </c>
      <c r="C672" t="s">
        <v>13</v>
      </c>
      <c r="D672" t="s">
        <v>12</v>
      </c>
      <c r="E672">
        <v>416</v>
      </c>
      <c r="F672">
        <v>27221311.890000001</v>
      </c>
      <c r="G672">
        <v>7395312.29</v>
      </c>
      <c r="H672">
        <v>19825999.600000001</v>
      </c>
      <c r="I672">
        <v>3.67</v>
      </c>
      <c r="J672">
        <v>4.0599999999999996</v>
      </c>
    </row>
    <row r="673" spans="1:10" x14ac:dyDescent="0.25">
      <c r="A673">
        <v>45511</v>
      </c>
      <c r="B673" t="s">
        <v>10</v>
      </c>
      <c r="C673" t="s">
        <v>18</v>
      </c>
      <c r="D673" t="s">
        <v>17</v>
      </c>
      <c r="E673">
        <v>332</v>
      </c>
      <c r="F673">
        <v>23964240.02</v>
      </c>
      <c r="G673">
        <v>6198926.4500000002</v>
      </c>
      <c r="H673">
        <v>17765313.57</v>
      </c>
      <c r="I673">
        <v>3.25</v>
      </c>
      <c r="J673">
        <v>3.97</v>
      </c>
    </row>
    <row r="674" spans="1:10" x14ac:dyDescent="0.25">
      <c r="A674">
        <v>45110</v>
      </c>
      <c r="B674" t="s">
        <v>10</v>
      </c>
      <c r="C674" t="s">
        <v>18</v>
      </c>
      <c r="D674" t="s">
        <v>14</v>
      </c>
      <c r="E674">
        <v>149</v>
      </c>
      <c r="F674">
        <v>7259852.1900000004</v>
      </c>
      <c r="G674">
        <v>2901010.05</v>
      </c>
      <c r="H674">
        <v>4358842.1399999997</v>
      </c>
      <c r="I674">
        <v>1.28</v>
      </c>
      <c r="J674">
        <v>3.68</v>
      </c>
    </row>
    <row r="675" spans="1:10" x14ac:dyDescent="0.25">
      <c r="A675">
        <v>44911</v>
      </c>
      <c r="B675" t="s">
        <v>10</v>
      </c>
      <c r="C675" t="s">
        <v>13</v>
      </c>
      <c r="D675" t="s">
        <v>17</v>
      </c>
      <c r="E675">
        <v>315</v>
      </c>
      <c r="F675">
        <v>21632372.460000001</v>
      </c>
      <c r="G675">
        <v>7731042.1299999999</v>
      </c>
      <c r="H675">
        <v>13901330.33</v>
      </c>
      <c r="I675">
        <v>4.7300000000000004</v>
      </c>
      <c r="J675">
        <v>3.51</v>
      </c>
    </row>
    <row r="676" spans="1:10" x14ac:dyDescent="0.25">
      <c r="A676">
        <v>44605</v>
      </c>
      <c r="B676" t="s">
        <v>10</v>
      </c>
      <c r="C676" t="s">
        <v>11</v>
      </c>
      <c r="D676" t="s">
        <v>17</v>
      </c>
      <c r="E676">
        <v>297</v>
      </c>
      <c r="F676">
        <v>19993215.199999999</v>
      </c>
      <c r="G676">
        <v>5193679.12</v>
      </c>
      <c r="H676">
        <v>14799536.08</v>
      </c>
      <c r="I676">
        <v>3.56</v>
      </c>
      <c r="J676">
        <v>4.1100000000000003</v>
      </c>
    </row>
    <row r="677" spans="1:10" x14ac:dyDescent="0.25">
      <c r="A677">
        <v>45490</v>
      </c>
      <c r="B677" t="s">
        <v>10</v>
      </c>
      <c r="C677" t="s">
        <v>11</v>
      </c>
      <c r="D677" t="s">
        <v>12</v>
      </c>
      <c r="E677">
        <v>418</v>
      </c>
      <c r="F677">
        <v>23495254.66</v>
      </c>
      <c r="G677">
        <v>4998534.8899999997</v>
      </c>
      <c r="H677">
        <v>18496719.77</v>
      </c>
      <c r="I677">
        <v>2.94</v>
      </c>
      <c r="J677">
        <v>4.91</v>
      </c>
    </row>
    <row r="678" spans="1:10" x14ac:dyDescent="0.25">
      <c r="A678">
        <v>45431</v>
      </c>
      <c r="B678" t="s">
        <v>10</v>
      </c>
      <c r="C678" t="s">
        <v>11</v>
      </c>
      <c r="D678" t="s">
        <v>17</v>
      </c>
      <c r="E678">
        <v>187</v>
      </c>
      <c r="F678">
        <v>10649078.24</v>
      </c>
      <c r="G678">
        <v>2471008.69</v>
      </c>
      <c r="H678">
        <v>8178069.5499999998</v>
      </c>
      <c r="I678">
        <v>1.35</v>
      </c>
      <c r="J678">
        <v>4.51</v>
      </c>
    </row>
    <row r="679" spans="1:10" x14ac:dyDescent="0.25">
      <c r="A679">
        <v>44420</v>
      </c>
      <c r="B679" t="s">
        <v>10</v>
      </c>
      <c r="C679" t="s">
        <v>15</v>
      </c>
      <c r="D679" t="s">
        <v>14</v>
      </c>
      <c r="E679">
        <v>225</v>
      </c>
      <c r="F679">
        <v>16104307.140000001</v>
      </c>
      <c r="G679">
        <v>4837603.76</v>
      </c>
      <c r="H679">
        <v>11266703.369999999</v>
      </c>
      <c r="I679">
        <v>3.84</v>
      </c>
      <c r="J679">
        <v>3.99</v>
      </c>
    </row>
    <row r="680" spans="1:10" x14ac:dyDescent="0.25">
      <c r="A680">
        <v>45510</v>
      </c>
      <c r="B680" t="s">
        <v>10</v>
      </c>
      <c r="C680" t="s">
        <v>18</v>
      </c>
      <c r="D680" t="s">
        <v>14</v>
      </c>
      <c r="E680">
        <v>293</v>
      </c>
      <c r="F680">
        <v>22315213.800000001</v>
      </c>
      <c r="G680">
        <v>4844415.7300000004</v>
      </c>
      <c r="H680">
        <v>17470798.07</v>
      </c>
      <c r="I680">
        <v>2.4500000000000002</v>
      </c>
      <c r="J680">
        <v>3.89</v>
      </c>
    </row>
    <row r="681" spans="1:10" x14ac:dyDescent="0.25">
      <c r="A681">
        <v>45318</v>
      </c>
      <c r="B681" t="s">
        <v>10</v>
      </c>
      <c r="C681" t="s">
        <v>11</v>
      </c>
      <c r="D681" t="s">
        <v>14</v>
      </c>
      <c r="E681">
        <v>142</v>
      </c>
      <c r="F681">
        <v>8974393.1400000006</v>
      </c>
      <c r="G681">
        <v>2802909.42</v>
      </c>
      <c r="H681">
        <v>6171483.71</v>
      </c>
      <c r="I681">
        <v>4.9800000000000004</v>
      </c>
      <c r="J681">
        <v>3.84</v>
      </c>
    </row>
    <row r="682" spans="1:10" x14ac:dyDescent="0.25">
      <c r="A682">
        <v>44608</v>
      </c>
      <c r="B682" t="s">
        <v>10</v>
      </c>
      <c r="C682" t="s">
        <v>15</v>
      </c>
      <c r="D682" t="s">
        <v>14</v>
      </c>
      <c r="E682">
        <v>92</v>
      </c>
      <c r="F682">
        <v>6446702.5300000003</v>
      </c>
      <c r="G682">
        <v>2266632.14</v>
      </c>
      <c r="H682">
        <v>4180070.39</v>
      </c>
      <c r="I682">
        <v>3.71</v>
      </c>
      <c r="J682">
        <v>3.64</v>
      </c>
    </row>
    <row r="683" spans="1:10" x14ac:dyDescent="0.25">
      <c r="A683">
        <v>44572</v>
      </c>
      <c r="B683" t="s">
        <v>10</v>
      </c>
      <c r="C683" t="s">
        <v>16</v>
      </c>
      <c r="D683" t="s">
        <v>17</v>
      </c>
      <c r="E683">
        <v>418</v>
      </c>
      <c r="F683">
        <v>33444316.329999998</v>
      </c>
      <c r="G683">
        <v>13043159.109999999</v>
      </c>
      <c r="H683">
        <v>20401157.219999999</v>
      </c>
      <c r="I683">
        <v>4.5999999999999996</v>
      </c>
      <c r="J683">
        <v>3.54</v>
      </c>
    </row>
    <row r="684" spans="1:10" x14ac:dyDescent="0.25">
      <c r="A684">
        <v>44019</v>
      </c>
      <c r="B684" t="s">
        <v>10</v>
      </c>
      <c r="C684" t="s">
        <v>16</v>
      </c>
      <c r="D684" t="s">
        <v>14</v>
      </c>
      <c r="E684">
        <v>274</v>
      </c>
      <c r="F684">
        <v>12821105.699999999</v>
      </c>
      <c r="G684">
        <v>4434034.97</v>
      </c>
      <c r="H684">
        <v>8387070.7300000004</v>
      </c>
      <c r="I684">
        <v>1.61</v>
      </c>
      <c r="J684">
        <v>3.59</v>
      </c>
    </row>
    <row r="685" spans="1:10" x14ac:dyDescent="0.25">
      <c r="A685">
        <v>45185</v>
      </c>
      <c r="B685" t="s">
        <v>10</v>
      </c>
      <c r="C685" t="s">
        <v>16</v>
      </c>
      <c r="D685" t="s">
        <v>17</v>
      </c>
      <c r="E685">
        <v>110</v>
      </c>
      <c r="F685">
        <v>6419867.7599999998</v>
      </c>
      <c r="G685">
        <v>2291450.61</v>
      </c>
      <c r="H685">
        <v>4128417.15</v>
      </c>
      <c r="I685">
        <v>3.19</v>
      </c>
      <c r="J685">
        <v>4.3899999999999997</v>
      </c>
    </row>
    <row r="686" spans="1:10" x14ac:dyDescent="0.25">
      <c r="A686">
        <v>44538</v>
      </c>
      <c r="B686" t="s">
        <v>10</v>
      </c>
      <c r="C686" t="s">
        <v>13</v>
      </c>
      <c r="D686" t="s">
        <v>17</v>
      </c>
      <c r="E686">
        <v>143</v>
      </c>
      <c r="F686">
        <v>12488474.439999999</v>
      </c>
      <c r="G686">
        <v>2901093.01</v>
      </c>
      <c r="H686">
        <v>9587381.4299999997</v>
      </c>
      <c r="I686">
        <v>4.12</v>
      </c>
      <c r="J686">
        <v>4.7300000000000004</v>
      </c>
    </row>
    <row r="687" spans="1:10" x14ac:dyDescent="0.25">
      <c r="A687">
        <v>44290</v>
      </c>
      <c r="B687" t="s">
        <v>10</v>
      </c>
      <c r="C687" t="s">
        <v>11</v>
      </c>
      <c r="D687" t="s">
        <v>17</v>
      </c>
      <c r="E687">
        <v>492</v>
      </c>
      <c r="F687">
        <v>24886226.870000001</v>
      </c>
      <c r="G687">
        <v>6038545.8799999999</v>
      </c>
      <c r="H687">
        <v>18847680.989999998</v>
      </c>
      <c r="I687">
        <v>2.29</v>
      </c>
      <c r="J687">
        <v>4.2699999999999996</v>
      </c>
    </row>
    <row r="688" spans="1:10" x14ac:dyDescent="0.25">
      <c r="A688">
        <v>44450</v>
      </c>
      <c r="B688" t="s">
        <v>10</v>
      </c>
      <c r="C688" t="s">
        <v>18</v>
      </c>
      <c r="D688" t="s">
        <v>17</v>
      </c>
      <c r="E688">
        <v>425</v>
      </c>
      <c r="F688">
        <v>37961542.969999999</v>
      </c>
      <c r="G688">
        <v>12971491.57</v>
      </c>
      <c r="H688">
        <v>24990051.399999999</v>
      </c>
      <c r="I688">
        <v>3.97</v>
      </c>
      <c r="J688">
        <v>4.1399999999999997</v>
      </c>
    </row>
    <row r="689" spans="1:10" x14ac:dyDescent="0.25">
      <c r="A689">
        <v>44085</v>
      </c>
      <c r="B689" t="s">
        <v>10</v>
      </c>
      <c r="C689" t="s">
        <v>15</v>
      </c>
      <c r="D689" t="s">
        <v>14</v>
      </c>
      <c r="E689">
        <v>439</v>
      </c>
      <c r="F689">
        <v>34674209.560000002</v>
      </c>
      <c r="G689">
        <v>11556173.48</v>
      </c>
      <c r="H689">
        <v>23118036.079999998</v>
      </c>
      <c r="I689">
        <v>4.3899999999999997</v>
      </c>
      <c r="J689">
        <v>4.87</v>
      </c>
    </row>
    <row r="690" spans="1:10" x14ac:dyDescent="0.25">
      <c r="A690">
        <v>44379</v>
      </c>
      <c r="B690" t="s">
        <v>10</v>
      </c>
      <c r="C690" t="s">
        <v>15</v>
      </c>
      <c r="D690" t="s">
        <v>14</v>
      </c>
      <c r="E690">
        <v>86</v>
      </c>
      <c r="F690">
        <v>6162370.21</v>
      </c>
      <c r="G690">
        <v>1494514.01</v>
      </c>
      <c r="H690">
        <v>4667856.2</v>
      </c>
      <c r="I690">
        <v>2.54</v>
      </c>
      <c r="J690">
        <v>4.45</v>
      </c>
    </row>
    <row r="691" spans="1:10" x14ac:dyDescent="0.25">
      <c r="A691">
        <v>45415</v>
      </c>
      <c r="B691" t="s">
        <v>10</v>
      </c>
      <c r="C691" t="s">
        <v>16</v>
      </c>
      <c r="D691" t="s">
        <v>14</v>
      </c>
      <c r="E691">
        <v>412</v>
      </c>
      <c r="F691">
        <v>28876043.59</v>
      </c>
      <c r="G691">
        <v>6735954.3399999999</v>
      </c>
      <c r="H691">
        <v>22140089.25</v>
      </c>
      <c r="I691">
        <v>2.75</v>
      </c>
      <c r="J691">
        <v>4.3</v>
      </c>
    </row>
    <row r="692" spans="1:10" x14ac:dyDescent="0.25">
      <c r="A692">
        <v>44988</v>
      </c>
      <c r="B692" t="s">
        <v>10</v>
      </c>
      <c r="C692" t="s">
        <v>16</v>
      </c>
      <c r="D692" t="s">
        <v>14</v>
      </c>
      <c r="E692">
        <v>156</v>
      </c>
      <c r="F692">
        <v>13493287.73</v>
      </c>
      <c r="G692">
        <v>5224583.88</v>
      </c>
      <c r="H692">
        <v>8268703.8499999996</v>
      </c>
      <c r="I692">
        <v>4.21</v>
      </c>
      <c r="J692">
        <v>3.94</v>
      </c>
    </row>
    <row r="693" spans="1:10" x14ac:dyDescent="0.25">
      <c r="A693">
        <v>44010</v>
      </c>
      <c r="B693" t="s">
        <v>10</v>
      </c>
      <c r="C693" t="s">
        <v>13</v>
      </c>
      <c r="D693" t="s">
        <v>17</v>
      </c>
      <c r="E693">
        <v>188</v>
      </c>
      <c r="F693">
        <v>12772061.439999999</v>
      </c>
      <c r="G693">
        <v>4595135.51</v>
      </c>
      <c r="H693">
        <v>8176925.9199999999</v>
      </c>
      <c r="I693">
        <v>3.16</v>
      </c>
      <c r="J693">
        <v>4.1100000000000003</v>
      </c>
    </row>
    <row r="694" spans="1:10" x14ac:dyDescent="0.25">
      <c r="A694">
        <v>44751</v>
      </c>
      <c r="B694" t="s">
        <v>10</v>
      </c>
      <c r="C694" t="s">
        <v>15</v>
      </c>
      <c r="D694" t="s">
        <v>14</v>
      </c>
      <c r="E694">
        <v>412</v>
      </c>
      <c r="F694">
        <v>25548229.23</v>
      </c>
      <c r="G694">
        <v>5482084.7199999997</v>
      </c>
      <c r="H694">
        <v>20066144.510000002</v>
      </c>
      <c r="I694">
        <v>0.97</v>
      </c>
      <c r="J694">
        <v>4.6500000000000004</v>
      </c>
    </row>
    <row r="695" spans="1:10" x14ac:dyDescent="0.25">
      <c r="A695">
        <v>44910</v>
      </c>
      <c r="B695" t="s">
        <v>10</v>
      </c>
      <c r="C695" t="s">
        <v>16</v>
      </c>
      <c r="D695" t="s">
        <v>12</v>
      </c>
      <c r="E695">
        <v>471</v>
      </c>
      <c r="F695">
        <v>33457275.07</v>
      </c>
      <c r="G695">
        <v>11641548.539999999</v>
      </c>
      <c r="H695">
        <v>21815726.530000001</v>
      </c>
      <c r="I695">
        <v>1.22</v>
      </c>
      <c r="J695">
        <v>3.74</v>
      </c>
    </row>
    <row r="696" spans="1:10" x14ac:dyDescent="0.25">
      <c r="A696">
        <v>45029</v>
      </c>
      <c r="B696" t="s">
        <v>10</v>
      </c>
      <c r="C696" t="s">
        <v>11</v>
      </c>
      <c r="D696" t="s">
        <v>17</v>
      </c>
      <c r="E696">
        <v>182</v>
      </c>
      <c r="F696">
        <v>14243089.050000001</v>
      </c>
      <c r="G696">
        <v>3012324.15</v>
      </c>
      <c r="H696">
        <v>11230764.9</v>
      </c>
      <c r="I696">
        <v>3.86</v>
      </c>
      <c r="J696">
        <v>4.58</v>
      </c>
    </row>
    <row r="697" spans="1:10" x14ac:dyDescent="0.25">
      <c r="A697">
        <v>43864</v>
      </c>
      <c r="B697" t="s">
        <v>10</v>
      </c>
      <c r="C697" t="s">
        <v>15</v>
      </c>
      <c r="D697" t="s">
        <v>17</v>
      </c>
      <c r="E697">
        <v>352</v>
      </c>
      <c r="F697">
        <v>25584200.239999998</v>
      </c>
      <c r="G697">
        <v>9668617.9100000001</v>
      </c>
      <c r="H697">
        <v>15915582.32</v>
      </c>
      <c r="I697">
        <v>1.8</v>
      </c>
      <c r="J697">
        <v>3.96</v>
      </c>
    </row>
    <row r="698" spans="1:10" x14ac:dyDescent="0.25">
      <c r="A698">
        <v>44892</v>
      </c>
      <c r="B698" t="s">
        <v>10</v>
      </c>
      <c r="C698" t="s">
        <v>18</v>
      </c>
      <c r="D698" t="s">
        <v>14</v>
      </c>
      <c r="E698">
        <v>493</v>
      </c>
      <c r="F698">
        <v>29275256.010000002</v>
      </c>
      <c r="G698">
        <v>8470033.0700000003</v>
      </c>
      <c r="H698">
        <v>20805222.940000001</v>
      </c>
      <c r="I698">
        <v>1.65</v>
      </c>
      <c r="J698">
        <v>4.6100000000000003</v>
      </c>
    </row>
    <row r="699" spans="1:10" x14ac:dyDescent="0.25">
      <c r="A699">
        <v>45451</v>
      </c>
      <c r="B699" t="s">
        <v>10</v>
      </c>
      <c r="C699" t="s">
        <v>16</v>
      </c>
      <c r="D699" t="s">
        <v>12</v>
      </c>
      <c r="E699">
        <v>427</v>
      </c>
      <c r="F699">
        <v>34403628.219999999</v>
      </c>
      <c r="G699">
        <v>8330543.75</v>
      </c>
      <c r="H699">
        <v>26073084.469999999</v>
      </c>
      <c r="I699">
        <v>1.89</v>
      </c>
      <c r="J699">
        <v>4.87</v>
      </c>
    </row>
    <row r="700" spans="1:10" x14ac:dyDescent="0.25">
      <c r="A700">
        <v>45417</v>
      </c>
      <c r="B700" t="s">
        <v>10</v>
      </c>
      <c r="C700" t="s">
        <v>13</v>
      </c>
      <c r="D700" t="s">
        <v>12</v>
      </c>
      <c r="E700">
        <v>401</v>
      </c>
      <c r="F700">
        <v>31378119.800000001</v>
      </c>
      <c r="G700">
        <v>8583694.2899999991</v>
      </c>
      <c r="H700">
        <v>22794425.510000002</v>
      </c>
      <c r="I700">
        <v>2.1800000000000002</v>
      </c>
      <c r="J700">
        <v>3.91</v>
      </c>
    </row>
    <row r="701" spans="1:10" x14ac:dyDescent="0.25">
      <c r="A701">
        <v>44267</v>
      </c>
      <c r="B701" t="s">
        <v>10</v>
      </c>
      <c r="C701" t="s">
        <v>16</v>
      </c>
      <c r="D701" t="s">
        <v>17</v>
      </c>
      <c r="E701">
        <v>385</v>
      </c>
      <c r="F701">
        <v>32031064</v>
      </c>
      <c r="G701">
        <v>12155353.4</v>
      </c>
      <c r="H701">
        <v>19875710.59</v>
      </c>
      <c r="I701">
        <v>2.27</v>
      </c>
      <c r="J701">
        <v>4.33</v>
      </c>
    </row>
    <row r="702" spans="1:10" x14ac:dyDescent="0.25">
      <c r="A702">
        <v>43917</v>
      </c>
      <c r="B702" t="s">
        <v>10</v>
      </c>
      <c r="C702" t="s">
        <v>16</v>
      </c>
      <c r="D702" t="s">
        <v>12</v>
      </c>
      <c r="E702">
        <v>84</v>
      </c>
      <c r="F702">
        <v>4551872.1500000004</v>
      </c>
      <c r="G702">
        <v>1345898.11</v>
      </c>
      <c r="H702">
        <v>3205974.04</v>
      </c>
      <c r="I702">
        <v>4.08</v>
      </c>
      <c r="J702">
        <v>4.83</v>
      </c>
    </row>
    <row r="703" spans="1:10" x14ac:dyDescent="0.25">
      <c r="A703">
        <v>44419</v>
      </c>
      <c r="B703" t="s">
        <v>10</v>
      </c>
      <c r="C703" t="s">
        <v>13</v>
      </c>
      <c r="D703" t="s">
        <v>14</v>
      </c>
      <c r="E703">
        <v>125</v>
      </c>
      <c r="F703">
        <v>10279004.42</v>
      </c>
      <c r="G703">
        <v>2573131.14</v>
      </c>
      <c r="H703">
        <v>7705873.2800000003</v>
      </c>
      <c r="I703">
        <v>2.48</v>
      </c>
      <c r="J703">
        <v>4.42</v>
      </c>
    </row>
    <row r="704" spans="1:10" x14ac:dyDescent="0.25">
      <c r="A704">
        <v>44522</v>
      </c>
      <c r="B704" t="s">
        <v>10</v>
      </c>
      <c r="C704" t="s">
        <v>16</v>
      </c>
      <c r="D704" t="s">
        <v>12</v>
      </c>
      <c r="E704">
        <v>334</v>
      </c>
      <c r="F704">
        <v>20125306.219999999</v>
      </c>
      <c r="G704">
        <v>6395445.54</v>
      </c>
      <c r="H704">
        <v>13729860.689999999</v>
      </c>
      <c r="I704">
        <v>3.75</v>
      </c>
      <c r="J704">
        <v>4.08</v>
      </c>
    </row>
    <row r="705" spans="1:10" x14ac:dyDescent="0.25">
      <c r="A705">
        <v>44383</v>
      </c>
      <c r="B705" t="s">
        <v>10</v>
      </c>
      <c r="C705" t="s">
        <v>18</v>
      </c>
      <c r="D705" t="s">
        <v>17</v>
      </c>
      <c r="E705">
        <v>161</v>
      </c>
      <c r="F705">
        <v>6675916.7599999998</v>
      </c>
      <c r="G705">
        <v>2449681.61</v>
      </c>
      <c r="H705">
        <v>4226235.16</v>
      </c>
      <c r="I705">
        <v>0.51</v>
      </c>
      <c r="J705">
        <v>4.58</v>
      </c>
    </row>
    <row r="706" spans="1:10" x14ac:dyDescent="0.25">
      <c r="A706">
        <v>45130</v>
      </c>
      <c r="B706" t="s">
        <v>10</v>
      </c>
      <c r="C706" t="s">
        <v>11</v>
      </c>
      <c r="D706" t="s">
        <v>12</v>
      </c>
      <c r="E706">
        <v>183</v>
      </c>
      <c r="F706">
        <v>14350635.029999999</v>
      </c>
      <c r="G706">
        <v>4888438.54</v>
      </c>
      <c r="H706">
        <v>9462196.4900000002</v>
      </c>
      <c r="I706">
        <v>2.94</v>
      </c>
      <c r="J706">
        <v>4.0199999999999996</v>
      </c>
    </row>
    <row r="707" spans="1:10" x14ac:dyDescent="0.25">
      <c r="A707">
        <v>44767</v>
      </c>
      <c r="B707" t="s">
        <v>10</v>
      </c>
      <c r="C707" t="s">
        <v>13</v>
      </c>
      <c r="D707" t="s">
        <v>14</v>
      </c>
      <c r="E707">
        <v>175</v>
      </c>
      <c r="F707">
        <v>7720326.2000000002</v>
      </c>
      <c r="G707">
        <v>1712591.42</v>
      </c>
      <c r="H707">
        <v>6007734.79</v>
      </c>
      <c r="I707">
        <v>1.59</v>
      </c>
      <c r="J707">
        <v>4.03</v>
      </c>
    </row>
    <row r="708" spans="1:10" x14ac:dyDescent="0.25">
      <c r="A708">
        <v>44198</v>
      </c>
      <c r="B708" t="s">
        <v>10</v>
      </c>
      <c r="C708" t="s">
        <v>15</v>
      </c>
      <c r="D708" t="s">
        <v>12</v>
      </c>
      <c r="E708">
        <v>164</v>
      </c>
      <c r="F708">
        <v>7745698.9699999997</v>
      </c>
      <c r="G708">
        <v>2293928.14</v>
      </c>
      <c r="H708">
        <v>5451770.8300000001</v>
      </c>
      <c r="I708">
        <v>3.23</v>
      </c>
      <c r="J708">
        <v>3.87</v>
      </c>
    </row>
    <row r="709" spans="1:10" x14ac:dyDescent="0.25">
      <c r="A709">
        <v>44681</v>
      </c>
      <c r="B709" t="s">
        <v>10</v>
      </c>
      <c r="C709" t="s">
        <v>13</v>
      </c>
      <c r="D709" t="s">
        <v>17</v>
      </c>
      <c r="E709">
        <v>296</v>
      </c>
      <c r="F709">
        <v>14327915.98</v>
      </c>
      <c r="G709">
        <v>4964334.04</v>
      </c>
      <c r="H709">
        <v>9363581.9399999995</v>
      </c>
      <c r="I709">
        <v>2.0099999999999998</v>
      </c>
      <c r="J709">
        <v>4.62</v>
      </c>
    </row>
    <row r="710" spans="1:10" x14ac:dyDescent="0.25">
      <c r="A710">
        <v>45465</v>
      </c>
      <c r="B710" t="s">
        <v>10</v>
      </c>
      <c r="C710" t="s">
        <v>15</v>
      </c>
      <c r="D710" t="s">
        <v>14</v>
      </c>
      <c r="E710">
        <v>201</v>
      </c>
      <c r="F710">
        <v>13848201.869999999</v>
      </c>
      <c r="G710">
        <v>3996927.73</v>
      </c>
      <c r="H710">
        <v>9851274.1400000006</v>
      </c>
      <c r="I710">
        <v>2.37</v>
      </c>
      <c r="J710">
        <v>4.1399999999999997</v>
      </c>
    </row>
    <row r="711" spans="1:10" x14ac:dyDescent="0.25">
      <c r="A711">
        <v>44583</v>
      </c>
      <c r="B711" t="s">
        <v>10</v>
      </c>
      <c r="C711" t="s">
        <v>16</v>
      </c>
      <c r="D711" t="s">
        <v>12</v>
      </c>
      <c r="E711">
        <v>68</v>
      </c>
      <c r="F711">
        <v>4919379.5599999996</v>
      </c>
      <c r="G711">
        <v>1562528.03</v>
      </c>
      <c r="H711">
        <v>3356851.54</v>
      </c>
      <c r="I711">
        <v>3.89</v>
      </c>
      <c r="J711">
        <v>3.81</v>
      </c>
    </row>
    <row r="712" spans="1:10" x14ac:dyDescent="0.25">
      <c r="A712">
        <v>45142</v>
      </c>
      <c r="B712" t="s">
        <v>10</v>
      </c>
      <c r="C712" t="s">
        <v>16</v>
      </c>
      <c r="D712" t="s">
        <v>12</v>
      </c>
      <c r="E712">
        <v>403</v>
      </c>
      <c r="F712">
        <v>23236051.18</v>
      </c>
      <c r="G712">
        <v>5248898.6399999997</v>
      </c>
      <c r="H712">
        <v>17987152.530000001</v>
      </c>
      <c r="I712">
        <v>3.34</v>
      </c>
      <c r="J712">
        <v>4.3</v>
      </c>
    </row>
    <row r="713" spans="1:10" x14ac:dyDescent="0.25">
      <c r="A713">
        <v>45004</v>
      </c>
      <c r="B713" t="s">
        <v>10</v>
      </c>
      <c r="C713" t="s">
        <v>11</v>
      </c>
      <c r="D713" t="s">
        <v>17</v>
      </c>
      <c r="E713">
        <v>254</v>
      </c>
      <c r="F713">
        <v>18621882.98</v>
      </c>
      <c r="G713">
        <v>5602565.75</v>
      </c>
      <c r="H713">
        <v>13019317.23</v>
      </c>
      <c r="I713">
        <v>4.7</v>
      </c>
      <c r="J713">
        <v>4.16</v>
      </c>
    </row>
    <row r="714" spans="1:10" x14ac:dyDescent="0.25">
      <c r="A714">
        <v>44667</v>
      </c>
      <c r="B714" t="s">
        <v>10</v>
      </c>
      <c r="C714" t="s">
        <v>18</v>
      </c>
      <c r="D714" t="s">
        <v>12</v>
      </c>
      <c r="E714">
        <v>393</v>
      </c>
      <c r="F714">
        <v>28714171.879999999</v>
      </c>
      <c r="G714">
        <v>10301197.02</v>
      </c>
      <c r="H714">
        <v>18412974.859999999</v>
      </c>
      <c r="I714">
        <v>2.2599999999999998</v>
      </c>
      <c r="J714">
        <v>4.84</v>
      </c>
    </row>
    <row r="715" spans="1:10" x14ac:dyDescent="0.25">
      <c r="A715">
        <v>44844</v>
      </c>
      <c r="B715" t="s">
        <v>10</v>
      </c>
      <c r="C715" t="s">
        <v>16</v>
      </c>
      <c r="D715" t="s">
        <v>12</v>
      </c>
      <c r="E715">
        <v>56</v>
      </c>
      <c r="F715">
        <v>4340799.0999999996</v>
      </c>
      <c r="G715">
        <v>910315.9</v>
      </c>
      <c r="H715">
        <v>3430483.2</v>
      </c>
      <c r="I715">
        <v>3.99</v>
      </c>
      <c r="J715">
        <v>4.42</v>
      </c>
    </row>
    <row r="716" spans="1:10" x14ac:dyDescent="0.25">
      <c r="A716">
        <v>44121</v>
      </c>
      <c r="B716" t="s">
        <v>10</v>
      </c>
      <c r="C716" t="s">
        <v>11</v>
      </c>
      <c r="D716" t="s">
        <v>17</v>
      </c>
      <c r="E716">
        <v>220</v>
      </c>
      <c r="F716">
        <v>8535455.4700000007</v>
      </c>
      <c r="G716">
        <v>2604585.66</v>
      </c>
      <c r="H716">
        <v>5930869.7999999998</v>
      </c>
      <c r="I716">
        <v>3.02</v>
      </c>
      <c r="J716">
        <v>4.4400000000000004</v>
      </c>
    </row>
    <row r="717" spans="1:10" x14ac:dyDescent="0.25">
      <c r="A717">
        <v>44394</v>
      </c>
      <c r="B717" t="s">
        <v>10</v>
      </c>
      <c r="C717" t="s">
        <v>16</v>
      </c>
      <c r="D717" t="s">
        <v>12</v>
      </c>
      <c r="E717">
        <v>465</v>
      </c>
      <c r="F717">
        <v>34551950.609999999</v>
      </c>
      <c r="G717">
        <v>7728832.8499999996</v>
      </c>
      <c r="H717">
        <v>26823117.75</v>
      </c>
      <c r="I717">
        <v>3.79</v>
      </c>
      <c r="J717">
        <v>4.55</v>
      </c>
    </row>
    <row r="718" spans="1:10" x14ac:dyDescent="0.25">
      <c r="A718">
        <v>45389</v>
      </c>
      <c r="B718" t="s">
        <v>10</v>
      </c>
      <c r="C718" t="s">
        <v>11</v>
      </c>
      <c r="D718" t="s">
        <v>17</v>
      </c>
      <c r="E718">
        <v>361</v>
      </c>
      <c r="F718">
        <v>29236117</v>
      </c>
      <c r="G718">
        <v>6891605.54</v>
      </c>
      <c r="H718">
        <v>22344511.449999999</v>
      </c>
      <c r="I718">
        <v>4.29</v>
      </c>
      <c r="J718">
        <v>4.2300000000000004</v>
      </c>
    </row>
    <row r="719" spans="1:10" x14ac:dyDescent="0.25">
      <c r="A719">
        <v>44424</v>
      </c>
      <c r="B719" t="s">
        <v>10</v>
      </c>
      <c r="C719" t="s">
        <v>15</v>
      </c>
      <c r="D719" t="s">
        <v>12</v>
      </c>
      <c r="E719">
        <v>484</v>
      </c>
      <c r="F719">
        <v>24540243.73</v>
      </c>
      <c r="G719">
        <v>7207089.7199999997</v>
      </c>
      <c r="H719">
        <v>17333154.010000002</v>
      </c>
      <c r="I719">
        <v>2.8</v>
      </c>
      <c r="J719">
        <v>4.7300000000000004</v>
      </c>
    </row>
    <row r="720" spans="1:10" x14ac:dyDescent="0.25">
      <c r="A720">
        <v>44476</v>
      </c>
      <c r="B720" t="s">
        <v>10</v>
      </c>
      <c r="C720" t="s">
        <v>18</v>
      </c>
      <c r="D720" t="s">
        <v>12</v>
      </c>
      <c r="E720">
        <v>474</v>
      </c>
      <c r="F720">
        <v>39598335.990000002</v>
      </c>
      <c r="G720">
        <v>12146316.32</v>
      </c>
      <c r="H720">
        <v>27452019.670000002</v>
      </c>
      <c r="I720">
        <v>0.84</v>
      </c>
      <c r="J720">
        <v>4.08</v>
      </c>
    </row>
    <row r="721" spans="1:10" x14ac:dyDescent="0.25">
      <c r="A721">
        <v>45518</v>
      </c>
      <c r="B721" t="s">
        <v>10</v>
      </c>
      <c r="C721" t="s">
        <v>15</v>
      </c>
      <c r="D721" t="s">
        <v>17</v>
      </c>
      <c r="E721">
        <v>281</v>
      </c>
      <c r="F721">
        <v>10074681.25</v>
      </c>
      <c r="G721">
        <v>3463913.25</v>
      </c>
      <c r="H721">
        <v>6610768</v>
      </c>
      <c r="I721">
        <v>1.44</v>
      </c>
      <c r="J721">
        <v>3.56</v>
      </c>
    </row>
    <row r="722" spans="1:10" x14ac:dyDescent="0.25">
      <c r="A722">
        <v>43970</v>
      </c>
      <c r="B722" t="s">
        <v>10</v>
      </c>
      <c r="C722" t="s">
        <v>15</v>
      </c>
      <c r="D722" t="s">
        <v>14</v>
      </c>
      <c r="E722">
        <v>55</v>
      </c>
      <c r="F722">
        <v>3102949.94</v>
      </c>
      <c r="G722">
        <v>904968.55</v>
      </c>
      <c r="H722">
        <v>2197981.39</v>
      </c>
      <c r="I722">
        <v>4.8600000000000003</v>
      </c>
      <c r="J722">
        <v>3.6</v>
      </c>
    </row>
    <row r="723" spans="1:10" x14ac:dyDescent="0.25">
      <c r="A723">
        <v>44847</v>
      </c>
      <c r="B723" t="s">
        <v>10</v>
      </c>
      <c r="C723" t="s">
        <v>11</v>
      </c>
      <c r="D723" t="s">
        <v>14</v>
      </c>
      <c r="E723">
        <v>362</v>
      </c>
      <c r="F723">
        <v>32215793.190000001</v>
      </c>
      <c r="G723">
        <v>9983812.3800000008</v>
      </c>
      <c r="H723">
        <v>22231980.809999999</v>
      </c>
      <c r="I723">
        <v>2.81</v>
      </c>
      <c r="J723">
        <v>4.9800000000000004</v>
      </c>
    </row>
    <row r="724" spans="1:10" x14ac:dyDescent="0.25">
      <c r="A724">
        <v>45621</v>
      </c>
      <c r="B724" t="s">
        <v>10</v>
      </c>
      <c r="C724" t="s">
        <v>11</v>
      </c>
      <c r="D724" t="s">
        <v>14</v>
      </c>
      <c r="E724">
        <v>69</v>
      </c>
      <c r="F724">
        <v>6199307.0300000003</v>
      </c>
      <c r="G724">
        <v>1786566.78</v>
      </c>
      <c r="H724">
        <v>4412740.25</v>
      </c>
      <c r="I724">
        <v>1.95</v>
      </c>
      <c r="J724">
        <v>3.83</v>
      </c>
    </row>
    <row r="725" spans="1:10" x14ac:dyDescent="0.25">
      <c r="A725">
        <v>45218</v>
      </c>
      <c r="B725" t="s">
        <v>10</v>
      </c>
      <c r="C725" t="s">
        <v>16</v>
      </c>
      <c r="D725" t="s">
        <v>17</v>
      </c>
      <c r="E725">
        <v>231</v>
      </c>
      <c r="F725">
        <v>17349927.41</v>
      </c>
      <c r="G725">
        <v>4828800.79</v>
      </c>
      <c r="H725">
        <v>12521126.619999999</v>
      </c>
      <c r="I725">
        <v>3.68</v>
      </c>
      <c r="J725">
        <v>4.0599999999999996</v>
      </c>
    </row>
    <row r="726" spans="1:10" x14ac:dyDescent="0.25">
      <c r="A726">
        <v>44829</v>
      </c>
      <c r="B726" t="s">
        <v>10</v>
      </c>
      <c r="C726" t="s">
        <v>13</v>
      </c>
      <c r="D726" t="s">
        <v>14</v>
      </c>
      <c r="E726">
        <v>109</v>
      </c>
      <c r="F726">
        <v>8147812.8200000003</v>
      </c>
      <c r="G726">
        <v>2188943.35</v>
      </c>
      <c r="H726">
        <v>5958869.4800000004</v>
      </c>
      <c r="I726">
        <v>3.69</v>
      </c>
      <c r="J726">
        <v>3.51</v>
      </c>
    </row>
    <row r="727" spans="1:10" x14ac:dyDescent="0.25">
      <c r="A727">
        <v>44551</v>
      </c>
      <c r="B727" t="s">
        <v>10</v>
      </c>
      <c r="C727" t="s">
        <v>13</v>
      </c>
      <c r="D727" t="s">
        <v>14</v>
      </c>
      <c r="E727">
        <v>284</v>
      </c>
      <c r="F727">
        <v>22925963.57</v>
      </c>
      <c r="G727">
        <v>5308160.66</v>
      </c>
      <c r="H727">
        <v>17617802.91</v>
      </c>
      <c r="I727">
        <v>2.1800000000000002</v>
      </c>
      <c r="J727">
        <v>4.45</v>
      </c>
    </row>
    <row r="728" spans="1:10" x14ac:dyDescent="0.25">
      <c r="A728">
        <v>45394</v>
      </c>
      <c r="B728" t="s">
        <v>10</v>
      </c>
      <c r="C728" t="s">
        <v>15</v>
      </c>
      <c r="D728" t="s">
        <v>17</v>
      </c>
      <c r="E728">
        <v>366</v>
      </c>
      <c r="F728">
        <v>14897049.83</v>
      </c>
      <c r="G728">
        <v>5813848.7999999998</v>
      </c>
      <c r="H728">
        <v>9083201.0299999993</v>
      </c>
      <c r="I728">
        <v>3.11</v>
      </c>
      <c r="J728">
        <v>4.1399999999999997</v>
      </c>
    </row>
    <row r="729" spans="1:10" x14ac:dyDescent="0.25">
      <c r="A729">
        <v>44309</v>
      </c>
      <c r="B729" t="s">
        <v>10</v>
      </c>
      <c r="C729" t="s">
        <v>13</v>
      </c>
      <c r="D729" t="s">
        <v>14</v>
      </c>
      <c r="E729">
        <v>363</v>
      </c>
      <c r="F729">
        <v>28316830.940000001</v>
      </c>
      <c r="G729">
        <v>7069313.8799999999</v>
      </c>
      <c r="H729">
        <v>21247517.07</v>
      </c>
      <c r="I729">
        <v>4.1100000000000003</v>
      </c>
      <c r="J729">
        <v>4.28</v>
      </c>
    </row>
    <row r="730" spans="1:10" x14ac:dyDescent="0.25">
      <c r="A730">
        <v>45224</v>
      </c>
      <c r="B730" t="s">
        <v>10</v>
      </c>
      <c r="C730" t="s">
        <v>18</v>
      </c>
      <c r="D730" t="s">
        <v>14</v>
      </c>
      <c r="E730">
        <v>258</v>
      </c>
      <c r="F730">
        <v>9237574.9900000002</v>
      </c>
      <c r="G730">
        <v>3312146.74</v>
      </c>
      <c r="H730">
        <v>5925428.25</v>
      </c>
      <c r="I730">
        <v>3.71</v>
      </c>
      <c r="J730">
        <v>4.08</v>
      </c>
    </row>
    <row r="731" spans="1:10" x14ac:dyDescent="0.25">
      <c r="A731">
        <v>44446</v>
      </c>
      <c r="B731" t="s">
        <v>10</v>
      </c>
      <c r="C731" t="s">
        <v>16</v>
      </c>
      <c r="D731" t="s">
        <v>17</v>
      </c>
      <c r="E731">
        <v>141</v>
      </c>
      <c r="F731">
        <v>6447032.6799999997</v>
      </c>
      <c r="G731">
        <v>1430713.22</v>
      </c>
      <c r="H731">
        <v>5016319.46</v>
      </c>
      <c r="I731">
        <v>3.87</v>
      </c>
      <c r="J731">
        <v>4.8600000000000003</v>
      </c>
    </row>
    <row r="732" spans="1:10" x14ac:dyDescent="0.25">
      <c r="A732">
        <v>43866</v>
      </c>
      <c r="B732" t="s">
        <v>10</v>
      </c>
      <c r="C732" t="s">
        <v>11</v>
      </c>
      <c r="D732" t="s">
        <v>17</v>
      </c>
      <c r="E732">
        <v>264</v>
      </c>
      <c r="F732">
        <v>18030578.719999999</v>
      </c>
      <c r="G732">
        <v>5650195.1699999999</v>
      </c>
      <c r="H732">
        <v>12380383.550000001</v>
      </c>
      <c r="I732">
        <v>3.98</v>
      </c>
      <c r="J732">
        <v>4.78</v>
      </c>
    </row>
    <row r="733" spans="1:10" x14ac:dyDescent="0.25">
      <c r="A733">
        <v>43894</v>
      </c>
      <c r="B733" t="s">
        <v>10</v>
      </c>
      <c r="C733" t="s">
        <v>16</v>
      </c>
      <c r="D733" t="s">
        <v>14</v>
      </c>
      <c r="E733">
        <v>294</v>
      </c>
      <c r="F733">
        <v>20515767.710000001</v>
      </c>
      <c r="G733">
        <v>7564259.0899999999</v>
      </c>
      <c r="H733">
        <v>12951508.619999999</v>
      </c>
      <c r="I733">
        <v>2.63</v>
      </c>
      <c r="J733">
        <v>4.57</v>
      </c>
    </row>
    <row r="734" spans="1:10" x14ac:dyDescent="0.25">
      <c r="A734">
        <v>44213</v>
      </c>
      <c r="B734" t="s">
        <v>10</v>
      </c>
      <c r="C734" t="s">
        <v>11</v>
      </c>
      <c r="D734" t="s">
        <v>17</v>
      </c>
      <c r="E734">
        <v>103</v>
      </c>
      <c r="F734">
        <v>5792890.9400000004</v>
      </c>
      <c r="G734">
        <v>1635327.39</v>
      </c>
      <c r="H734">
        <v>4157563.54</v>
      </c>
      <c r="I734">
        <v>1.33</v>
      </c>
      <c r="J734">
        <v>4.4000000000000004</v>
      </c>
    </row>
    <row r="735" spans="1:10" x14ac:dyDescent="0.25">
      <c r="A735">
        <v>44992</v>
      </c>
      <c r="B735" t="s">
        <v>10</v>
      </c>
      <c r="C735" t="s">
        <v>11</v>
      </c>
      <c r="D735" t="s">
        <v>17</v>
      </c>
      <c r="E735">
        <v>435</v>
      </c>
      <c r="F735">
        <v>25389556.420000002</v>
      </c>
      <c r="G735">
        <v>5545899.1299999999</v>
      </c>
      <c r="H735">
        <v>19843657.280000001</v>
      </c>
      <c r="I735">
        <v>2.78</v>
      </c>
      <c r="J735">
        <v>3.78</v>
      </c>
    </row>
    <row r="736" spans="1:10" x14ac:dyDescent="0.25">
      <c r="A736">
        <v>45419</v>
      </c>
      <c r="B736" t="s">
        <v>10</v>
      </c>
      <c r="C736" t="s">
        <v>13</v>
      </c>
      <c r="D736" t="s">
        <v>17</v>
      </c>
      <c r="E736">
        <v>130</v>
      </c>
      <c r="F736">
        <v>8730376.8399999999</v>
      </c>
      <c r="G736">
        <v>3258786.75</v>
      </c>
      <c r="H736">
        <v>5471590.0999999996</v>
      </c>
      <c r="I736">
        <v>2.5</v>
      </c>
      <c r="J736">
        <v>4.18</v>
      </c>
    </row>
    <row r="737" spans="1:10" x14ac:dyDescent="0.25">
      <c r="A737">
        <v>44590</v>
      </c>
      <c r="B737" t="s">
        <v>10</v>
      </c>
      <c r="C737" t="s">
        <v>11</v>
      </c>
      <c r="D737" t="s">
        <v>12</v>
      </c>
      <c r="E737">
        <v>367</v>
      </c>
      <c r="F737">
        <v>28917133.68</v>
      </c>
      <c r="G737">
        <v>9994073.4800000004</v>
      </c>
      <c r="H737">
        <v>18923060.199999999</v>
      </c>
      <c r="I737">
        <v>3.62</v>
      </c>
      <c r="J737">
        <v>3.9</v>
      </c>
    </row>
    <row r="738" spans="1:10" x14ac:dyDescent="0.25">
      <c r="A738">
        <v>44872</v>
      </c>
      <c r="B738" t="s">
        <v>10</v>
      </c>
      <c r="C738" t="s">
        <v>11</v>
      </c>
      <c r="D738" t="s">
        <v>12</v>
      </c>
      <c r="E738">
        <v>215</v>
      </c>
      <c r="F738">
        <v>16372853.23</v>
      </c>
      <c r="G738">
        <v>5812225.7699999996</v>
      </c>
      <c r="H738">
        <v>10560627.460000001</v>
      </c>
      <c r="I738">
        <v>2.88</v>
      </c>
      <c r="J738">
        <v>4.74</v>
      </c>
    </row>
    <row r="739" spans="1:10" x14ac:dyDescent="0.25">
      <c r="A739">
        <v>44826</v>
      </c>
      <c r="B739" t="s">
        <v>10</v>
      </c>
      <c r="C739" t="s">
        <v>16</v>
      </c>
      <c r="D739" t="s">
        <v>17</v>
      </c>
      <c r="E739">
        <v>454</v>
      </c>
      <c r="F739">
        <v>33235184.739999998</v>
      </c>
      <c r="G739">
        <v>11840263.140000001</v>
      </c>
      <c r="H739">
        <v>21394921.609999999</v>
      </c>
      <c r="I739">
        <v>3.18</v>
      </c>
      <c r="J739">
        <v>3.9</v>
      </c>
    </row>
    <row r="740" spans="1:10" x14ac:dyDescent="0.25">
      <c r="A740">
        <v>45279</v>
      </c>
      <c r="B740" t="s">
        <v>10</v>
      </c>
      <c r="C740" t="s">
        <v>11</v>
      </c>
      <c r="D740" t="s">
        <v>14</v>
      </c>
      <c r="E740">
        <v>486</v>
      </c>
      <c r="F740">
        <v>38793338.939999998</v>
      </c>
      <c r="G740">
        <v>9480896.1799999997</v>
      </c>
      <c r="H740">
        <v>29312442.760000002</v>
      </c>
      <c r="I740">
        <v>3.92</v>
      </c>
      <c r="J740">
        <v>3.78</v>
      </c>
    </row>
    <row r="741" spans="1:10" x14ac:dyDescent="0.25">
      <c r="A741">
        <v>45503</v>
      </c>
      <c r="B741" t="s">
        <v>10</v>
      </c>
      <c r="C741" t="s">
        <v>18</v>
      </c>
      <c r="D741" t="s">
        <v>12</v>
      </c>
      <c r="E741">
        <v>389</v>
      </c>
      <c r="F741">
        <v>30167510.579999998</v>
      </c>
      <c r="G741">
        <v>7554918.6100000003</v>
      </c>
      <c r="H741">
        <v>22612591.969999999</v>
      </c>
      <c r="I741">
        <v>1.18</v>
      </c>
      <c r="J741">
        <v>3.83</v>
      </c>
    </row>
    <row r="742" spans="1:10" x14ac:dyDescent="0.25">
      <c r="A742">
        <v>44563</v>
      </c>
      <c r="B742" t="s">
        <v>10</v>
      </c>
      <c r="C742" t="s">
        <v>16</v>
      </c>
      <c r="D742" t="s">
        <v>17</v>
      </c>
      <c r="E742">
        <v>214</v>
      </c>
      <c r="F742">
        <v>10545214.810000001</v>
      </c>
      <c r="G742">
        <v>4147060.94</v>
      </c>
      <c r="H742">
        <v>6398153.8700000001</v>
      </c>
      <c r="I742">
        <v>4.46</v>
      </c>
      <c r="J742">
        <v>3.87</v>
      </c>
    </row>
    <row r="743" spans="1:10" x14ac:dyDescent="0.25">
      <c r="A743">
        <v>44178</v>
      </c>
      <c r="B743" t="s">
        <v>10</v>
      </c>
      <c r="C743" t="s">
        <v>18</v>
      </c>
      <c r="D743" t="s">
        <v>12</v>
      </c>
      <c r="E743">
        <v>54</v>
      </c>
      <c r="F743">
        <v>3761218.44</v>
      </c>
      <c r="G743">
        <v>858971.73</v>
      </c>
      <c r="H743">
        <v>2902246.71</v>
      </c>
      <c r="I743">
        <v>4.03</v>
      </c>
      <c r="J743">
        <v>4.1399999999999997</v>
      </c>
    </row>
    <row r="744" spans="1:10" x14ac:dyDescent="0.25">
      <c r="A744">
        <v>44870</v>
      </c>
      <c r="B744" t="s">
        <v>10</v>
      </c>
      <c r="C744" t="s">
        <v>18</v>
      </c>
      <c r="D744" t="s">
        <v>17</v>
      </c>
      <c r="E744">
        <v>415</v>
      </c>
      <c r="F744">
        <v>34796297.659999996</v>
      </c>
      <c r="G744">
        <v>11654737.23</v>
      </c>
      <c r="H744">
        <v>23141560.43</v>
      </c>
      <c r="I744">
        <v>4.55</v>
      </c>
      <c r="J744">
        <v>4.99</v>
      </c>
    </row>
    <row r="745" spans="1:10" x14ac:dyDescent="0.25">
      <c r="A745">
        <v>44948</v>
      </c>
      <c r="B745" t="s">
        <v>10</v>
      </c>
      <c r="C745" t="s">
        <v>16</v>
      </c>
      <c r="D745" t="s">
        <v>14</v>
      </c>
      <c r="E745">
        <v>279</v>
      </c>
      <c r="F745">
        <v>11212454.359999999</v>
      </c>
      <c r="G745">
        <v>2807587.95</v>
      </c>
      <c r="H745">
        <v>8404866.4100000001</v>
      </c>
      <c r="I745">
        <v>4.16</v>
      </c>
      <c r="J745">
        <v>4.5599999999999996</v>
      </c>
    </row>
    <row r="746" spans="1:10" x14ac:dyDescent="0.25">
      <c r="A746">
        <v>45020</v>
      </c>
      <c r="B746" t="s">
        <v>10</v>
      </c>
      <c r="C746" t="s">
        <v>13</v>
      </c>
      <c r="D746" t="s">
        <v>14</v>
      </c>
      <c r="E746">
        <v>87</v>
      </c>
      <c r="F746">
        <v>3499182.33</v>
      </c>
      <c r="G746">
        <v>700611.46</v>
      </c>
      <c r="H746">
        <v>2798570.87</v>
      </c>
      <c r="I746">
        <v>1.97</v>
      </c>
      <c r="J746">
        <v>4.62</v>
      </c>
    </row>
    <row r="747" spans="1:10" x14ac:dyDescent="0.25">
      <c r="A747">
        <v>43938</v>
      </c>
      <c r="B747" t="s">
        <v>10</v>
      </c>
      <c r="C747" t="s">
        <v>18</v>
      </c>
      <c r="D747" t="s">
        <v>14</v>
      </c>
      <c r="E747">
        <v>110</v>
      </c>
      <c r="F747">
        <v>9041040.7899999991</v>
      </c>
      <c r="G747">
        <v>1812496.69</v>
      </c>
      <c r="H747">
        <v>7228544.0999999996</v>
      </c>
      <c r="I747">
        <v>1.59</v>
      </c>
      <c r="J747">
        <v>3.56</v>
      </c>
    </row>
    <row r="748" spans="1:10" x14ac:dyDescent="0.25">
      <c r="A748">
        <v>45311</v>
      </c>
      <c r="B748" t="s">
        <v>10</v>
      </c>
      <c r="C748" t="s">
        <v>18</v>
      </c>
      <c r="D748" t="s">
        <v>17</v>
      </c>
      <c r="E748">
        <v>302</v>
      </c>
      <c r="F748">
        <v>15853714.859999999</v>
      </c>
      <c r="G748">
        <v>3293896.48</v>
      </c>
      <c r="H748">
        <v>12559818.380000001</v>
      </c>
      <c r="I748">
        <v>4.51</v>
      </c>
      <c r="J748">
        <v>4.7699999999999996</v>
      </c>
    </row>
    <row r="749" spans="1:10" x14ac:dyDescent="0.25">
      <c r="A749">
        <v>45111</v>
      </c>
      <c r="B749" t="s">
        <v>10</v>
      </c>
      <c r="C749" t="s">
        <v>18</v>
      </c>
      <c r="D749" t="s">
        <v>12</v>
      </c>
      <c r="E749">
        <v>487</v>
      </c>
      <c r="F749">
        <v>32210149.809999999</v>
      </c>
      <c r="G749">
        <v>10869134.75</v>
      </c>
      <c r="H749">
        <v>21341015.07</v>
      </c>
      <c r="I749">
        <v>3.44</v>
      </c>
      <c r="J749">
        <v>3.85</v>
      </c>
    </row>
    <row r="750" spans="1:10" x14ac:dyDescent="0.25">
      <c r="A750">
        <v>44283</v>
      </c>
      <c r="B750" t="s">
        <v>10</v>
      </c>
      <c r="C750" t="s">
        <v>18</v>
      </c>
      <c r="D750" t="s">
        <v>17</v>
      </c>
      <c r="E750">
        <v>215</v>
      </c>
      <c r="F750">
        <v>7727796.1699999999</v>
      </c>
      <c r="G750">
        <v>1674453.77</v>
      </c>
      <c r="H750">
        <v>6053342.4000000004</v>
      </c>
      <c r="I750">
        <v>3.68</v>
      </c>
      <c r="J750">
        <v>3.96</v>
      </c>
    </row>
    <row r="751" spans="1:10" x14ac:dyDescent="0.25">
      <c r="A751">
        <v>44643</v>
      </c>
      <c r="B751" t="s">
        <v>10</v>
      </c>
      <c r="C751" t="s">
        <v>18</v>
      </c>
      <c r="D751" t="s">
        <v>14</v>
      </c>
      <c r="E751">
        <v>232</v>
      </c>
      <c r="F751">
        <v>18801646.449999999</v>
      </c>
      <c r="G751">
        <v>5191036.0599999996</v>
      </c>
      <c r="H751">
        <v>13610610.390000001</v>
      </c>
      <c r="I751">
        <v>3.04</v>
      </c>
      <c r="J751">
        <v>4.4400000000000004</v>
      </c>
    </row>
    <row r="752" spans="1:10" x14ac:dyDescent="0.25">
      <c r="A752">
        <v>43958</v>
      </c>
      <c r="B752" t="s">
        <v>10</v>
      </c>
      <c r="C752" t="s">
        <v>18</v>
      </c>
      <c r="D752" t="s">
        <v>14</v>
      </c>
      <c r="E752">
        <v>390</v>
      </c>
      <c r="F752">
        <v>22280084.789999999</v>
      </c>
      <c r="G752">
        <v>7171542.1799999997</v>
      </c>
      <c r="H752">
        <v>15108542.609999999</v>
      </c>
      <c r="I752">
        <v>0.81</v>
      </c>
      <c r="J752">
        <v>4.46</v>
      </c>
    </row>
    <row r="753" spans="1:10" x14ac:dyDescent="0.25">
      <c r="A753">
        <v>45349</v>
      </c>
      <c r="B753" t="s">
        <v>10</v>
      </c>
      <c r="C753" t="s">
        <v>11</v>
      </c>
      <c r="D753" t="s">
        <v>17</v>
      </c>
      <c r="E753">
        <v>68</v>
      </c>
      <c r="F753">
        <v>4034178.83</v>
      </c>
      <c r="G753">
        <v>1042918.33</v>
      </c>
      <c r="H753">
        <v>2991260.5</v>
      </c>
      <c r="I753">
        <v>2.25</v>
      </c>
      <c r="J753">
        <v>3.84</v>
      </c>
    </row>
    <row r="754" spans="1:10" x14ac:dyDescent="0.25">
      <c r="A754">
        <v>45021</v>
      </c>
      <c r="B754" t="s">
        <v>10</v>
      </c>
      <c r="C754" t="s">
        <v>16</v>
      </c>
      <c r="D754" t="s">
        <v>17</v>
      </c>
      <c r="E754">
        <v>260</v>
      </c>
      <c r="F754">
        <v>21518274.27</v>
      </c>
      <c r="G754">
        <v>6975675.1200000001</v>
      </c>
      <c r="H754">
        <v>14542599.15</v>
      </c>
      <c r="I754">
        <v>2.17</v>
      </c>
      <c r="J754">
        <v>4.43</v>
      </c>
    </row>
    <row r="755" spans="1:10" x14ac:dyDescent="0.25">
      <c r="A755">
        <v>45470</v>
      </c>
      <c r="B755" t="s">
        <v>10</v>
      </c>
      <c r="C755" t="s">
        <v>13</v>
      </c>
      <c r="D755" t="s">
        <v>14</v>
      </c>
      <c r="E755">
        <v>240</v>
      </c>
      <c r="F755">
        <v>11193593.859999999</v>
      </c>
      <c r="G755">
        <v>2248499.4900000002</v>
      </c>
      <c r="H755">
        <v>8945094.3699999992</v>
      </c>
      <c r="I755">
        <v>4.92</v>
      </c>
      <c r="J755">
        <v>4.47</v>
      </c>
    </row>
    <row r="756" spans="1:10" x14ac:dyDescent="0.25">
      <c r="A756">
        <v>45595</v>
      </c>
      <c r="B756" t="s">
        <v>10</v>
      </c>
      <c r="C756" t="s">
        <v>13</v>
      </c>
      <c r="D756" t="s">
        <v>12</v>
      </c>
      <c r="E756">
        <v>162</v>
      </c>
      <c r="F756">
        <v>9778997.0899999999</v>
      </c>
      <c r="G756">
        <v>2073280.78</v>
      </c>
      <c r="H756">
        <v>7705716.3099999996</v>
      </c>
      <c r="I756">
        <v>2.77</v>
      </c>
      <c r="J756">
        <v>4.92</v>
      </c>
    </row>
    <row r="757" spans="1:10" x14ac:dyDescent="0.25">
      <c r="A757">
        <v>45328</v>
      </c>
      <c r="B757" t="s">
        <v>10</v>
      </c>
      <c r="C757" t="s">
        <v>18</v>
      </c>
      <c r="D757" t="s">
        <v>12</v>
      </c>
      <c r="E757">
        <v>238</v>
      </c>
      <c r="F757">
        <v>17162952.699999999</v>
      </c>
      <c r="G757">
        <v>4539492.47</v>
      </c>
      <c r="H757">
        <v>12623460.220000001</v>
      </c>
      <c r="I757">
        <v>2.1800000000000002</v>
      </c>
      <c r="J757">
        <v>4.91</v>
      </c>
    </row>
    <row r="758" spans="1:10" x14ac:dyDescent="0.25">
      <c r="A758">
        <v>45104</v>
      </c>
      <c r="B758" t="s">
        <v>10</v>
      </c>
      <c r="C758" t="s">
        <v>18</v>
      </c>
      <c r="D758" t="s">
        <v>17</v>
      </c>
      <c r="E758">
        <v>326</v>
      </c>
      <c r="F758">
        <v>22735368.23</v>
      </c>
      <c r="G758">
        <v>8846828.5500000007</v>
      </c>
      <c r="H758">
        <v>13888539.67</v>
      </c>
      <c r="I758">
        <v>3.4</v>
      </c>
      <c r="J758">
        <v>4.96</v>
      </c>
    </row>
    <row r="759" spans="1:10" x14ac:dyDescent="0.25">
      <c r="A759">
        <v>44066</v>
      </c>
      <c r="B759" t="s">
        <v>10</v>
      </c>
      <c r="C759" t="s">
        <v>15</v>
      </c>
      <c r="D759" t="s">
        <v>12</v>
      </c>
      <c r="E759">
        <v>231</v>
      </c>
      <c r="F759">
        <v>11582536.75</v>
      </c>
      <c r="G759">
        <v>4271161.04</v>
      </c>
      <c r="H759">
        <v>7311375.7199999997</v>
      </c>
      <c r="I759">
        <v>3.36</v>
      </c>
      <c r="J759">
        <v>4.4000000000000004</v>
      </c>
    </row>
    <row r="760" spans="1:10" x14ac:dyDescent="0.25">
      <c r="A760">
        <v>43898</v>
      </c>
      <c r="B760" t="s">
        <v>10</v>
      </c>
      <c r="C760" t="s">
        <v>11</v>
      </c>
      <c r="D760" t="s">
        <v>12</v>
      </c>
      <c r="E760">
        <v>192</v>
      </c>
      <c r="F760">
        <v>8875998.8599999994</v>
      </c>
      <c r="G760">
        <v>3475233.54</v>
      </c>
      <c r="H760">
        <v>5400765.3200000003</v>
      </c>
      <c r="I760">
        <v>3.11</v>
      </c>
      <c r="J760">
        <v>4.18</v>
      </c>
    </row>
    <row r="761" spans="1:10" x14ac:dyDescent="0.25">
      <c r="A761">
        <v>45491</v>
      </c>
      <c r="B761" t="s">
        <v>10</v>
      </c>
      <c r="C761" t="s">
        <v>11</v>
      </c>
      <c r="D761" t="s">
        <v>12</v>
      </c>
      <c r="E761">
        <v>479</v>
      </c>
      <c r="F761">
        <v>21236495.449999999</v>
      </c>
      <c r="G761">
        <v>8413284.1999999993</v>
      </c>
      <c r="H761">
        <v>12823211.25</v>
      </c>
      <c r="I761">
        <v>4.01</v>
      </c>
      <c r="J761">
        <v>4.41</v>
      </c>
    </row>
    <row r="762" spans="1:10" x14ac:dyDescent="0.25">
      <c r="A762">
        <v>44055</v>
      </c>
      <c r="B762" t="s">
        <v>10</v>
      </c>
      <c r="C762" t="s">
        <v>11</v>
      </c>
      <c r="D762" t="s">
        <v>12</v>
      </c>
      <c r="E762">
        <v>92</v>
      </c>
      <c r="F762">
        <v>5515109.7400000002</v>
      </c>
      <c r="G762">
        <v>1704309.61</v>
      </c>
      <c r="H762">
        <v>3810800.13</v>
      </c>
      <c r="I762">
        <v>3.59</v>
      </c>
      <c r="J762">
        <v>4.87</v>
      </c>
    </row>
    <row r="763" spans="1:10" x14ac:dyDescent="0.25">
      <c r="A763">
        <v>45077</v>
      </c>
      <c r="B763" t="s">
        <v>10</v>
      </c>
      <c r="C763" t="s">
        <v>16</v>
      </c>
      <c r="D763" t="s">
        <v>14</v>
      </c>
      <c r="E763">
        <v>205</v>
      </c>
      <c r="F763">
        <v>12682788.26</v>
      </c>
      <c r="G763">
        <v>4053705.25</v>
      </c>
      <c r="H763">
        <v>8629083.0099999998</v>
      </c>
      <c r="I763">
        <v>1.19</v>
      </c>
      <c r="J763">
        <v>4.3600000000000003</v>
      </c>
    </row>
    <row r="764" spans="1:10" x14ac:dyDescent="0.25">
      <c r="A764">
        <v>45528</v>
      </c>
      <c r="B764" t="s">
        <v>10</v>
      </c>
      <c r="C764" t="s">
        <v>13</v>
      </c>
      <c r="D764" t="s">
        <v>12</v>
      </c>
      <c r="E764">
        <v>279</v>
      </c>
      <c r="F764">
        <v>19625353.43</v>
      </c>
      <c r="G764">
        <v>7541796.3300000001</v>
      </c>
      <c r="H764">
        <v>12083557.1</v>
      </c>
      <c r="I764">
        <v>3.83</v>
      </c>
      <c r="J764">
        <v>3.64</v>
      </c>
    </row>
    <row r="765" spans="1:10" x14ac:dyDescent="0.25">
      <c r="A765">
        <v>44651</v>
      </c>
      <c r="B765" t="s">
        <v>10</v>
      </c>
      <c r="C765" t="s">
        <v>13</v>
      </c>
      <c r="D765" t="s">
        <v>12</v>
      </c>
      <c r="E765">
        <v>348</v>
      </c>
      <c r="F765">
        <v>13175076.199999999</v>
      </c>
      <c r="G765">
        <v>5186385.17</v>
      </c>
      <c r="H765">
        <v>7988691.0199999996</v>
      </c>
      <c r="I765">
        <v>2.41</v>
      </c>
      <c r="J765">
        <v>3.63</v>
      </c>
    </row>
    <row r="766" spans="1:10" x14ac:dyDescent="0.25">
      <c r="A766">
        <v>44621</v>
      </c>
      <c r="B766" t="s">
        <v>10</v>
      </c>
      <c r="C766" t="s">
        <v>11</v>
      </c>
      <c r="D766" t="s">
        <v>12</v>
      </c>
      <c r="E766">
        <v>177</v>
      </c>
      <c r="F766">
        <v>12194821.58</v>
      </c>
      <c r="G766">
        <v>4277245.82</v>
      </c>
      <c r="H766">
        <v>7917575.7599999998</v>
      </c>
      <c r="I766">
        <v>3.61</v>
      </c>
      <c r="J766">
        <v>4.4000000000000004</v>
      </c>
    </row>
    <row r="767" spans="1:10" x14ac:dyDescent="0.25">
      <c r="A767">
        <v>43971</v>
      </c>
      <c r="B767" t="s">
        <v>10</v>
      </c>
      <c r="C767" t="s">
        <v>11</v>
      </c>
      <c r="D767" t="s">
        <v>17</v>
      </c>
      <c r="E767">
        <v>94</v>
      </c>
      <c r="F767">
        <v>8336886.6600000001</v>
      </c>
      <c r="G767">
        <v>2195179.33</v>
      </c>
      <c r="H767">
        <v>6141707.3300000001</v>
      </c>
      <c r="I767">
        <v>2.19</v>
      </c>
      <c r="J767">
        <v>4.7</v>
      </c>
    </row>
    <row r="768" spans="1:10" x14ac:dyDescent="0.25">
      <c r="A768">
        <v>44924</v>
      </c>
      <c r="B768" t="s">
        <v>10</v>
      </c>
      <c r="C768" t="s">
        <v>15</v>
      </c>
      <c r="D768" t="s">
        <v>12</v>
      </c>
      <c r="E768">
        <v>305</v>
      </c>
      <c r="F768">
        <v>24139291.239999998</v>
      </c>
      <c r="G768">
        <v>4841193.28</v>
      </c>
      <c r="H768">
        <v>19298097.960000001</v>
      </c>
      <c r="I768">
        <v>0.64</v>
      </c>
      <c r="J768">
        <v>4.8499999999999996</v>
      </c>
    </row>
    <row r="769" spans="1:10" x14ac:dyDescent="0.25">
      <c r="A769">
        <v>44858</v>
      </c>
      <c r="B769" t="s">
        <v>10</v>
      </c>
      <c r="C769" t="s">
        <v>15</v>
      </c>
      <c r="D769" t="s">
        <v>14</v>
      </c>
      <c r="E769">
        <v>288</v>
      </c>
      <c r="F769">
        <v>19632146.550000001</v>
      </c>
      <c r="G769">
        <v>5422432</v>
      </c>
      <c r="H769">
        <v>14209714.550000001</v>
      </c>
      <c r="I769">
        <v>4.7300000000000004</v>
      </c>
      <c r="J769">
        <v>4.66</v>
      </c>
    </row>
    <row r="770" spans="1:10" x14ac:dyDescent="0.25">
      <c r="A770">
        <v>45228</v>
      </c>
      <c r="B770" t="s">
        <v>10</v>
      </c>
      <c r="C770" t="s">
        <v>11</v>
      </c>
      <c r="D770" t="s">
        <v>12</v>
      </c>
      <c r="E770">
        <v>415</v>
      </c>
      <c r="F770">
        <v>22177744.32</v>
      </c>
      <c r="G770">
        <v>8573842.5999999996</v>
      </c>
      <c r="H770">
        <v>13603901.720000001</v>
      </c>
      <c r="I770">
        <v>4.8899999999999997</v>
      </c>
      <c r="J770">
        <v>4.7300000000000004</v>
      </c>
    </row>
    <row r="771" spans="1:10" x14ac:dyDescent="0.25">
      <c r="A771">
        <v>44166</v>
      </c>
      <c r="B771" t="s">
        <v>10</v>
      </c>
      <c r="C771" t="s">
        <v>15</v>
      </c>
      <c r="D771" t="s">
        <v>14</v>
      </c>
      <c r="E771">
        <v>113</v>
      </c>
      <c r="F771">
        <v>9498115.6400000006</v>
      </c>
      <c r="G771">
        <v>3217863.82</v>
      </c>
      <c r="H771">
        <v>6280251.8200000003</v>
      </c>
      <c r="I771">
        <v>2.98</v>
      </c>
      <c r="J771">
        <v>4.68</v>
      </c>
    </row>
    <row r="772" spans="1:10" x14ac:dyDescent="0.25">
      <c r="A772">
        <v>44187</v>
      </c>
      <c r="B772" t="s">
        <v>10</v>
      </c>
      <c r="C772" t="s">
        <v>13</v>
      </c>
      <c r="D772" t="s">
        <v>14</v>
      </c>
      <c r="E772">
        <v>120</v>
      </c>
      <c r="F772">
        <v>5591234.4699999997</v>
      </c>
      <c r="G772">
        <v>1980006.22</v>
      </c>
      <c r="H772">
        <v>3611228.25</v>
      </c>
      <c r="I772">
        <v>2.61</v>
      </c>
      <c r="J772">
        <v>3.9</v>
      </c>
    </row>
    <row r="773" spans="1:10" x14ac:dyDescent="0.25">
      <c r="A773">
        <v>45264</v>
      </c>
      <c r="B773" t="s">
        <v>10</v>
      </c>
      <c r="C773" t="s">
        <v>11</v>
      </c>
      <c r="D773" t="s">
        <v>14</v>
      </c>
      <c r="E773">
        <v>443</v>
      </c>
      <c r="F773">
        <v>17328018.66</v>
      </c>
      <c r="G773">
        <v>5411690.2400000002</v>
      </c>
      <c r="H773">
        <v>11916328.43</v>
      </c>
      <c r="I773">
        <v>2.88</v>
      </c>
      <c r="J773">
        <v>4.9800000000000004</v>
      </c>
    </row>
    <row r="774" spans="1:10" x14ac:dyDescent="0.25">
      <c r="A774">
        <v>45076</v>
      </c>
      <c r="B774" t="s">
        <v>10</v>
      </c>
      <c r="C774" t="s">
        <v>15</v>
      </c>
      <c r="D774" t="s">
        <v>14</v>
      </c>
      <c r="E774">
        <v>345</v>
      </c>
      <c r="F774">
        <v>14246338.07</v>
      </c>
      <c r="G774">
        <v>5673729.0800000001</v>
      </c>
      <c r="H774">
        <v>8572608.9800000004</v>
      </c>
      <c r="I774">
        <v>1.2</v>
      </c>
      <c r="J774">
        <v>3.81</v>
      </c>
    </row>
    <row r="775" spans="1:10" x14ac:dyDescent="0.25">
      <c r="A775">
        <v>44273</v>
      </c>
      <c r="B775" t="s">
        <v>10</v>
      </c>
      <c r="C775" t="s">
        <v>16</v>
      </c>
      <c r="D775" t="s">
        <v>12</v>
      </c>
      <c r="E775">
        <v>241</v>
      </c>
      <c r="F775">
        <v>12403326.619999999</v>
      </c>
      <c r="G775">
        <v>4384561.09</v>
      </c>
      <c r="H775">
        <v>8018765.5199999996</v>
      </c>
      <c r="I775">
        <v>1.08</v>
      </c>
      <c r="J775">
        <v>3.88</v>
      </c>
    </row>
    <row r="776" spans="1:10" x14ac:dyDescent="0.25">
      <c r="A776">
        <v>44409</v>
      </c>
      <c r="B776" t="s">
        <v>10</v>
      </c>
      <c r="C776" t="s">
        <v>11</v>
      </c>
      <c r="D776" t="s">
        <v>12</v>
      </c>
      <c r="E776">
        <v>98</v>
      </c>
      <c r="F776">
        <v>5336425.1399999997</v>
      </c>
      <c r="G776">
        <v>1811738.72</v>
      </c>
      <c r="H776">
        <v>3524686.42</v>
      </c>
      <c r="I776">
        <v>4.8899999999999997</v>
      </c>
      <c r="J776">
        <v>3.76</v>
      </c>
    </row>
    <row r="777" spans="1:10" x14ac:dyDescent="0.25">
      <c r="A777">
        <v>44545</v>
      </c>
      <c r="B777" t="s">
        <v>10</v>
      </c>
      <c r="C777" t="s">
        <v>16</v>
      </c>
      <c r="D777" t="s">
        <v>14</v>
      </c>
      <c r="E777">
        <v>53</v>
      </c>
      <c r="F777">
        <v>2283277.41</v>
      </c>
      <c r="G777">
        <v>756840.18</v>
      </c>
      <c r="H777">
        <v>1526437.23</v>
      </c>
      <c r="I777">
        <v>4.3899999999999997</v>
      </c>
      <c r="J777">
        <v>3.73</v>
      </c>
    </row>
    <row r="778" spans="1:10" x14ac:dyDescent="0.25">
      <c r="A778">
        <v>44780</v>
      </c>
      <c r="B778" t="s">
        <v>10</v>
      </c>
      <c r="C778" t="s">
        <v>18</v>
      </c>
      <c r="D778" t="s">
        <v>17</v>
      </c>
      <c r="E778">
        <v>327</v>
      </c>
      <c r="F778">
        <v>20159415.84</v>
      </c>
      <c r="G778">
        <v>6844446.2000000002</v>
      </c>
      <c r="H778">
        <v>13314969.640000001</v>
      </c>
      <c r="I778">
        <v>3.04</v>
      </c>
      <c r="J778">
        <v>4.71</v>
      </c>
    </row>
    <row r="779" spans="1:10" x14ac:dyDescent="0.25">
      <c r="A779">
        <v>44195</v>
      </c>
      <c r="B779" t="s">
        <v>10</v>
      </c>
      <c r="C779" t="s">
        <v>13</v>
      </c>
      <c r="D779" t="s">
        <v>14</v>
      </c>
      <c r="E779">
        <v>241</v>
      </c>
      <c r="F779">
        <v>16132166.369999999</v>
      </c>
      <c r="G779">
        <v>4821876.26</v>
      </c>
      <c r="H779">
        <v>11310290.1</v>
      </c>
      <c r="I779">
        <v>1.1499999999999999</v>
      </c>
      <c r="J779">
        <v>4.4400000000000004</v>
      </c>
    </row>
    <row r="780" spans="1:10" x14ac:dyDescent="0.25">
      <c r="A780">
        <v>44515</v>
      </c>
      <c r="B780" t="s">
        <v>10</v>
      </c>
      <c r="C780" t="s">
        <v>18</v>
      </c>
      <c r="D780" t="s">
        <v>17</v>
      </c>
      <c r="E780">
        <v>161</v>
      </c>
      <c r="F780">
        <v>7177925.3200000003</v>
      </c>
      <c r="G780">
        <v>1614450.89</v>
      </c>
      <c r="H780">
        <v>5563474.4299999997</v>
      </c>
      <c r="I780">
        <v>2.4900000000000002</v>
      </c>
      <c r="J780">
        <v>4.9800000000000004</v>
      </c>
    </row>
    <row r="781" spans="1:10" x14ac:dyDescent="0.25">
      <c r="A781">
        <v>44960</v>
      </c>
      <c r="B781" t="s">
        <v>10</v>
      </c>
      <c r="C781" t="s">
        <v>18</v>
      </c>
      <c r="D781" t="s">
        <v>17</v>
      </c>
      <c r="E781">
        <v>362</v>
      </c>
      <c r="F781">
        <v>26909362.309999999</v>
      </c>
      <c r="G781">
        <v>9246492.5899999999</v>
      </c>
      <c r="H781">
        <v>17662869.719999999</v>
      </c>
      <c r="I781">
        <v>2.14</v>
      </c>
      <c r="J781">
        <v>3.79</v>
      </c>
    </row>
    <row r="782" spans="1:10" x14ac:dyDescent="0.25">
      <c r="A782">
        <v>44378</v>
      </c>
      <c r="B782" t="s">
        <v>10</v>
      </c>
      <c r="C782" t="s">
        <v>11</v>
      </c>
      <c r="D782" t="s">
        <v>17</v>
      </c>
      <c r="E782">
        <v>138</v>
      </c>
      <c r="F782">
        <v>9188842.6899999995</v>
      </c>
      <c r="G782">
        <v>2449355.2400000002</v>
      </c>
      <c r="H782">
        <v>6739487.46</v>
      </c>
      <c r="I782">
        <v>4</v>
      </c>
      <c r="J782">
        <v>4.79</v>
      </c>
    </row>
    <row r="783" spans="1:10" x14ac:dyDescent="0.25">
      <c r="A783">
        <v>45322</v>
      </c>
      <c r="B783" t="s">
        <v>10</v>
      </c>
      <c r="C783" t="s">
        <v>18</v>
      </c>
      <c r="D783" t="s">
        <v>14</v>
      </c>
      <c r="E783">
        <v>320</v>
      </c>
      <c r="F783">
        <v>11991321.369999999</v>
      </c>
      <c r="G783">
        <v>4493492.3099999996</v>
      </c>
      <c r="H783">
        <v>7497829.0599999996</v>
      </c>
      <c r="I783">
        <v>3.03</v>
      </c>
      <c r="J783">
        <v>4.6500000000000004</v>
      </c>
    </row>
    <row r="784" spans="1:10" x14ac:dyDescent="0.25">
      <c r="A784">
        <v>44502</v>
      </c>
      <c r="B784" t="s">
        <v>10</v>
      </c>
      <c r="C784" t="s">
        <v>18</v>
      </c>
      <c r="D784" t="s">
        <v>14</v>
      </c>
      <c r="E784">
        <v>89</v>
      </c>
      <c r="F784">
        <v>4933332.25</v>
      </c>
      <c r="G784">
        <v>1780768.65</v>
      </c>
      <c r="H784">
        <v>3152563.61</v>
      </c>
      <c r="I784">
        <v>2.7</v>
      </c>
      <c r="J784">
        <v>4.6100000000000003</v>
      </c>
    </row>
    <row r="785" spans="1:10" x14ac:dyDescent="0.25">
      <c r="A785">
        <v>43903</v>
      </c>
      <c r="B785" t="s">
        <v>10</v>
      </c>
      <c r="C785" t="s">
        <v>15</v>
      </c>
      <c r="D785" t="s">
        <v>12</v>
      </c>
      <c r="E785">
        <v>496</v>
      </c>
      <c r="F785">
        <v>32625311.149999999</v>
      </c>
      <c r="G785">
        <v>8567151.25</v>
      </c>
      <c r="H785">
        <v>24058159.899999999</v>
      </c>
      <c r="I785">
        <v>3.46</v>
      </c>
      <c r="J785">
        <v>3.68</v>
      </c>
    </row>
    <row r="786" spans="1:10" x14ac:dyDescent="0.25">
      <c r="A786">
        <v>44986</v>
      </c>
      <c r="B786" t="s">
        <v>10</v>
      </c>
      <c r="C786" t="s">
        <v>13</v>
      </c>
      <c r="D786" t="s">
        <v>17</v>
      </c>
      <c r="E786">
        <v>97</v>
      </c>
      <c r="F786">
        <v>5565303.6100000003</v>
      </c>
      <c r="G786">
        <v>1860778.07</v>
      </c>
      <c r="H786">
        <v>3704525.55</v>
      </c>
      <c r="I786">
        <v>2.54</v>
      </c>
      <c r="J786">
        <v>4.6399999999999997</v>
      </c>
    </row>
    <row r="787" spans="1:10" x14ac:dyDescent="0.25">
      <c r="A787">
        <v>44606</v>
      </c>
      <c r="B787" t="s">
        <v>10</v>
      </c>
      <c r="C787" t="s">
        <v>13</v>
      </c>
      <c r="D787" t="s">
        <v>17</v>
      </c>
      <c r="E787">
        <v>367</v>
      </c>
      <c r="F787">
        <v>31078070.420000002</v>
      </c>
      <c r="G787">
        <v>6900054.3399999999</v>
      </c>
      <c r="H787">
        <v>24178016.079999998</v>
      </c>
      <c r="I787">
        <v>4.18</v>
      </c>
      <c r="J787">
        <v>4.2699999999999996</v>
      </c>
    </row>
    <row r="788" spans="1:10" x14ac:dyDescent="0.25">
      <c r="A788">
        <v>44715</v>
      </c>
      <c r="B788" t="s">
        <v>10</v>
      </c>
      <c r="C788" t="s">
        <v>15</v>
      </c>
      <c r="D788" t="s">
        <v>12</v>
      </c>
      <c r="E788">
        <v>126</v>
      </c>
      <c r="F788">
        <v>8424649.25</v>
      </c>
      <c r="G788">
        <v>2544876.83</v>
      </c>
      <c r="H788">
        <v>5879772.4199999999</v>
      </c>
      <c r="I788">
        <v>3.4</v>
      </c>
      <c r="J788">
        <v>3.84</v>
      </c>
    </row>
    <row r="789" spans="1:10" x14ac:dyDescent="0.25">
      <c r="A789">
        <v>45093</v>
      </c>
      <c r="B789" t="s">
        <v>10</v>
      </c>
      <c r="C789" t="s">
        <v>11</v>
      </c>
      <c r="D789" t="s">
        <v>14</v>
      </c>
      <c r="E789">
        <v>88</v>
      </c>
      <c r="F789">
        <v>7592442.1500000004</v>
      </c>
      <c r="G789">
        <v>1910861.86</v>
      </c>
      <c r="H789">
        <v>5681580.29</v>
      </c>
      <c r="I789">
        <v>1.76</v>
      </c>
      <c r="J789">
        <v>3.7</v>
      </c>
    </row>
    <row r="790" spans="1:10" x14ac:dyDescent="0.25">
      <c r="A790">
        <v>44998</v>
      </c>
      <c r="B790" t="s">
        <v>10</v>
      </c>
      <c r="C790" t="s">
        <v>11</v>
      </c>
      <c r="D790" t="s">
        <v>14</v>
      </c>
      <c r="E790">
        <v>169</v>
      </c>
      <c r="F790">
        <v>7637087.9500000002</v>
      </c>
      <c r="G790">
        <v>2629230.87</v>
      </c>
      <c r="H790">
        <v>5007857.09</v>
      </c>
      <c r="I790">
        <v>1.48</v>
      </c>
      <c r="J790">
        <v>3.77</v>
      </c>
    </row>
    <row r="791" spans="1:10" x14ac:dyDescent="0.25">
      <c r="A791">
        <v>45429</v>
      </c>
      <c r="B791" t="s">
        <v>10</v>
      </c>
      <c r="C791" t="s">
        <v>18</v>
      </c>
      <c r="D791" t="s">
        <v>12</v>
      </c>
      <c r="E791">
        <v>275</v>
      </c>
      <c r="F791">
        <v>23285760.530000001</v>
      </c>
      <c r="G791">
        <v>6502078.3399999999</v>
      </c>
      <c r="H791">
        <v>16783682.190000001</v>
      </c>
      <c r="I791">
        <v>3.09</v>
      </c>
      <c r="J791">
        <v>4.34</v>
      </c>
    </row>
    <row r="792" spans="1:10" x14ac:dyDescent="0.25">
      <c r="A792">
        <v>45437</v>
      </c>
      <c r="B792" t="s">
        <v>10</v>
      </c>
      <c r="C792" t="s">
        <v>11</v>
      </c>
      <c r="D792" t="s">
        <v>14</v>
      </c>
      <c r="E792">
        <v>367</v>
      </c>
      <c r="F792">
        <v>15731477.66</v>
      </c>
      <c r="G792">
        <v>5114151.5999999996</v>
      </c>
      <c r="H792">
        <v>10617326.060000001</v>
      </c>
      <c r="I792">
        <v>4.09</v>
      </c>
      <c r="J792">
        <v>4.05</v>
      </c>
    </row>
    <row r="793" spans="1:10" x14ac:dyDescent="0.25">
      <c r="A793">
        <v>44770</v>
      </c>
      <c r="B793" t="s">
        <v>10</v>
      </c>
      <c r="C793" t="s">
        <v>16</v>
      </c>
      <c r="D793" t="s">
        <v>17</v>
      </c>
      <c r="E793">
        <v>236</v>
      </c>
      <c r="F793">
        <v>12640494.630000001</v>
      </c>
      <c r="G793">
        <v>3212041.28</v>
      </c>
      <c r="H793">
        <v>9428453.3499999996</v>
      </c>
      <c r="I793">
        <v>3.08</v>
      </c>
      <c r="J793">
        <v>4.01</v>
      </c>
    </row>
    <row r="794" spans="1:10" x14ac:dyDescent="0.25">
      <c r="A794">
        <v>44032</v>
      </c>
      <c r="B794" t="s">
        <v>10</v>
      </c>
      <c r="C794" t="s">
        <v>16</v>
      </c>
      <c r="D794" t="s">
        <v>14</v>
      </c>
      <c r="E794">
        <v>357</v>
      </c>
      <c r="F794">
        <v>25704733.199999999</v>
      </c>
      <c r="G794">
        <v>9148292.6300000008</v>
      </c>
      <c r="H794">
        <v>16556440.57</v>
      </c>
      <c r="I794">
        <v>1.48</v>
      </c>
      <c r="J794">
        <v>4.8099999999999996</v>
      </c>
    </row>
    <row r="795" spans="1:10" x14ac:dyDescent="0.25">
      <c r="A795">
        <v>44871</v>
      </c>
      <c r="B795" t="s">
        <v>10</v>
      </c>
      <c r="C795" t="s">
        <v>13</v>
      </c>
      <c r="D795" t="s">
        <v>12</v>
      </c>
      <c r="E795">
        <v>432</v>
      </c>
      <c r="F795">
        <v>21374756.949999999</v>
      </c>
      <c r="G795">
        <v>8547109.5700000003</v>
      </c>
      <c r="H795">
        <v>12827647.390000001</v>
      </c>
      <c r="I795">
        <v>4.42</v>
      </c>
      <c r="J795">
        <v>4.6900000000000004</v>
      </c>
    </row>
    <row r="796" spans="1:10" x14ac:dyDescent="0.25">
      <c r="A796">
        <v>44891</v>
      </c>
      <c r="B796" t="s">
        <v>10</v>
      </c>
      <c r="C796" t="s">
        <v>18</v>
      </c>
      <c r="D796" t="s">
        <v>17</v>
      </c>
      <c r="E796">
        <v>325</v>
      </c>
      <c r="F796">
        <v>18105478.890000001</v>
      </c>
      <c r="G796">
        <v>6401895.5</v>
      </c>
      <c r="H796">
        <v>11703583.4</v>
      </c>
      <c r="I796">
        <v>1.69</v>
      </c>
      <c r="J796">
        <v>4.33</v>
      </c>
    </row>
    <row r="797" spans="1:10" x14ac:dyDescent="0.25">
      <c r="A797">
        <v>45367</v>
      </c>
      <c r="B797" t="s">
        <v>10</v>
      </c>
      <c r="C797" t="s">
        <v>13</v>
      </c>
      <c r="D797" t="s">
        <v>14</v>
      </c>
      <c r="E797">
        <v>322</v>
      </c>
      <c r="F797">
        <v>16475838.58</v>
      </c>
      <c r="G797">
        <v>5809101.5499999998</v>
      </c>
      <c r="H797">
        <v>10666737.02</v>
      </c>
      <c r="I797">
        <v>4.7699999999999996</v>
      </c>
      <c r="J797">
        <v>4.92</v>
      </c>
    </row>
    <row r="798" spans="1:10" x14ac:dyDescent="0.25">
      <c r="A798">
        <v>45111</v>
      </c>
      <c r="B798" t="s">
        <v>10</v>
      </c>
      <c r="C798" t="s">
        <v>18</v>
      </c>
      <c r="D798" t="s">
        <v>12</v>
      </c>
      <c r="E798">
        <v>377</v>
      </c>
      <c r="F798">
        <v>17498361.309999999</v>
      </c>
      <c r="G798">
        <v>6165909.29</v>
      </c>
      <c r="H798">
        <v>11332452.029999999</v>
      </c>
      <c r="I798">
        <v>4.59</v>
      </c>
      <c r="J798">
        <v>4.2</v>
      </c>
    </row>
    <row r="799" spans="1:10" x14ac:dyDescent="0.25">
      <c r="A799">
        <v>45451</v>
      </c>
      <c r="B799" t="s">
        <v>10</v>
      </c>
      <c r="C799" t="s">
        <v>13</v>
      </c>
      <c r="D799" t="s">
        <v>12</v>
      </c>
      <c r="E799">
        <v>205</v>
      </c>
      <c r="F799">
        <v>15750490.369999999</v>
      </c>
      <c r="G799">
        <v>5813530.5499999998</v>
      </c>
      <c r="H799">
        <v>9936959.8200000003</v>
      </c>
      <c r="I799">
        <v>2.69</v>
      </c>
      <c r="J799">
        <v>4.1399999999999997</v>
      </c>
    </row>
    <row r="800" spans="1:10" x14ac:dyDescent="0.25">
      <c r="A800">
        <v>44456</v>
      </c>
      <c r="B800" t="s">
        <v>10</v>
      </c>
      <c r="C800" t="s">
        <v>16</v>
      </c>
      <c r="D800" t="s">
        <v>14</v>
      </c>
      <c r="E800">
        <v>450</v>
      </c>
      <c r="F800">
        <v>33176060.969999999</v>
      </c>
      <c r="G800">
        <v>7065359.1500000004</v>
      </c>
      <c r="H800">
        <v>26110701.809999999</v>
      </c>
      <c r="I800">
        <v>2.19</v>
      </c>
      <c r="J800">
        <v>4.5599999999999996</v>
      </c>
    </row>
    <row r="801" spans="1:10" x14ac:dyDescent="0.25">
      <c r="A801">
        <v>45564</v>
      </c>
      <c r="B801" t="s">
        <v>10</v>
      </c>
      <c r="C801" t="s">
        <v>11</v>
      </c>
      <c r="D801" t="s">
        <v>12</v>
      </c>
      <c r="E801">
        <v>387</v>
      </c>
      <c r="F801">
        <v>17178527.510000002</v>
      </c>
      <c r="G801">
        <v>6766746.75</v>
      </c>
      <c r="H801">
        <v>10411780.76</v>
      </c>
      <c r="I801">
        <v>1.42</v>
      </c>
      <c r="J801">
        <v>4.01</v>
      </c>
    </row>
    <row r="802" spans="1:10" x14ac:dyDescent="0.25">
      <c r="A802">
        <v>45180</v>
      </c>
      <c r="B802" t="s">
        <v>10</v>
      </c>
      <c r="C802" t="s">
        <v>15</v>
      </c>
      <c r="D802" t="s">
        <v>17</v>
      </c>
      <c r="E802">
        <v>473</v>
      </c>
      <c r="F802">
        <v>22453671.91</v>
      </c>
      <c r="G802">
        <v>5972530.6100000003</v>
      </c>
      <c r="H802">
        <v>16481141.300000001</v>
      </c>
      <c r="I802">
        <v>2.61</v>
      </c>
      <c r="J802">
        <v>4.66</v>
      </c>
    </row>
    <row r="803" spans="1:10" x14ac:dyDescent="0.25">
      <c r="A803">
        <v>44554</v>
      </c>
      <c r="B803" t="s">
        <v>10</v>
      </c>
      <c r="C803" t="s">
        <v>18</v>
      </c>
      <c r="D803" t="s">
        <v>12</v>
      </c>
      <c r="E803">
        <v>102</v>
      </c>
      <c r="F803">
        <v>3851863.29</v>
      </c>
      <c r="G803">
        <v>1513850.41</v>
      </c>
      <c r="H803">
        <v>2338012.88</v>
      </c>
      <c r="I803">
        <v>2.98</v>
      </c>
      <c r="J803">
        <v>4.16</v>
      </c>
    </row>
    <row r="804" spans="1:10" x14ac:dyDescent="0.25">
      <c r="A804">
        <v>44505</v>
      </c>
      <c r="B804" t="s">
        <v>10</v>
      </c>
      <c r="C804" t="s">
        <v>16</v>
      </c>
      <c r="D804" t="s">
        <v>17</v>
      </c>
      <c r="E804">
        <v>231</v>
      </c>
      <c r="F804">
        <v>20744240.32</v>
      </c>
      <c r="G804">
        <v>4995182.3600000003</v>
      </c>
      <c r="H804">
        <v>15749057.960000001</v>
      </c>
      <c r="I804">
        <v>3.89</v>
      </c>
      <c r="J804">
        <v>3.82</v>
      </c>
    </row>
    <row r="805" spans="1:10" x14ac:dyDescent="0.25">
      <c r="A805">
        <v>43946</v>
      </c>
      <c r="B805" t="s">
        <v>10</v>
      </c>
      <c r="C805" t="s">
        <v>11</v>
      </c>
      <c r="D805" t="s">
        <v>17</v>
      </c>
      <c r="E805">
        <v>337</v>
      </c>
      <c r="F805">
        <v>12714602.41</v>
      </c>
      <c r="G805">
        <v>3243245.14</v>
      </c>
      <c r="H805">
        <v>9471357.2699999996</v>
      </c>
      <c r="I805">
        <v>1</v>
      </c>
      <c r="J805">
        <v>4.41</v>
      </c>
    </row>
    <row r="806" spans="1:10" x14ac:dyDescent="0.25">
      <c r="A806">
        <v>44027</v>
      </c>
      <c r="B806" t="s">
        <v>10</v>
      </c>
      <c r="C806" t="s">
        <v>15</v>
      </c>
      <c r="D806" t="s">
        <v>12</v>
      </c>
      <c r="E806">
        <v>121</v>
      </c>
      <c r="F806">
        <v>10373355.609999999</v>
      </c>
      <c r="G806">
        <v>2706149.87</v>
      </c>
      <c r="H806">
        <v>7667205.7400000002</v>
      </c>
      <c r="I806">
        <v>3.25</v>
      </c>
      <c r="J806">
        <v>3.8</v>
      </c>
    </row>
    <row r="807" spans="1:10" x14ac:dyDescent="0.25">
      <c r="A807">
        <v>44071</v>
      </c>
      <c r="B807" t="s">
        <v>10</v>
      </c>
      <c r="C807" t="s">
        <v>15</v>
      </c>
      <c r="D807" t="s">
        <v>17</v>
      </c>
      <c r="E807">
        <v>420</v>
      </c>
      <c r="F807">
        <v>32042778.899999999</v>
      </c>
      <c r="G807">
        <v>12012925.630000001</v>
      </c>
      <c r="H807">
        <v>20029853.27</v>
      </c>
      <c r="I807">
        <v>3.98</v>
      </c>
      <c r="J807">
        <v>3.86</v>
      </c>
    </row>
    <row r="808" spans="1:10" x14ac:dyDescent="0.25">
      <c r="A808">
        <v>44124</v>
      </c>
      <c r="B808" t="s">
        <v>10</v>
      </c>
      <c r="C808" t="s">
        <v>15</v>
      </c>
      <c r="D808" t="s">
        <v>17</v>
      </c>
      <c r="E808">
        <v>270</v>
      </c>
      <c r="F808">
        <v>22168927.030000001</v>
      </c>
      <c r="G808">
        <v>5165067.6100000003</v>
      </c>
      <c r="H808">
        <v>17003859.420000002</v>
      </c>
      <c r="I808">
        <v>4.67</v>
      </c>
      <c r="J808">
        <v>4.05</v>
      </c>
    </row>
    <row r="809" spans="1:10" x14ac:dyDescent="0.25">
      <c r="A809">
        <v>44036</v>
      </c>
      <c r="B809" t="s">
        <v>10</v>
      </c>
      <c r="C809" t="s">
        <v>15</v>
      </c>
      <c r="D809" t="s">
        <v>14</v>
      </c>
      <c r="E809">
        <v>151</v>
      </c>
      <c r="F809">
        <v>5444086.3099999996</v>
      </c>
      <c r="G809">
        <v>1277336.6499999999</v>
      </c>
      <c r="H809">
        <v>4166749.66</v>
      </c>
      <c r="I809">
        <v>2.86</v>
      </c>
      <c r="J809">
        <v>4.66</v>
      </c>
    </row>
    <row r="810" spans="1:10" x14ac:dyDescent="0.25">
      <c r="A810">
        <v>44563</v>
      </c>
      <c r="B810" t="s">
        <v>10</v>
      </c>
      <c r="C810" t="s">
        <v>15</v>
      </c>
      <c r="D810" t="s">
        <v>14</v>
      </c>
      <c r="E810">
        <v>276</v>
      </c>
      <c r="F810">
        <v>16014079.09</v>
      </c>
      <c r="G810">
        <v>5468755.4000000004</v>
      </c>
      <c r="H810">
        <v>10545323.689999999</v>
      </c>
      <c r="I810">
        <v>1.99</v>
      </c>
      <c r="J810">
        <v>3.94</v>
      </c>
    </row>
    <row r="811" spans="1:10" x14ac:dyDescent="0.25">
      <c r="A811">
        <v>44152</v>
      </c>
      <c r="B811" t="s">
        <v>10</v>
      </c>
      <c r="C811" t="s">
        <v>13</v>
      </c>
      <c r="D811" t="s">
        <v>14</v>
      </c>
      <c r="E811">
        <v>153</v>
      </c>
      <c r="F811">
        <v>13207920.810000001</v>
      </c>
      <c r="G811">
        <v>4581837.22</v>
      </c>
      <c r="H811">
        <v>8626083.5899999999</v>
      </c>
      <c r="I811">
        <v>3.25</v>
      </c>
      <c r="J811">
        <v>4.5199999999999996</v>
      </c>
    </row>
    <row r="812" spans="1:10" x14ac:dyDescent="0.25">
      <c r="A812">
        <v>44041</v>
      </c>
      <c r="B812" t="s">
        <v>10</v>
      </c>
      <c r="C812" t="s">
        <v>15</v>
      </c>
      <c r="D812" t="s">
        <v>14</v>
      </c>
      <c r="E812">
        <v>77</v>
      </c>
      <c r="F812">
        <v>6286742.6100000003</v>
      </c>
      <c r="G812">
        <v>1323784.98</v>
      </c>
      <c r="H812">
        <v>4962957.63</v>
      </c>
      <c r="I812">
        <v>4.4800000000000004</v>
      </c>
      <c r="J812">
        <v>4.6100000000000003</v>
      </c>
    </row>
    <row r="813" spans="1:10" x14ac:dyDescent="0.25">
      <c r="A813">
        <v>45465</v>
      </c>
      <c r="B813" t="s">
        <v>10</v>
      </c>
      <c r="C813" t="s">
        <v>18</v>
      </c>
      <c r="D813" t="s">
        <v>14</v>
      </c>
      <c r="E813">
        <v>267</v>
      </c>
      <c r="F813">
        <v>22751391.809999999</v>
      </c>
      <c r="G813">
        <v>7554507.54</v>
      </c>
      <c r="H813">
        <v>15196884.26</v>
      </c>
      <c r="I813">
        <v>2.5499999999999998</v>
      </c>
      <c r="J813">
        <v>4.5199999999999996</v>
      </c>
    </row>
    <row r="814" spans="1:10" x14ac:dyDescent="0.25">
      <c r="A814">
        <v>44986</v>
      </c>
      <c r="B814" t="s">
        <v>10</v>
      </c>
      <c r="C814" t="s">
        <v>11</v>
      </c>
      <c r="D814" t="s">
        <v>17</v>
      </c>
      <c r="E814">
        <v>154</v>
      </c>
      <c r="F814">
        <v>8328124.2199999997</v>
      </c>
      <c r="G814">
        <v>2605628.9</v>
      </c>
      <c r="H814">
        <v>5722495.3200000003</v>
      </c>
      <c r="I814">
        <v>4.08</v>
      </c>
      <c r="J814">
        <v>3.92</v>
      </c>
    </row>
    <row r="815" spans="1:10" x14ac:dyDescent="0.25">
      <c r="A815">
        <v>44108</v>
      </c>
      <c r="B815" t="s">
        <v>10</v>
      </c>
      <c r="C815" t="s">
        <v>18</v>
      </c>
      <c r="D815" t="s">
        <v>12</v>
      </c>
      <c r="E815">
        <v>287</v>
      </c>
      <c r="F815">
        <v>11291058.48</v>
      </c>
      <c r="G815">
        <v>3516491.46</v>
      </c>
      <c r="H815">
        <v>7774567.0199999996</v>
      </c>
      <c r="I815">
        <v>1.67</v>
      </c>
      <c r="J815">
        <v>4.0199999999999996</v>
      </c>
    </row>
    <row r="816" spans="1:10" x14ac:dyDescent="0.25">
      <c r="A816">
        <v>44030</v>
      </c>
      <c r="B816" t="s">
        <v>10</v>
      </c>
      <c r="C816" t="s">
        <v>15</v>
      </c>
      <c r="D816" t="s">
        <v>14</v>
      </c>
      <c r="E816">
        <v>345</v>
      </c>
      <c r="F816">
        <v>22340530.010000002</v>
      </c>
      <c r="G816">
        <v>4535816.82</v>
      </c>
      <c r="H816">
        <v>17804713.18</v>
      </c>
      <c r="I816">
        <v>4.7300000000000004</v>
      </c>
      <c r="J816">
        <v>4.18</v>
      </c>
    </row>
    <row r="817" spans="1:10" x14ac:dyDescent="0.25">
      <c r="A817">
        <v>44920</v>
      </c>
      <c r="B817" t="s">
        <v>10</v>
      </c>
      <c r="C817" t="s">
        <v>18</v>
      </c>
      <c r="D817" t="s">
        <v>12</v>
      </c>
      <c r="E817">
        <v>471</v>
      </c>
      <c r="F817">
        <v>18086148.170000002</v>
      </c>
      <c r="G817">
        <v>6900370.0300000003</v>
      </c>
      <c r="H817">
        <v>11185778.140000001</v>
      </c>
      <c r="I817">
        <v>1.23</v>
      </c>
      <c r="J817">
        <v>4.3899999999999997</v>
      </c>
    </row>
    <row r="818" spans="1:10" x14ac:dyDescent="0.25">
      <c r="A818">
        <v>44329</v>
      </c>
      <c r="B818" t="s">
        <v>10</v>
      </c>
      <c r="C818" t="s">
        <v>13</v>
      </c>
      <c r="D818" t="s">
        <v>14</v>
      </c>
      <c r="E818">
        <v>424</v>
      </c>
      <c r="F818">
        <v>37415541.219999999</v>
      </c>
      <c r="G818">
        <v>11623403.32</v>
      </c>
      <c r="H818">
        <v>25792137.890000001</v>
      </c>
      <c r="I818">
        <v>2.76</v>
      </c>
      <c r="J818">
        <v>3.87</v>
      </c>
    </row>
    <row r="819" spans="1:10" x14ac:dyDescent="0.25">
      <c r="A819">
        <v>44575</v>
      </c>
      <c r="B819" t="s">
        <v>10</v>
      </c>
      <c r="C819" t="s">
        <v>13</v>
      </c>
      <c r="D819" t="s">
        <v>17</v>
      </c>
      <c r="E819">
        <v>167</v>
      </c>
      <c r="F819">
        <v>11924676.720000001</v>
      </c>
      <c r="G819">
        <v>2978361.78</v>
      </c>
      <c r="H819">
        <v>8946314.9299999997</v>
      </c>
      <c r="I819">
        <v>3.89</v>
      </c>
      <c r="J819">
        <v>4.37</v>
      </c>
    </row>
    <row r="820" spans="1:10" x14ac:dyDescent="0.25">
      <c r="A820">
        <v>44973</v>
      </c>
      <c r="B820" t="s">
        <v>10</v>
      </c>
      <c r="C820" t="s">
        <v>13</v>
      </c>
      <c r="D820" t="s">
        <v>17</v>
      </c>
      <c r="E820">
        <v>372</v>
      </c>
      <c r="F820">
        <v>19040697.43</v>
      </c>
      <c r="G820">
        <v>7179116.2599999998</v>
      </c>
      <c r="H820">
        <v>11861581.17</v>
      </c>
      <c r="I820">
        <v>4.74</v>
      </c>
      <c r="J820">
        <v>4.68</v>
      </c>
    </row>
    <row r="821" spans="1:10" x14ac:dyDescent="0.25">
      <c r="A821">
        <v>43890</v>
      </c>
      <c r="B821" t="s">
        <v>10</v>
      </c>
      <c r="C821" t="s">
        <v>16</v>
      </c>
      <c r="D821" t="s">
        <v>17</v>
      </c>
      <c r="E821">
        <v>212</v>
      </c>
      <c r="F821">
        <v>9897135.25</v>
      </c>
      <c r="G821">
        <v>2645457.5499999998</v>
      </c>
      <c r="H821">
        <v>7251677.7000000002</v>
      </c>
      <c r="I821">
        <v>2.35</v>
      </c>
      <c r="J821">
        <v>4.0999999999999996</v>
      </c>
    </row>
    <row r="822" spans="1:10" x14ac:dyDescent="0.25">
      <c r="A822">
        <v>44137</v>
      </c>
      <c r="B822" t="s">
        <v>10</v>
      </c>
      <c r="C822" t="s">
        <v>13</v>
      </c>
      <c r="D822" t="s">
        <v>17</v>
      </c>
      <c r="E822">
        <v>400</v>
      </c>
      <c r="F822">
        <v>21848911.66</v>
      </c>
      <c r="G822">
        <v>5429609.9100000001</v>
      </c>
      <c r="H822">
        <v>16419301.74</v>
      </c>
      <c r="I822">
        <v>1.83</v>
      </c>
      <c r="J822">
        <v>3.95</v>
      </c>
    </row>
    <row r="823" spans="1:10" x14ac:dyDescent="0.25">
      <c r="A823">
        <v>44358</v>
      </c>
      <c r="B823" t="s">
        <v>10</v>
      </c>
      <c r="C823" t="s">
        <v>11</v>
      </c>
      <c r="D823" t="s">
        <v>14</v>
      </c>
      <c r="E823">
        <v>417</v>
      </c>
      <c r="F823">
        <v>20824907.010000002</v>
      </c>
      <c r="G823">
        <v>7536076.4000000004</v>
      </c>
      <c r="H823">
        <v>13288830.619999999</v>
      </c>
      <c r="I823">
        <v>1.33</v>
      </c>
      <c r="J823">
        <v>4.01</v>
      </c>
    </row>
    <row r="824" spans="1:10" x14ac:dyDescent="0.25">
      <c r="A824">
        <v>45066</v>
      </c>
      <c r="B824" t="s">
        <v>10</v>
      </c>
      <c r="C824" t="s">
        <v>16</v>
      </c>
      <c r="D824" t="s">
        <v>14</v>
      </c>
      <c r="E824">
        <v>389</v>
      </c>
      <c r="F824">
        <v>31393157.510000002</v>
      </c>
      <c r="G824">
        <v>11804511.01</v>
      </c>
      <c r="H824">
        <v>19588646.510000002</v>
      </c>
      <c r="I824">
        <v>3.81</v>
      </c>
      <c r="J824">
        <v>4.3</v>
      </c>
    </row>
    <row r="825" spans="1:10" x14ac:dyDescent="0.25">
      <c r="A825">
        <v>44057</v>
      </c>
      <c r="B825" t="s">
        <v>10</v>
      </c>
      <c r="C825" t="s">
        <v>18</v>
      </c>
      <c r="D825" t="s">
        <v>17</v>
      </c>
      <c r="E825">
        <v>343</v>
      </c>
      <c r="F825">
        <v>24873819.390000001</v>
      </c>
      <c r="G825">
        <v>5224001.2</v>
      </c>
      <c r="H825">
        <v>19649818.190000001</v>
      </c>
      <c r="I825">
        <v>1.1200000000000001</v>
      </c>
      <c r="J825">
        <v>4.5999999999999996</v>
      </c>
    </row>
    <row r="826" spans="1:10" x14ac:dyDescent="0.25">
      <c r="A826">
        <v>44765</v>
      </c>
      <c r="B826" t="s">
        <v>10</v>
      </c>
      <c r="C826" t="s">
        <v>15</v>
      </c>
      <c r="D826" t="s">
        <v>14</v>
      </c>
      <c r="E826">
        <v>74</v>
      </c>
      <c r="F826">
        <v>3259130.5</v>
      </c>
      <c r="G826">
        <v>1227660.31</v>
      </c>
      <c r="H826">
        <v>2031470.19</v>
      </c>
      <c r="I826">
        <v>2.96</v>
      </c>
      <c r="J826">
        <v>4.8499999999999996</v>
      </c>
    </row>
    <row r="827" spans="1:10" x14ac:dyDescent="0.25">
      <c r="A827">
        <v>45239</v>
      </c>
      <c r="B827" t="s">
        <v>10</v>
      </c>
      <c r="C827" t="s">
        <v>13</v>
      </c>
      <c r="D827" t="s">
        <v>12</v>
      </c>
      <c r="E827">
        <v>161</v>
      </c>
      <c r="F827">
        <v>7564581.6100000003</v>
      </c>
      <c r="G827">
        <v>3002871.29</v>
      </c>
      <c r="H827">
        <v>4561710.32</v>
      </c>
      <c r="I827">
        <v>3.12</v>
      </c>
      <c r="J827">
        <v>3.66</v>
      </c>
    </row>
    <row r="828" spans="1:10" x14ac:dyDescent="0.25">
      <c r="A828">
        <v>44266</v>
      </c>
      <c r="B828" t="s">
        <v>10</v>
      </c>
      <c r="C828" t="s">
        <v>13</v>
      </c>
      <c r="D828" t="s">
        <v>14</v>
      </c>
      <c r="E828">
        <v>276</v>
      </c>
      <c r="F828">
        <v>18261067.829999998</v>
      </c>
      <c r="G828">
        <v>4904811.43</v>
      </c>
      <c r="H828">
        <v>13356256.4</v>
      </c>
      <c r="I828">
        <v>4.54</v>
      </c>
      <c r="J828">
        <v>4.0999999999999996</v>
      </c>
    </row>
    <row r="829" spans="1:10" x14ac:dyDescent="0.25">
      <c r="A829">
        <v>44471</v>
      </c>
      <c r="B829" t="s">
        <v>10</v>
      </c>
      <c r="C829" t="s">
        <v>18</v>
      </c>
      <c r="D829" t="s">
        <v>17</v>
      </c>
      <c r="E829">
        <v>394</v>
      </c>
      <c r="F829">
        <v>34217424.359999999</v>
      </c>
      <c r="G829">
        <v>13120780.6</v>
      </c>
      <c r="H829">
        <v>21096643.77</v>
      </c>
      <c r="I829">
        <v>1.64</v>
      </c>
      <c r="J829">
        <v>4.67</v>
      </c>
    </row>
    <row r="830" spans="1:10" x14ac:dyDescent="0.25">
      <c r="A830">
        <v>45325</v>
      </c>
      <c r="B830" t="s">
        <v>10</v>
      </c>
      <c r="C830" t="s">
        <v>18</v>
      </c>
      <c r="D830" t="s">
        <v>12</v>
      </c>
      <c r="E830">
        <v>427</v>
      </c>
      <c r="F830">
        <v>28492495.600000001</v>
      </c>
      <c r="G830">
        <v>8752998.9399999995</v>
      </c>
      <c r="H830">
        <v>19739496.66</v>
      </c>
      <c r="I830">
        <v>1.03</v>
      </c>
      <c r="J830">
        <v>4.97</v>
      </c>
    </row>
    <row r="831" spans="1:10" x14ac:dyDescent="0.25">
      <c r="A831">
        <v>45491</v>
      </c>
      <c r="B831" t="s">
        <v>10</v>
      </c>
      <c r="C831" t="s">
        <v>11</v>
      </c>
      <c r="D831" t="s">
        <v>14</v>
      </c>
      <c r="E831">
        <v>398</v>
      </c>
      <c r="F831">
        <v>18883165.239999998</v>
      </c>
      <c r="G831">
        <v>4170543.57</v>
      </c>
      <c r="H831">
        <v>14712621.67</v>
      </c>
      <c r="I831">
        <v>4.03</v>
      </c>
      <c r="J831">
        <v>4.55</v>
      </c>
    </row>
    <row r="832" spans="1:10" x14ac:dyDescent="0.25">
      <c r="A832">
        <v>43863</v>
      </c>
      <c r="B832" t="s">
        <v>10</v>
      </c>
      <c r="C832" t="s">
        <v>11</v>
      </c>
      <c r="D832" t="s">
        <v>14</v>
      </c>
      <c r="E832">
        <v>356</v>
      </c>
      <c r="F832">
        <v>25357691.370000001</v>
      </c>
      <c r="G832">
        <v>7443537.9299999997</v>
      </c>
      <c r="H832">
        <v>17914153.440000001</v>
      </c>
      <c r="I832">
        <v>0.96</v>
      </c>
      <c r="J832">
        <v>3.76</v>
      </c>
    </row>
    <row r="833" spans="1:10" x14ac:dyDescent="0.25">
      <c r="A833">
        <v>45321</v>
      </c>
      <c r="B833" t="s">
        <v>10</v>
      </c>
      <c r="C833" t="s">
        <v>15</v>
      </c>
      <c r="D833" t="s">
        <v>12</v>
      </c>
      <c r="E833">
        <v>428</v>
      </c>
      <c r="F833">
        <v>32591705.850000001</v>
      </c>
      <c r="G833">
        <v>9378226.3499999996</v>
      </c>
      <c r="H833">
        <v>23213479.510000002</v>
      </c>
      <c r="I833">
        <v>1.61</v>
      </c>
      <c r="J833">
        <v>4.1399999999999997</v>
      </c>
    </row>
    <row r="834" spans="1:10" x14ac:dyDescent="0.25">
      <c r="A834">
        <v>44718</v>
      </c>
      <c r="B834" t="s">
        <v>10</v>
      </c>
      <c r="C834" t="s">
        <v>18</v>
      </c>
      <c r="D834" t="s">
        <v>17</v>
      </c>
      <c r="E834">
        <v>143</v>
      </c>
      <c r="F834">
        <v>7047311.1500000004</v>
      </c>
      <c r="G834">
        <v>1452135.63</v>
      </c>
      <c r="H834">
        <v>5595175.5199999996</v>
      </c>
      <c r="I834">
        <v>2.44</v>
      </c>
      <c r="J834">
        <v>4.0199999999999996</v>
      </c>
    </row>
    <row r="835" spans="1:10" x14ac:dyDescent="0.25">
      <c r="A835">
        <v>45560</v>
      </c>
      <c r="B835" t="s">
        <v>10</v>
      </c>
      <c r="C835" t="s">
        <v>13</v>
      </c>
      <c r="D835" t="s">
        <v>17</v>
      </c>
      <c r="E835">
        <v>296</v>
      </c>
      <c r="F835">
        <v>12243617.460000001</v>
      </c>
      <c r="G835">
        <v>4830719.24</v>
      </c>
      <c r="H835">
        <v>7412898.2199999997</v>
      </c>
      <c r="I835">
        <v>2.86</v>
      </c>
      <c r="J835">
        <v>3.83</v>
      </c>
    </row>
    <row r="836" spans="1:10" x14ac:dyDescent="0.25">
      <c r="A836">
        <v>44629</v>
      </c>
      <c r="B836" t="s">
        <v>10</v>
      </c>
      <c r="C836" t="s">
        <v>15</v>
      </c>
      <c r="D836" t="s">
        <v>17</v>
      </c>
      <c r="E836">
        <v>150</v>
      </c>
      <c r="F836">
        <v>10315255.029999999</v>
      </c>
      <c r="G836">
        <v>3604442.82</v>
      </c>
      <c r="H836">
        <v>6710812.21</v>
      </c>
      <c r="I836">
        <v>3.1</v>
      </c>
      <c r="J836">
        <v>4.04</v>
      </c>
    </row>
    <row r="837" spans="1:10" x14ac:dyDescent="0.25">
      <c r="A837">
        <v>45019</v>
      </c>
      <c r="B837" t="s">
        <v>10</v>
      </c>
      <c r="C837" t="s">
        <v>16</v>
      </c>
      <c r="D837" t="s">
        <v>17</v>
      </c>
      <c r="E837">
        <v>454</v>
      </c>
      <c r="F837">
        <v>34497132</v>
      </c>
      <c r="G837">
        <v>13271461.6</v>
      </c>
      <c r="H837">
        <v>21225670.390000001</v>
      </c>
      <c r="I837">
        <v>4.53</v>
      </c>
      <c r="J837">
        <v>4.6900000000000004</v>
      </c>
    </row>
    <row r="838" spans="1:10" x14ac:dyDescent="0.25">
      <c r="A838">
        <v>45495</v>
      </c>
      <c r="B838" t="s">
        <v>10</v>
      </c>
      <c r="C838" t="s">
        <v>18</v>
      </c>
      <c r="D838" t="s">
        <v>12</v>
      </c>
      <c r="E838">
        <v>239</v>
      </c>
      <c r="F838">
        <v>18956117.440000001</v>
      </c>
      <c r="G838">
        <v>6338245.21</v>
      </c>
      <c r="H838">
        <v>12617872.23</v>
      </c>
      <c r="I838">
        <v>1.44</v>
      </c>
      <c r="J838">
        <v>3.63</v>
      </c>
    </row>
    <row r="839" spans="1:10" x14ac:dyDescent="0.25">
      <c r="A839">
        <v>43846</v>
      </c>
      <c r="B839" t="s">
        <v>10</v>
      </c>
      <c r="C839" t="s">
        <v>16</v>
      </c>
      <c r="D839" t="s">
        <v>14</v>
      </c>
      <c r="E839">
        <v>386</v>
      </c>
      <c r="F839">
        <v>21117444.760000002</v>
      </c>
      <c r="G839">
        <v>4591386.75</v>
      </c>
      <c r="H839">
        <v>16526058.01</v>
      </c>
      <c r="I839">
        <v>3.05</v>
      </c>
      <c r="J839">
        <v>3.77</v>
      </c>
    </row>
    <row r="840" spans="1:10" x14ac:dyDescent="0.25">
      <c r="A840">
        <v>45344</v>
      </c>
      <c r="B840" t="s">
        <v>10</v>
      </c>
      <c r="C840" t="s">
        <v>15</v>
      </c>
      <c r="D840" t="s">
        <v>12</v>
      </c>
      <c r="E840">
        <v>121</v>
      </c>
      <c r="F840">
        <v>9614940.1899999995</v>
      </c>
      <c r="G840">
        <v>2262157.73</v>
      </c>
      <c r="H840">
        <v>7352782.4699999997</v>
      </c>
      <c r="I840">
        <v>2.23</v>
      </c>
      <c r="J840">
        <v>4.1900000000000004</v>
      </c>
    </row>
    <row r="841" spans="1:10" x14ac:dyDescent="0.25">
      <c r="A841">
        <v>44995</v>
      </c>
      <c r="B841" t="s">
        <v>10</v>
      </c>
      <c r="C841" t="s">
        <v>11</v>
      </c>
      <c r="D841" t="s">
        <v>17</v>
      </c>
      <c r="E841">
        <v>294</v>
      </c>
      <c r="F841">
        <v>13592670.09</v>
      </c>
      <c r="G841">
        <v>5391515.4500000002</v>
      </c>
      <c r="H841">
        <v>8201154.6399999997</v>
      </c>
      <c r="I841">
        <v>3.56</v>
      </c>
      <c r="J841">
        <v>3.61</v>
      </c>
    </row>
    <row r="842" spans="1:10" x14ac:dyDescent="0.25">
      <c r="A842">
        <v>45202</v>
      </c>
      <c r="B842" t="s">
        <v>10</v>
      </c>
      <c r="C842" t="s">
        <v>16</v>
      </c>
      <c r="D842" t="s">
        <v>17</v>
      </c>
      <c r="E842">
        <v>456</v>
      </c>
      <c r="F842">
        <v>29291829.59</v>
      </c>
      <c r="G842">
        <v>11525403.109999999</v>
      </c>
      <c r="H842">
        <v>17766426.48</v>
      </c>
      <c r="I842">
        <v>2.64</v>
      </c>
      <c r="J842">
        <v>4.1100000000000003</v>
      </c>
    </row>
    <row r="843" spans="1:10" x14ac:dyDescent="0.25">
      <c r="A843">
        <v>45579</v>
      </c>
      <c r="B843" t="s">
        <v>10</v>
      </c>
      <c r="C843" t="s">
        <v>16</v>
      </c>
      <c r="D843" t="s">
        <v>17</v>
      </c>
      <c r="E843">
        <v>247</v>
      </c>
      <c r="F843">
        <v>17531765.699999999</v>
      </c>
      <c r="G843">
        <v>4841435.55</v>
      </c>
      <c r="H843">
        <v>12690330.140000001</v>
      </c>
      <c r="I843">
        <v>1.99</v>
      </c>
      <c r="J843">
        <v>4.8899999999999997</v>
      </c>
    </row>
    <row r="844" spans="1:10" x14ac:dyDescent="0.25">
      <c r="A844">
        <v>45329</v>
      </c>
      <c r="B844" t="s">
        <v>10</v>
      </c>
      <c r="C844" t="s">
        <v>15</v>
      </c>
      <c r="D844" t="s">
        <v>17</v>
      </c>
      <c r="E844">
        <v>62</v>
      </c>
      <c r="F844">
        <v>2933780.48</v>
      </c>
      <c r="G844">
        <v>1033193.85</v>
      </c>
      <c r="H844">
        <v>1900586.64</v>
      </c>
      <c r="I844">
        <v>2.81</v>
      </c>
      <c r="J844">
        <v>4.66</v>
      </c>
    </row>
    <row r="845" spans="1:10" x14ac:dyDescent="0.25">
      <c r="A845">
        <v>44481</v>
      </c>
      <c r="B845" t="s">
        <v>10</v>
      </c>
      <c r="C845" t="s">
        <v>16</v>
      </c>
      <c r="D845" t="s">
        <v>12</v>
      </c>
      <c r="E845">
        <v>288</v>
      </c>
      <c r="F845">
        <v>20562559.280000001</v>
      </c>
      <c r="G845">
        <v>7909170.2699999996</v>
      </c>
      <c r="H845">
        <v>12653389.02</v>
      </c>
      <c r="I845">
        <v>2.1</v>
      </c>
      <c r="J845">
        <v>4.33</v>
      </c>
    </row>
    <row r="846" spans="1:10" x14ac:dyDescent="0.25">
      <c r="A846">
        <v>45353</v>
      </c>
      <c r="B846" t="s">
        <v>10</v>
      </c>
      <c r="C846" t="s">
        <v>18</v>
      </c>
      <c r="D846" t="s">
        <v>17</v>
      </c>
      <c r="E846">
        <v>465</v>
      </c>
      <c r="F846">
        <v>40320185.119999997</v>
      </c>
      <c r="G846">
        <v>15750791.26</v>
      </c>
      <c r="H846">
        <v>24569393.859999999</v>
      </c>
      <c r="I846">
        <v>1.94</v>
      </c>
      <c r="J846">
        <v>4.16</v>
      </c>
    </row>
    <row r="847" spans="1:10" x14ac:dyDescent="0.25">
      <c r="A847">
        <v>44966</v>
      </c>
      <c r="B847" t="s">
        <v>10</v>
      </c>
      <c r="C847" t="s">
        <v>16</v>
      </c>
      <c r="D847" t="s">
        <v>14</v>
      </c>
      <c r="E847">
        <v>376</v>
      </c>
      <c r="F847">
        <v>18440356.210000001</v>
      </c>
      <c r="G847">
        <v>6985670.46</v>
      </c>
      <c r="H847">
        <v>11454685.75</v>
      </c>
      <c r="I847">
        <v>2.1</v>
      </c>
      <c r="J847">
        <v>4.12</v>
      </c>
    </row>
    <row r="848" spans="1:10" x14ac:dyDescent="0.25">
      <c r="A848">
        <v>45027</v>
      </c>
      <c r="B848" t="s">
        <v>10</v>
      </c>
      <c r="C848" t="s">
        <v>11</v>
      </c>
      <c r="D848" t="s">
        <v>12</v>
      </c>
      <c r="E848">
        <v>363</v>
      </c>
      <c r="F848">
        <v>23441836.289999999</v>
      </c>
      <c r="G848">
        <v>8072901.8600000003</v>
      </c>
      <c r="H848">
        <v>15368934.439999999</v>
      </c>
      <c r="I848">
        <v>1.48</v>
      </c>
      <c r="J848">
        <v>3.93</v>
      </c>
    </row>
    <row r="849" spans="1:10" x14ac:dyDescent="0.25">
      <c r="A849">
        <v>43955</v>
      </c>
      <c r="B849" t="s">
        <v>10</v>
      </c>
      <c r="C849" t="s">
        <v>16</v>
      </c>
      <c r="D849" t="s">
        <v>12</v>
      </c>
      <c r="E849">
        <v>345</v>
      </c>
      <c r="F849">
        <v>15050521.08</v>
      </c>
      <c r="G849">
        <v>3529942.74</v>
      </c>
      <c r="H849">
        <v>11520578.34</v>
      </c>
      <c r="I849">
        <v>0.69</v>
      </c>
      <c r="J849">
        <v>4.13</v>
      </c>
    </row>
    <row r="850" spans="1:10" x14ac:dyDescent="0.25">
      <c r="A850">
        <v>44410</v>
      </c>
      <c r="B850" t="s">
        <v>10</v>
      </c>
      <c r="C850" t="s">
        <v>13</v>
      </c>
      <c r="D850" t="s">
        <v>14</v>
      </c>
      <c r="E850">
        <v>333</v>
      </c>
      <c r="F850">
        <v>21147228.170000002</v>
      </c>
      <c r="G850">
        <v>5455499.4699999997</v>
      </c>
      <c r="H850">
        <v>15691728.699999999</v>
      </c>
      <c r="I850">
        <v>0.93</v>
      </c>
      <c r="J850">
        <v>3.98</v>
      </c>
    </row>
    <row r="851" spans="1:10" x14ac:dyDescent="0.25">
      <c r="A851">
        <v>43868</v>
      </c>
      <c r="B851" t="s">
        <v>10</v>
      </c>
      <c r="C851" t="s">
        <v>13</v>
      </c>
      <c r="D851" t="s">
        <v>17</v>
      </c>
      <c r="E851">
        <v>320</v>
      </c>
      <c r="F851">
        <v>24074159.93</v>
      </c>
      <c r="G851">
        <v>5016486.74</v>
      </c>
      <c r="H851">
        <v>19057673.190000001</v>
      </c>
      <c r="I851">
        <v>1.49</v>
      </c>
      <c r="J851">
        <v>4.83</v>
      </c>
    </row>
    <row r="852" spans="1:10" x14ac:dyDescent="0.25">
      <c r="A852">
        <v>44056</v>
      </c>
      <c r="B852" t="s">
        <v>10</v>
      </c>
      <c r="C852" t="s">
        <v>18</v>
      </c>
      <c r="D852" t="s">
        <v>17</v>
      </c>
      <c r="E852">
        <v>413</v>
      </c>
      <c r="F852">
        <v>35271492.670000002</v>
      </c>
      <c r="G852">
        <v>9626194.5</v>
      </c>
      <c r="H852">
        <v>25645298.170000002</v>
      </c>
      <c r="I852">
        <v>3.33</v>
      </c>
      <c r="J852">
        <v>4.0999999999999996</v>
      </c>
    </row>
    <row r="853" spans="1:10" x14ac:dyDescent="0.25">
      <c r="A853">
        <v>45257</v>
      </c>
      <c r="B853" t="s">
        <v>10</v>
      </c>
      <c r="C853" t="s">
        <v>15</v>
      </c>
      <c r="D853" t="s">
        <v>14</v>
      </c>
      <c r="E853">
        <v>279</v>
      </c>
      <c r="F853">
        <v>17917706.710000001</v>
      </c>
      <c r="G853">
        <v>4739455.3499999996</v>
      </c>
      <c r="H853">
        <v>13178251.359999999</v>
      </c>
      <c r="I853">
        <v>2.4300000000000002</v>
      </c>
      <c r="J853">
        <v>4.5999999999999996</v>
      </c>
    </row>
    <row r="854" spans="1:10" x14ac:dyDescent="0.25">
      <c r="A854">
        <v>45345</v>
      </c>
      <c r="B854" t="s">
        <v>10</v>
      </c>
      <c r="C854" t="s">
        <v>13</v>
      </c>
      <c r="D854" t="s">
        <v>14</v>
      </c>
      <c r="E854">
        <v>220</v>
      </c>
      <c r="F854">
        <v>18512494.5</v>
      </c>
      <c r="G854">
        <v>4968549.95</v>
      </c>
      <c r="H854">
        <v>13543944.550000001</v>
      </c>
      <c r="I854">
        <v>0.54</v>
      </c>
      <c r="J854">
        <v>4.91</v>
      </c>
    </row>
    <row r="855" spans="1:10" x14ac:dyDescent="0.25">
      <c r="A855">
        <v>44071</v>
      </c>
      <c r="B855" t="s">
        <v>10</v>
      </c>
      <c r="C855" t="s">
        <v>18</v>
      </c>
      <c r="D855" t="s">
        <v>14</v>
      </c>
      <c r="E855">
        <v>157</v>
      </c>
      <c r="F855">
        <v>8768014.5899999999</v>
      </c>
      <c r="G855">
        <v>1902552.67</v>
      </c>
      <c r="H855">
        <v>6865461.9299999997</v>
      </c>
      <c r="I855">
        <v>1.63</v>
      </c>
      <c r="J855">
        <v>4.7699999999999996</v>
      </c>
    </row>
    <row r="856" spans="1:10" x14ac:dyDescent="0.25">
      <c r="A856">
        <v>44642</v>
      </c>
      <c r="B856" t="s">
        <v>10</v>
      </c>
      <c r="C856" t="s">
        <v>15</v>
      </c>
      <c r="D856" t="s">
        <v>12</v>
      </c>
      <c r="E856">
        <v>473</v>
      </c>
      <c r="F856">
        <v>30797470.809999999</v>
      </c>
      <c r="G856">
        <v>10628917.949999999</v>
      </c>
      <c r="H856">
        <v>20168552.859999999</v>
      </c>
      <c r="I856">
        <v>4.5599999999999996</v>
      </c>
      <c r="J856">
        <v>3.82</v>
      </c>
    </row>
    <row r="857" spans="1:10" x14ac:dyDescent="0.25">
      <c r="A857">
        <v>44570</v>
      </c>
      <c r="B857" t="s">
        <v>10</v>
      </c>
      <c r="C857" t="s">
        <v>13</v>
      </c>
      <c r="D857" t="s">
        <v>17</v>
      </c>
      <c r="E857">
        <v>425</v>
      </c>
      <c r="F857">
        <v>15792922.560000001</v>
      </c>
      <c r="G857">
        <v>5458038.4400000004</v>
      </c>
      <c r="H857">
        <v>10334884.119999999</v>
      </c>
      <c r="I857">
        <v>0.53</v>
      </c>
      <c r="J857">
        <v>4.97</v>
      </c>
    </row>
    <row r="858" spans="1:10" x14ac:dyDescent="0.25">
      <c r="A858">
        <v>44927</v>
      </c>
      <c r="B858" t="s">
        <v>10</v>
      </c>
      <c r="C858" t="s">
        <v>18</v>
      </c>
      <c r="D858" t="s">
        <v>14</v>
      </c>
      <c r="E858">
        <v>437</v>
      </c>
      <c r="F858">
        <v>23090651.489999998</v>
      </c>
      <c r="G858">
        <v>8156094.0899999999</v>
      </c>
      <c r="H858">
        <v>14934557.4</v>
      </c>
      <c r="I858">
        <v>1.45</v>
      </c>
      <c r="J858">
        <v>4.79</v>
      </c>
    </row>
    <row r="859" spans="1:10" x14ac:dyDescent="0.25">
      <c r="A859">
        <v>44491</v>
      </c>
      <c r="B859" t="s">
        <v>10</v>
      </c>
      <c r="C859" t="s">
        <v>13</v>
      </c>
      <c r="D859" t="s">
        <v>12</v>
      </c>
      <c r="E859">
        <v>340</v>
      </c>
      <c r="F859">
        <v>29604341.780000001</v>
      </c>
      <c r="G859">
        <v>9472132.5099999998</v>
      </c>
      <c r="H859">
        <v>20132209.260000002</v>
      </c>
      <c r="I859">
        <v>4.0199999999999996</v>
      </c>
      <c r="J859">
        <v>3.9</v>
      </c>
    </row>
    <row r="860" spans="1:10" x14ac:dyDescent="0.25">
      <c r="A860">
        <v>45103</v>
      </c>
      <c r="B860" t="s">
        <v>10</v>
      </c>
      <c r="C860" t="s">
        <v>13</v>
      </c>
      <c r="D860" t="s">
        <v>17</v>
      </c>
      <c r="E860">
        <v>300</v>
      </c>
      <c r="F860">
        <v>23373122.93</v>
      </c>
      <c r="G860">
        <v>4685737</v>
      </c>
      <c r="H860">
        <v>18687385.93</v>
      </c>
      <c r="I860">
        <v>1.36</v>
      </c>
      <c r="J860">
        <v>4.1900000000000004</v>
      </c>
    </row>
    <row r="861" spans="1:10" x14ac:dyDescent="0.25">
      <c r="A861">
        <v>45353</v>
      </c>
      <c r="B861" t="s">
        <v>10</v>
      </c>
      <c r="C861" t="s">
        <v>18</v>
      </c>
      <c r="D861" t="s">
        <v>14</v>
      </c>
      <c r="E861">
        <v>67</v>
      </c>
      <c r="F861">
        <v>2788628.23</v>
      </c>
      <c r="G861">
        <v>592009.16</v>
      </c>
      <c r="H861">
        <v>2196619.0699999998</v>
      </c>
      <c r="I861">
        <v>1.32</v>
      </c>
      <c r="J861">
        <v>4.43</v>
      </c>
    </row>
    <row r="862" spans="1:10" x14ac:dyDescent="0.25">
      <c r="A862">
        <v>44243</v>
      </c>
      <c r="B862" t="s">
        <v>10</v>
      </c>
      <c r="C862" t="s">
        <v>16</v>
      </c>
      <c r="D862" t="s">
        <v>14</v>
      </c>
      <c r="E862">
        <v>224</v>
      </c>
      <c r="F862">
        <v>13012535.960000001</v>
      </c>
      <c r="G862">
        <v>3911840.22</v>
      </c>
      <c r="H862">
        <v>9100695.7300000004</v>
      </c>
      <c r="I862">
        <v>4.63</v>
      </c>
      <c r="J862">
        <v>4.66</v>
      </c>
    </row>
    <row r="863" spans="1:10" x14ac:dyDescent="0.25">
      <c r="A863">
        <v>44025</v>
      </c>
      <c r="B863" t="s">
        <v>10</v>
      </c>
      <c r="C863" t="s">
        <v>15</v>
      </c>
      <c r="D863" t="s">
        <v>12</v>
      </c>
      <c r="E863">
        <v>286</v>
      </c>
      <c r="F863">
        <v>18904056.09</v>
      </c>
      <c r="G863">
        <v>5889550.0700000003</v>
      </c>
      <c r="H863">
        <v>13014506.02</v>
      </c>
      <c r="I863">
        <v>4.09</v>
      </c>
      <c r="J863">
        <v>4.59</v>
      </c>
    </row>
    <row r="864" spans="1:10" x14ac:dyDescent="0.25">
      <c r="A864">
        <v>45365</v>
      </c>
      <c r="B864" t="s">
        <v>10</v>
      </c>
      <c r="C864" t="s">
        <v>11</v>
      </c>
      <c r="D864" t="s">
        <v>14</v>
      </c>
      <c r="E864">
        <v>363</v>
      </c>
      <c r="F864">
        <v>19503977.640000001</v>
      </c>
      <c r="G864">
        <v>4661592.1399999997</v>
      </c>
      <c r="H864">
        <v>14842385.5</v>
      </c>
      <c r="I864">
        <v>0.74</v>
      </c>
      <c r="J864">
        <v>3.74</v>
      </c>
    </row>
    <row r="865" spans="1:10" x14ac:dyDescent="0.25">
      <c r="A865">
        <v>44915</v>
      </c>
      <c r="B865" t="s">
        <v>10</v>
      </c>
      <c r="C865" t="s">
        <v>16</v>
      </c>
      <c r="D865" t="s">
        <v>14</v>
      </c>
      <c r="E865">
        <v>97</v>
      </c>
      <c r="F865">
        <v>4264706.97</v>
      </c>
      <c r="G865">
        <v>1506454.14</v>
      </c>
      <c r="H865">
        <v>2758252.83</v>
      </c>
      <c r="I865">
        <v>0.61</v>
      </c>
      <c r="J865">
        <v>4.75</v>
      </c>
    </row>
    <row r="866" spans="1:10" x14ac:dyDescent="0.25">
      <c r="A866">
        <v>44061</v>
      </c>
      <c r="B866" t="s">
        <v>10</v>
      </c>
      <c r="C866" t="s">
        <v>15</v>
      </c>
      <c r="D866" t="s">
        <v>17</v>
      </c>
      <c r="E866">
        <v>222</v>
      </c>
      <c r="F866">
        <v>11489194.76</v>
      </c>
      <c r="G866">
        <v>3987863.19</v>
      </c>
      <c r="H866">
        <v>7501331.5800000001</v>
      </c>
      <c r="I866">
        <v>1.76</v>
      </c>
      <c r="J866">
        <v>3.92</v>
      </c>
    </row>
    <row r="867" spans="1:10" x14ac:dyDescent="0.25">
      <c r="A867">
        <v>44032</v>
      </c>
      <c r="B867" t="s">
        <v>10</v>
      </c>
      <c r="C867" t="s">
        <v>18</v>
      </c>
      <c r="D867" t="s">
        <v>12</v>
      </c>
      <c r="E867">
        <v>170</v>
      </c>
      <c r="F867">
        <v>9873516.0299999993</v>
      </c>
      <c r="G867">
        <v>3849442.05</v>
      </c>
      <c r="H867">
        <v>6024073.9800000004</v>
      </c>
      <c r="I867">
        <v>0.68</v>
      </c>
      <c r="J867">
        <v>4.3600000000000003</v>
      </c>
    </row>
    <row r="868" spans="1:10" x14ac:dyDescent="0.25">
      <c r="A868">
        <v>45259</v>
      </c>
      <c r="B868" t="s">
        <v>10</v>
      </c>
      <c r="C868" t="s">
        <v>15</v>
      </c>
      <c r="D868" t="s">
        <v>14</v>
      </c>
      <c r="E868">
        <v>67</v>
      </c>
      <c r="F868">
        <v>5506564.5099999998</v>
      </c>
      <c r="G868">
        <v>1397392.79</v>
      </c>
      <c r="H868">
        <v>4109171.72</v>
      </c>
      <c r="I868">
        <v>4.76</v>
      </c>
      <c r="J868">
        <v>4.67</v>
      </c>
    </row>
    <row r="869" spans="1:10" x14ac:dyDescent="0.25">
      <c r="A869">
        <v>44363</v>
      </c>
      <c r="B869" t="s">
        <v>10</v>
      </c>
      <c r="C869" t="s">
        <v>16</v>
      </c>
      <c r="D869" t="s">
        <v>12</v>
      </c>
      <c r="E869">
        <v>480</v>
      </c>
      <c r="F869">
        <v>23343856.670000002</v>
      </c>
      <c r="G869">
        <v>6080064.7699999996</v>
      </c>
      <c r="H869">
        <v>17263791.899999999</v>
      </c>
      <c r="I869">
        <v>2.14</v>
      </c>
      <c r="J869">
        <v>4.3499999999999996</v>
      </c>
    </row>
    <row r="870" spans="1:10" x14ac:dyDescent="0.25">
      <c r="A870">
        <v>45327</v>
      </c>
      <c r="B870" t="s">
        <v>10</v>
      </c>
      <c r="C870" t="s">
        <v>15</v>
      </c>
      <c r="D870" t="s">
        <v>17</v>
      </c>
      <c r="E870">
        <v>295</v>
      </c>
      <c r="F870">
        <v>19154623.300000001</v>
      </c>
      <c r="G870">
        <v>6607428.75</v>
      </c>
      <c r="H870">
        <v>12547194.550000001</v>
      </c>
      <c r="I870">
        <v>3.69</v>
      </c>
      <c r="J870">
        <v>3.91</v>
      </c>
    </row>
    <row r="871" spans="1:10" x14ac:dyDescent="0.25">
      <c r="A871">
        <v>44696</v>
      </c>
      <c r="B871" t="s">
        <v>10</v>
      </c>
      <c r="C871" t="s">
        <v>18</v>
      </c>
      <c r="D871" t="s">
        <v>14</v>
      </c>
      <c r="E871">
        <v>312</v>
      </c>
      <c r="F871">
        <v>13184524.880000001</v>
      </c>
      <c r="G871">
        <v>3920594.93</v>
      </c>
      <c r="H871">
        <v>9263929.9600000009</v>
      </c>
      <c r="I871">
        <v>1.38</v>
      </c>
      <c r="J871">
        <v>3.64</v>
      </c>
    </row>
    <row r="872" spans="1:10" x14ac:dyDescent="0.25">
      <c r="A872">
        <v>45417</v>
      </c>
      <c r="B872" t="s">
        <v>10</v>
      </c>
      <c r="C872" t="s">
        <v>16</v>
      </c>
      <c r="D872" t="s">
        <v>12</v>
      </c>
      <c r="E872">
        <v>190</v>
      </c>
      <c r="F872">
        <v>15348198.99</v>
      </c>
      <c r="G872">
        <v>3666227.96</v>
      </c>
      <c r="H872">
        <v>11681971.029999999</v>
      </c>
      <c r="I872">
        <v>1.51</v>
      </c>
      <c r="J872">
        <v>3.84</v>
      </c>
    </row>
    <row r="873" spans="1:10" x14ac:dyDescent="0.25">
      <c r="A873">
        <v>45405</v>
      </c>
      <c r="B873" t="s">
        <v>10</v>
      </c>
      <c r="C873" t="s">
        <v>18</v>
      </c>
      <c r="D873" t="s">
        <v>17</v>
      </c>
      <c r="E873">
        <v>57</v>
      </c>
      <c r="F873">
        <v>4911799.05</v>
      </c>
      <c r="G873">
        <v>1871040.88</v>
      </c>
      <c r="H873">
        <v>3040758.16</v>
      </c>
      <c r="I873">
        <v>2.5299999999999998</v>
      </c>
      <c r="J873">
        <v>4.01</v>
      </c>
    </row>
    <row r="874" spans="1:10" x14ac:dyDescent="0.25">
      <c r="A874">
        <v>45180</v>
      </c>
      <c r="B874" t="s">
        <v>10</v>
      </c>
      <c r="C874" t="s">
        <v>11</v>
      </c>
      <c r="D874" t="s">
        <v>12</v>
      </c>
      <c r="E874">
        <v>125</v>
      </c>
      <c r="F874">
        <v>6350371.1799999997</v>
      </c>
      <c r="G874">
        <v>2184850.3199999998</v>
      </c>
      <c r="H874">
        <v>4165520.85</v>
      </c>
      <c r="I874">
        <v>1.99</v>
      </c>
      <c r="J874">
        <v>4.49</v>
      </c>
    </row>
    <row r="875" spans="1:10" x14ac:dyDescent="0.25">
      <c r="A875">
        <v>44401</v>
      </c>
      <c r="B875" t="s">
        <v>10</v>
      </c>
      <c r="C875" t="s">
        <v>16</v>
      </c>
      <c r="D875" t="s">
        <v>17</v>
      </c>
      <c r="E875">
        <v>229</v>
      </c>
      <c r="F875">
        <v>14218483.119999999</v>
      </c>
      <c r="G875">
        <v>4430174.97</v>
      </c>
      <c r="H875">
        <v>9788308.1500000004</v>
      </c>
      <c r="I875">
        <v>2</v>
      </c>
      <c r="J875">
        <v>4.09</v>
      </c>
    </row>
    <row r="876" spans="1:10" x14ac:dyDescent="0.25">
      <c r="A876">
        <v>45295</v>
      </c>
      <c r="B876" t="s">
        <v>10</v>
      </c>
      <c r="C876" t="s">
        <v>15</v>
      </c>
      <c r="D876" t="s">
        <v>17</v>
      </c>
      <c r="E876">
        <v>479</v>
      </c>
      <c r="F876">
        <v>31327524.59</v>
      </c>
      <c r="G876">
        <v>11176091.09</v>
      </c>
      <c r="H876">
        <v>20151433.5</v>
      </c>
      <c r="I876">
        <v>1.44</v>
      </c>
      <c r="J876">
        <v>3.94</v>
      </c>
    </row>
    <row r="877" spans="1:10" x14ac:dyDescent="0.25">
      <c r="A877">
        <v>44782</v>
      </c>
      <c r="B877" t="s">
        <v>10</v>
      </c>
      <c r="C877" t="s">
        <v>11</v>
      </c>
      <c r="D877" t="s">
        <v>12</v>
      </c>
      <c r="E877">
        <v>360</v>
      </c>
      <c r="F877">
        <v>15647218.109999999</v>
      </c>
      <c r="G877">
        <v>5791819.4400000004</v>
      </c>
      <c r="H877">
        <v>9855398.6699999999</v>
      </c>
      <c r="I877">
        <v>1.71</v>
      </c>
      <c r="J877">
        <v>4.04</v>
      </c>
    </row>
    <row r="878" spans="1:10" x14ac:dyDescent="0.25">
      <c r="A878">
        <v>44781</v>
      </c>
      <c r="B878" t="s">
        <v>10</v>
      </c>
      <c r="C878" t="s">
        <v>11</v>
      </c>
      <c r="D878" t="s">
        <v>14</v>
      </c>
      <c r="E878">
        <v>455</v>
      </c>
      <c r="F878">
        <v>19067278.609999999</v>
      </c>
      <c r="G878">
        <v>6973685.71</v>
      </c>
      <c r="H878">
        <v>12093592.9</v>
      </c>
      <c r="I878">
        <v>4.22</v>
      </c>
      <c r="J878">
        <v>4.38</v>
      </c>
    </row>
    <row r="879" spans="1:10" x14ac:dyDescent="0.25">
      <c r="A879">
        <v>44405</v>
      </c>
      <c r="B879" t="s">
        <v>10</v>
      </c>
      <c r="C879" t="s">
        <v>11</v>
      </c>
      <c r="D879" t="s">
        <v>14</v>
      </c>
      <c r="E879">
        <v>324</v>
      </c>
      <c r="F879">
        <v>23763456.989999998</v>
      </c>
      <c r="G879">
        <v>8586044.3100000005</v>
      </c>
      <c r="H879">
        <v>15177412.689999999</v>
      </c>
      <c r="I879">
        <v>3.39</v>
      </c>
      <c r="J879">
        <v>3.89</v>
      </c>
    </row>
    <row r="880" spans="1:10" x14ac:dyDescent="0.25">
      <c r="A880">
        <v>44920</v>
      </c>
      <c r="B880" t="s">
        <v>10</v>
      </c>
      <c r="C880" t="s">
        <v>16</v>
      </c>
      <c r="D880" t="s">
        <v>17</v>
      </c>
      <c r="E880">
        <v>71</v>
      </c>
      <c r="F880">
        <v>3802199.28</v>
      </c>
      <c r="G880">
        <v>1283689.47</v>
      </c>
      <c r="H880">
        <v>2518509.81</v>
      </c>
      <c r="I880">
        <v>1.05</v>
      </c>
      <c r="J880">
        <v>3.67</v>
      </c>
    </row>
    <row r="881" spans="1:10" x14ac:dyDescent="0.25">
      <c r="A881">
        <v>45482</v>
      </c>
      <c r="B881" t="s">
        <v>10</v>
      </c>
      <c r="C881" t="s">
        <v>18</v>
      </c>
      <c r="D881" t="s">
        <v>14</v>
      </c>
      <c r="E881">
        <v>87</v>
      </c>
      <c r="F881">
        <v>4195943.6399999997</v>
      </c>
      <c r="G881">
        <v>1114120.51</v>
      </c>
      <c r="H881">
        <v>3081823.12</v>
      </c>
      <c r="I881">
        <v>4.22</v>
      </c>
      <c r="J881">
        <v>4.51</v>
      </c>
    </row>
    <row r="882" spans="1:10" x14ac:dyDescent="0.25">
      <c r="A882">
        <v>45369</v>
      </c>
      <c r="B882" t="s">
        <v>10</v>
      </c>
      <c r="C882" t="s">
        <v>15</v>
      </c>
      <c r="D882" t="s">
        <v>12</v>
      </c>
      <c r="E882">
        <v>437</v>
      </c>
      <c r="F882">
        <v>17832892.809999999</v>
      </c>
      <c r="G882">
        <v>6971610.2199999997</v>
      </c>
      <c r="H882">
        <v>10861282.59</v>
      </c>
      <c r="I882">
        <v>3.45</v>
      </c>
      <c r="J882">
        <v>4.3</v>
      </c>
    </row>
    <row r="883" spans="1:10" x14ac:dyDescent="0.25">
      <c r="A883">
        <v>44131</v>
      </c>
      <c r="B883" t="s">
        <v>10</v>
      </c>
      <c r="C883" t="s">
        <v>18</v>
      </c>
      <c r="D883" t="s">
        <v>14</v>
      </c>
      <c r="E883">
        <v>327</v>
      </c>
      <c r="F883">
        <v>23517805.789999999</v>
      </c>
      <c r="G883">
        <v>8134131.9800000004</v>
      </c>
      <c r="H883">
        <v>15383673.810000001</v>
      </c>
      <c r="I883">
        <v>0.87</v>
      </c>
      <c r="J883">
        <v>4.99</v>
      </c>
    </row>
    <row r="884" spans="1:10" x14ac:dyDescent="0.25">
      <c r="A884">
        <v>45396</v>
      </c>
      <c r="B884" t="s">
        <v>10</v>
      </c>
      <c r="C884" t="s">
        <v>15</v>
      </c>
      <c r="D884" t="s">
        <v>12</v>
      </c>
      <c r="E884">
        <v>155</v>
      </c>
      <c r="F884">
        <v>9726877.1799999997</v>
      </c>
      <c r="G884">
        <v>3662596.96</v>
      </c>
      <c r="H884">
        <v>6064280.2300000004</v>
      </c>
      <c r="I884">
        <v>1.26</v>
      </c>
      <c r="J884">
        <v>4.03</v>
      </c>
    </row>
    <row r="885" spans="1:10" x14ac:dyDescent="0.25">
      <c r="A885">
        <v>44943</v>
      </c>
      <c r="B885" t="s">
        <v>10</v>
      </c>
      <c r="C885" t="s">
        <v>13</v>
      </c>
      <c r="D885" t="s">
        <v>14</v>
      </c>
      <c r="E885">
        <v>212</v>
      </c>
      <c r="F885">
        <v>14157230.210000001</v>
      </c>
      <c r="G885">
        <v>3210572.29</v>
      </c>
      <c r="H885">
        <v>10946657.92</v>
      </c>
      <c r="I885">
        <v>1.8</v>
      </c>
      <c r="J885">
        <v>4.2</v>
      </c>
    </row>
    <row r="886" spans="1:10" x14ac:dyDescent="0.25">
      <c r="A886">
        <v>45099</v>
      </c>
      <c r="B886" t="s">
        <v>10</v>
      </c>
      <c r="C886" t="s">
        <v>11</v>
      </c>
      <c r="D886" t="s">
        <v>12</v>
      </c>
      <c r="E886">
        <v>371</v>
      </c>
      <c r="F886">
        <v>21848146.370000001</v>
      </c>
      <c r="G886">
        <v>6788472.8600000003</v>
      </c>
      <c r="H886">
        <v>15059673.51</v>
      </c>
      <c r="I886">
        <v>3.28</v>
      </c>
      <c r="J886">
        <v>4.5</v>
      </c>
    </row>
    <row r="887" spans="1:10" x14ac:dyDescent="0.25">
      <c r="A887">
        <v>44087</v>
      </c>
      <c r="B887" t="s">
        <v>10</v>
      </c>
      <c r="C887" t="s">
        <v>15</v>
      </c>
      <c r="D887" t="s">
        <v>12</v>
      </c>
      <c r="E887">
        <v>401</v>
      </c>
      <c r="F887">
        <v>32794421.219999999</v>
      </c>
      <c r="G887">
        <v>11795967.18</v>
      </c>
      <c r="H887">
        <v>20998454.030000001</v>
      </c>
      <c r="I887">
        <v>4.7</v>
      </c>
      <c r="J887">
        <v>4.53</v>
      </c>
    </row>
    <row r="888" spans="1:10" x14ac:dyDescent="0.25">
      <c r="A888">
        <v>45293</v>
      </c>
      <c r="B888" t="s">
        <v>10</v>
      </c>
      <c r="C888" t="s">
        <v>16</v>
      </c>
      <c r="D888" t="s">
        <v>14</v>
      </c>
      <c r="E888">
        <v>178</v>
      </c>
      <c r="F888">
        <v>7494617.8200000003</v>
      </c>
      <c r="G888">
        <v>2848634.51</v>
      </c>
      <c r="H888">
        <v>4645983.3099999996</v>
      </c>
      <c r="I888">
        <v>3.21</v>
      </c>
      <c r="J888">
        <v>4.29</v>
      </c>
    </row>
    <row r="889" spans="1:10" x14ac:dyDescent="0.25">
      <c r="A889">
        <v>45541</v>
      </c>
      <c r="B889" t="s">
        <v>10</v>
      </c>
      <c r="C889" t="s">
        <v>11</v>
      </c>
      <c r="D889" t="s">
        <v>12</v>
      </c>
      <c r="E889">
        <v>445</v>
      </c>
      <c r="F889">
        <v>16557398.58</v>
      </c>
      <c r="G889">
        <v>3676029.34</v>
      </c>
      <c r="H889">
        <v>12881369.24</v>
      </c>
      <c r="I889">
        <v>4.96</v>
      </c>
      <c r="J889">
        <v>3.94</v>
      </c>
    </row>
    <row r="890" spans="1:10" x14ac:dyDescent="0.25">
      <c r="A890">
        <v>44343</v>
      </c>
      <c r="B890" t="s">
        <v>10</v>
      </c>
      <c r="C890" t="s">
        <v>16</v>
      </c>
      <c r="D890" t="s">
        <v>14</v>
      </c>
      <c r="E890">
        <v>230</v>
      </c>
      <c r="F890">
        <v>17731846.550000001</v>
      </c>
      <c r="G890">
        <v>6195413.7699999996</v>
      </c>
      <c r="H890">
        <v>11536432.779999999</v>
      </c>
      <c r="I890">
        <v>4.4000000000000004</v>
      </c>
      <c r="J890">
        <v>3.65</v>
      </c>
    </row>
    <row r="891" spans="1:10" x14ac:dyDescent="0.25">
      <c r="A891">
        <v>43986</v>
      </c>
      <c r="B891" t="s">
        <v>10</v>
      </c>
      <c r="C891" t="s">
        <v>15</v>
      </c>
      <c r="D891" t="s">
        <v>12</v>
      </c>
      <c r="E891">
        <v>459</v>
      </c>
      <c r="F891">
        <v>23331301.140000001</v>
      </c>
      <c r="G891">
        <v>8897291.6099999994</v>
      </c>
      <c r="H891">
        <v>14434009.529999999</v>
      </c>
      <c r="I891">
        <v>4.84</v>
      </c>
      <c r="J891">
        <v>3.7</v>
      </c>
    </row>
    <row r="892" spans="1:10" x14ac:dyDescent="0.25">
      <c r="A892">
        <v>45053</v>
      </c>
      <c r="B892" t="s">
        <v>10</v>
      </c>
      <c r="C892" t="s">
        <v>13</v>
      </c>
      <c r="D892" t="s">
        <v>12</v>
      </c>
      <c r="E892">
        <v>244</v>
      </c>
      <c r="F892">
        <v>17618411.920000002</v>
      </c>
      <c r="G892">
        <v>4953445.3099999996</v>
      </c>
      <c r="H892">
        <v>12664966.609999999</v>
      </c>
      <c r="I892">
        <v>3.21</v>
      </c>
      <c r="J892">
        <v>4.5199999999999996</v>
      </c>
    </row>
    <row r="893" spans="1:10" x14ac:dyDescent="0.25">
      <c r="A893">
        <v>44844</v>
      </c>
      <c r="B893" t="s">
        <v>10</v>
      </c>
      <c r="C893" t="s">
        <v>11</v>
      </c>
      <c r="D893" t="s">
        <v>14</v>
      </c>
      <c r="E893">
        <v>365</v>
      </c>
      <c r="F893">
        <v>12802026.390000001</v>
      </c>
      <c r="G893">
        <v>4152719.35</v>
      </c>
      <c r="H893">
        <v>8649307.0399999991</v>
      </c>
      <c r="I893">
        <v>1.1499999999999999</v>
      </c>
      <c r="J893">
        <v>3.53</v>
      </c>
    </row>
    <row r="894" spans="1:10" x14ac:dyDescent="0.25">
      <c r="A894">
        <v>44075</v>
      </c>
      <c r="B894" t="s">
        <v>10</v>
      </c>
      <c r="C894" t="s">
        <v>13</v>
      </c>
      <c r="D894" t="s">
        <v>12</v>
      </c>
      <c r="E894">
        <v>315</v>
      </c>
      <c r="F894">
        <v>23020038.350000001</v>
      </c>
      <c r="G894">
        <v>8133749.2400000002</v>
      </c>
      <c r="H894">
        <v>14886289.119999999</v>
      </c>
      <c r="I894">
        <v>3.31</v>
      </c>
      <c r="J894">
        <v>4.62</v>
      </c>
    </row>
    <row r="895" spans="1:10" x14ac:dyDescent="0.25">
      <c r="A895">
        <v>45616</v>
      </c>
      <c r="B895" t="s">
        <v>10</v>
      </c>
      <c r="C895" t="s">
        <v>18</v>
      </c>
      <c r="D895" t="s">
        <v>12</v>
      </c>
      <c r="E895">
        <v>91</v>
      </c>
      <c r="F895">
        <v>4441655.92</v>
      </c>
      <c r="G895">
        <v>1198869.3400000001</v>
      </c>
      <c r="H895">
        <v>3242786.58</v>
      </c>
      <c r="I895">
        <v>1.46</v>
      </c>
      <c r="J895">
        <v>3.68</v>
      </c>
    </row>
    <row r="896" spans="1:10" x14ac:dyDescent="0.25">
      <c r="A896">
        <v>44638</v>
      </c>
      <c r="B896" t="s">
        <v>10</v>
      </c>
      <c r="C896" t="s">
        <v>11</v>
      </c>
      <c r="D896" t="s">
        <v>17</v>
      </c>
      <c r="E896">
        <v>291</v>
      </c>
      <c r="F896">
        <v>10905174.119999999</v>
      </c>
      <c r="G896">
        <v>2760860.19</v>
      </c>
      <c r="H896">
        <v>8144313.9400000004</v>
      </c>
      <c r="I896">
        <v>2.04</v>
      </c>
      <c r="J896">
        <v>4.22</v>
      </c>
    </row>
    <row r="897" spans="1:10" x14ac:dyDescent="0.25">
      <c r="A897">
        <v>45274</v>
      </c>
      <c r="B897" t="s">
        <v>10</v>
      </c>
      <c r="C897" t="s">
        <v>16</v>
      </c>
      <c r="D897" t="s">
        <v>12</v>
      </c>
      <c r="E897">
        <v>371</v>
      </c>
      <c r="F897">
        <v>21379098.129999999</v>
      </c>
      <c r="G897">
        <v>8011233.71</v>
      </c>
      <c r="H897">
        <v>13367864.42</v>
      </c>
      <c r="I897">
        <v>0.63</v>
      </c>
      <c r="J897">
        <v>4.43</v>
      </c>
    </row>
    <row r="898" spans="1:10" x14ac:dyDescent="0.25">
      <c r="A898">
        <v>44100</v>
      </c>
      <c r="B898" t="s">
        <v>10</v>
      </c>
      <c r="C898" t="s">
        <v>18</v>
      </c>
      <c r="D898" t="s">
        <v>17</v>
      </c>
      <c r="E898">
        <v>275</v>
      </c>
      <c r="F898">
        <v>22360486.879999999</v>
      </c>
      <c r="G898">
        <v>6785453.0999999996</v>
      </c>
      <c r="H898">
        <v>15575033.779999999</v>
      </c>
      <c r="I898">
        <v>4</v>
      </c>
      <c r="J898">
        <v>4.51</v>
      </c>
    </row>
    <row r="899" spans="1:10" x14ac:dyDescent="0.25">
      <c r="A899">
        <v>45101</v>
      </c>
      <c r="B899" t="s">
        <v>10</v>
      </c>
      <c r="C899" t="s">
        <v>15</v>
      </c>
      <c r="D899" t="s">
        <v>17</v>
      </c>
      <c r="E899">
        <v>213</v>
      </c>
      <c r="F899">
        <v>9500991.7799999993</v>
      </c>
      <c r="G899">
        <v>3238067.16</v>
      </c>
      <c r="H899">
        <v>6262924.6299999999</v>
      </c>
      <c r="I899">
        <v>3.49</v>
      </c>
      <c r="J899">
        <v>4.95</v>
      </c>
    </row>
    <row r="900" spans="1:10" x14ac:dyDescent="0.25">
      <c r="A900">
        <v>45218</v>
      </c>
      <c r="B900" t="s">
        <v>10</v>
      </c>
      <c r="C900" t="s">
        <v>13</v>
      </c>
      <c r="D900" t="s">
        <v>14</v>
      </c>
      <c r="E900">
        <v>334</v>
      </c>
      <c r="F900">
        <v>26495832.41</v>
      </c>
      <c r="G900">
        <v>7461137.1500000004</v>
      </c>
      <c r="H900">
        <v>19034695.260000002</v>
      </c>
      <c r="I900">
        <v>1.25</v>
      </c>
      <c r="J900">
        <v>3.54</v>
      </c>
    </row>
    <row r="901" spans="1:10" x14ac:dyDescent="0.25">
      <c r="A901">
        <v>45350</v>
      </c>
      <c r="B901" t="s">
        <v>10</v>
      </c>
      <c r="C901" t="s">
        <v>16</v>
      </c>
      <c r="D901" t="s">
        <v>14</v>
      </c>
      <c r="E901">
        <v>454</v>
      </c>
      <c r="F901">
        <v>17622770.329999998</v>
      </c>
      <c r="G901">
        <v>6732332.3099999996</v>
      </c>
      <c r="H901">
        <v>10890438.02</v>
      </c>
      <c r="I901">
        <v>3.2</v>
      </c>
      <c r="J901">
        <v>4.01</v>
      </c>
    </row>
    <row r="902" spans="1:10" x14ac:dyDescent="0.25">
      <c r="A902">
        <v>44249</v>
      </c>
      <c r="B902" t="s">
        <v>10</v>
      </c>
      <c r="C902" t="s">
        <v>15</v>
      </c>
      <c r="D902" t="s">
        <v>14</v>
      </c>
      <c r="E902">
        <v>177</v>
      </c>
      <c r="F902">
        <v>14596393.060000001</v>
      </c>
      <c r="G902">
        <v>5398658.4699999997</v>
      </c>
      <c r="H902">
        <v>9197734.5999999996</v>
      </c>
      <c r="I902">
        <v>4.33</v>
      </c>
      <c r="J902">
        <v>4.99</v>
      </c>
    </row>
    <row r="903" spans="1:10" x14ac:dyDescent="0.25">
      <c r="A903">
        <v>43943</v>
      </c>
      <c r="B903" t="s">
        <v>10</v>
      </c>
      <c r="C903" t="s">
        <v>18</v>
      </c>
      <c r="D903" t="s">
        <v>14</v>
      </c>
      <c r="E903">
        <v>71</v>
      </c>
      <c r="F903">
        <v>4536961.55</v>
      </c>
      <c r="G903">
        <v>1181576.52</v>
      </c>
      <c r="H903">
        <v>3355385.03</v>
      </c>
      <c r="I903">
        <v>4.55</v>
      </c>
      <c r="J903">
        <v>4.6900000000000004</v>
      </c>
    </row>
    <row r="904" spans="1:10" x14ac:dyDescent="0.25">
      <c r="A904">
        <v>45281</v>
      </c>
      <c r="B904" t="s">
        <v>10</v>
      </c>
      <c r="C904" t="s">
        <v>15</v>
      </c>
      <c r="D904" t="s">
        <v>17</v>
      </c>
      <c r="E904">
        <v>466</v>
      </c>
      <c r="F904">
        <v>37775915.280000001</v>
      </c>
      <c r="G904">
        <v>10467813.58</v>
      </c>
      <c r="H904">
        <v>27308101.699999999</v>
      </c>
      <c r="I904">
        <v>3.12</v>
      </c>
      <c r="J904">
        <v>3.88</v>
      </c>
    </row>
    <row r="905" spans="1:10" x14ac:dyDescent="0.25">
      <c r="A905">
        <v>45005</v>
      </c>
      <c r="B905" t="s">
        <v>10</v>
      </c>
      <c r="C905" t="s">
        <v>18</v>
      </c>
      <c r="D905" t="s">
        <v>17</v>
      </c>
      <c r="E905">
        <v>414</v>
      </c>
      <c r="F905">
        <v>20682405.32</v>
      </c>
      <c r="G905">
        <v>7371658.5599999996</v>
      </c>
      <c r="H905">
        <v>13310746.76</v>
      </c>
      <c r="I905">
        <v>3.48</v>
      </c>
      <c r="J905">
        <v>4.45</v>
      </c>
    </row>
    <row r="906" spans="1:10" x14ac:dyDescent="0.25">
      <c r="A906">
        <v>45374</v>
      </c>
      <c r="B906" t="s">
        <v>10</v>
      </c>
      <c r="C906" t="s">
        <v>15</v>
      </c>
      <c r="D906" t="s">
        <v>12</v>
      </c>
      <c r="E906">
        <v>280</v>
      </c>
      <c r="F906">
        <v>10050149.029999999</v>
      </c>
      <c r="G906">
        <v>2555194</v>
      </c>
      <c r="H906">
        <v>7494955.0300000003</v>
      </c>
      <c r="I906">
        <v>1.96</v>
      </c>
      <c r="J906">
        <v>4.5</v>
      </c>
    </row>
    <row r="907" spans="1:10" x14ac:dyDescent="0.25">
      <c r="A907">
        <v>44656</v>
      </c>
      <c r="B907" t="s">
        <v>10</v>
      </c>
      <c r="C907" t="s">
        <v>13</v>
      </c>
      <c r="D907" t="s">
        <v>12</v>
      </c>
      <c r="E907">
        <v>191</v>
      </c>
      <c r="F907">
        <v>8023016.3200000003</v>
      </c>
      <c r="G907">
        <v>3006591.45</v>
      </c>
      <c r="H907">
        <v>5016424.87</v>
      </c>
      <c r="I907">
        <v>4.16</v>
      </c>
      <c r="J907">
        <v>4.8899999999999997</v>
      </c>
    </row>
    <row r="908" spans="1:10" x14ac:dyDescent="0.25">
      <c r="A908">
        <v>45353</v>
      </c>
      <c r="B908" t="s">
        <v>10</v>
      </c>
      <c r="C908" t="s">
        <v>18</v>
      </c>
      <c r="D908" t="s">
        <v>12</v>
      </c>
      <c r="E908">
        <v>359</v>
      </c>
      <c r="F908">
        <v>30698759.469999999</v>
      </c>
      <c r="G908">
        <v>8289966.4000000004</v>
      </c>
      <c r="H908">
        <v>22408793.07</v>
      </c>
      <c r="I908">
        <v>0.97</v>
      </c>
      <c r="J908">
        <v>4.0999999999999996</v>
      </c>
    </row>
    <row r="909" spans="1:10" x14ac:dyDescent="0.25">
      <c r="A909">
        <v>45653</v>
      </c>
      <c r="B909" t="s">
        <v>10</v>
      </c>
      <c r="C909" t="s">
        <v>16</v>
      </c>
      <c r="D909" t="s">
        <v>14</v>
      </c>
      <c r="E909">
        <v>153</v>
      </c>
      <c r="F909">
        <v>7780637.0199999996</v>
      </c>
      <c r="G909">
        <v>2647310.6</v>
      </c>
      <c r="H909">
        <v>5133326.43</v>
      </c>
      <c r="I909">
        <v>4.51</v>
      </c>
      <c r="J909">
        <v>3.52</v>
      </c>
    </row>
    <row r="910" spans="1:10" x14ac:dyDescent="0.25">
      <c r="A910">
        <v>44185</v>
      </c>
      <c r="B910" t="s">
        <v>10</v>
      </c>
      <c r="C910" t="s">
        <v>11</v>
      </c>
      <c r="D910" t="s">
        <v>14</v>
      </c>
      <c r="E910">
        <v>404</v>
      </c>
      <c r="F910">
        <v>22063567.030000001</v>
      </c>
      <c r="G910">
        <v>7702473.6299999999</v>
      </c>
      <c r="H910">
        <v>14361093.4</v>
      </c>
      <c r="I910">
        <v>0.56000000000000005</v>
      </c>
      <c r="J910">
        <v>4.3099999999999996</v>
      </c>
    </row>
    <row r="911" spans="1:10" x14ac:dyDescent="0.25">
      <c r="A911">
        <v>43926</v>
      </c>
      <c r="B911" t="s">
        <v>10</v>
      </c>
      <c r="C911" t="s">
        <v>11</v>
      </c>
      <c r="D911" t="s">
        <v>12</v>
      </c>
      <c r="E911">
        <v>473</v>
      </c>
      <c r="F911">
        <v>39822930.170000002</v>
      </c>
      <c r="G911">
        <v>9369487.8699999992</v>
      </c>
      <c r="H911">
        <v>30453442.300000001</v>
      </c>
      <c r="I911">
        <v>4.54</v>
      </c>
      <c r="J911">
        <v>4.33</v>
      </c>
    </row>
    <row r="912" spans="1:10" x14ac:dyDescent="0.25">
      <c r="A912">
        <v>44462</v>
      </c>
      <c r="B912" t="s">
        <v>10</v>
      </c>
      <c r="C912" t="s">
        <v>13</v>
      </c>
      <c r="D912" t="s">
        <v>17</v>
      </c>
      <c r="E912">
        <v>458</v>
      </c>
      <c r="F912">
        <v>25704034.059999999</v>
      </c>
      <c r="G912">
        <v>6856459.2599999998</v>
      </c>
      <c r="H912">
        <v>18847574.800000001</v>
      </c>
      <c r="I912">
        <v>4.95</v>
      </c>
      <c r="J912">
        <v>3.84</v>
      </c>
    </row>
    <row r="913" spans="1:10" x14ac:dyDescent="0.25">
      <c r="A913">
        <v>44828</v>
      </c>
      <c r="B913" t="s">
        <v>10</v>
      </c>
      <c r="C913" t="s">
        <v>18</v>
      </c>
      <c r="D913" t="s">
        <v>14</v>
      </c>
      <c r="E913">
        <v>121</v>
      </c>
      <c r="F913">
        <v>4866993.91</v>
      </c>
      <c r="G913">
        <v>1640256.33</v>
      </c>
      <c r="H913">
        <v>3226737.57</v>
      </c>
      <c r="I913">
        <v>0.93</v>
      </c>
      <c r="J913">
        <v>3.77</v>
      </c>
    </row>
    <row r="914" spans="1:10" x14ac:dyDescent="0.25">
      <c r="A914">
        <v>45565</v>
      </c>
      <c r="B914" t="s">
        <v>10</v>
      </c>
      <c r="C914" t="s">
        <v>13</v>
      </c>
      <c r="D914" t="s">
        <v>14</v>
      </c>
      <c r="E914">
        <v>103</v>
      </c>
      <c r="F914">
        <v>6120846.6500000004</v>
      </c>
      <c r="G914">
        <v>1797237.56</v>
      </c>
      <c r="H914">
        <v>4323609.09</v>
      </c>
      <c r="I914">
        <v>4.43</v>
      </c>
      <c r="J914">
        <v>4.99</v>
      </c>
    </row>
    <row r="915" spans="1:10" x14ac:dyDescent="0.25">
      <c r="A915">
        <v>45453</v>
      </c>
      <c r="B915" t="s">
        <v>10</v>
      </c>
      <c r="C915" t="s">
        <v>15</v>
      </c>
      <c r="D915" t="s">
        <v>17</v>
      </c>
      <c r="E915">
        <v>95</v>
      </c>
      <c r="F915">
        <v>5748429.4500000002</v>
      </c>
      <c r="G915">
        <v>1931440.89</v>
      </c>
      <c r="H915">
        <v>3816988.56</v>
      </c>
      <c r="I915">
        <v>2.64</v>
      </c>
      <c r="J915">
        <v>3.98</v>
      </c>
    </row>
    <row r="916" spans="1:10" x14ac:dyDescent="0.25">
      <c r="A916">
        <v>45257</v>
      </c>
      <c r="B916" t="s">
        <v>10</v>
      </c>
      <c r="C916" t="s">
        <v>16</v>
      </c>
      <c r="D916" t="s">
        <v>14</v>
      </c>
      <c r="E916">
        <v>243</v>
      </c>
      <c r="F916">
        <v>17493059.57</v>
      </c>
      <c r="G916">
        <v>4610499.8600000003</v>
      </c>
      <c r="H916">
        <v>12882559.710000001</v>
      </c>
      <c r="I916">
        <v>1.92</v>
      </c>
      <c r="J916">
        <v>3.7</v>
      </c>
    </row>
    <row r="917" spans="1:10" x14ac:dyDescent="0.25">
      <c r="A917">
        <v>44028</v>
      </c>
      <c r="B917" t="s">
        <v>10</v>
      </c>
      <c r="C917" t="s">
        <v>16</v>
      </c>
      <c r="D917" t="s">
        <v>14</v>
      </c>
      <c r="E917">
        <v>180</v>
      </c>
      <c r="F917">
        <v>13611208.199999999</v>
      </c>
      <c r="G917">
        <v>3629790.49</v>
      </c>
      <c r="H917">
        <v>9981417.6999999993</v>
      </c>
      <c r="I917">
        <v>1.04</v>
      </c>
      <c r="J917">
        <v>4.3600000000000003</v>
      </c>
    </row>
    <row r="918" spans="1:10" x14ac:dyDescent="0.25">
      <c r="A918">
        <v>45395</v>
      </c>
      <c r="B918" t="s">
        <v>10</v>
      </c>
      <c r="C918" t="s">
        <v>11</v>
      </c>
      <c r="D918" t="s">
        <v>17</v>
      </c>
      <c r="E918">
        <v>325</v>
      </c>
      <c r="F918">
        <v>24843313.98</v>
      </c>
      <c r="G918">
        <v>5600381.46</v>
      </c>
      <c r="H918">
        <v>19242932.52</v>
      </c>
      <c r="I918">
        <v>2.75</v>
      </c>
      <c r="J918">
        <v>4.5999999999999996</v>
      </c>
    </row>
    <row r="919" spans="1:10" x14ac:dyDescent="0.25">
      <c r="A919">
        <v>45285</v>
      </c>
      <c r="B919" t="s">
        <v>10</v>
      </c>
      <c r="C919" t="s">
        <v>16</v>
      </c>
      <c r="D919" t="s">
        <v>17</v>
      </c>
      <c r="E919">
        <v>222</v>
      </c>
      <c r="F919">
        <v>17298047.399999999</v>
      </c>
      <c r="G919">
        <v>4588474.0599999996</v>
      </c>
      <c r="H919">
        <v>12709573.35</v>
      </c>
      <c r="I919">
        <v>3.95</v>
      </c>
      <c r="J919">
        <v>3.96</v>
      </c>
    </row>
    <row r="920" spans="1:10" x14ac:dyDescent="0.25">
      <c r="A920">
        <v>43990</v>
      </c>
      <c r="B920" t="s">
        <v>10</v>
      </c>
      <c r="C920" t="s">
        <v>11</v>
      </c>
      <c r="D920" t="s">
        <v>17</v>
      </c>
      <c r="E920">
        <v>160</v>
      </c>
      <c r="F920">
        <v>11030532.310000001</v>
      </c>
      <c r="G920">
        <v>2537112.15</v>
      </c>
      <c r="H920">
        <v>8493420.1600000001</v>
      </c>
      <c r="I920">
        <v>1.38</v>
      </c>
      <c r="J920">
        <v>3.69</v>
      </c>
    </row>
    <row r="921" spans="1:10" x14ac:dyDescent="0.25">
      <c r="A921">
        <v>45551</v>
      </c>
      <c r="B921" t="s">
        <v>10</v>
      </c>
      <c r="C921" t="s">
        <v>18</v>
      </c>
      <c r="D921" t="s">
        <v>12</v>
      </c>
      <c r="E921">
        <v>347</v>
      </c>
      <c r="F921">
        <v>22137210.920000002</v>
      </c>
      <c r="G921">
        <v>7605183.5999999996</v>
      </c>
      <c r="H921">
        <v>14532027.32</v>
      </c>
      <c r="I921">
        <v>1.84</v>
      </c>
      <c r="J921">
        <v>3.92</v>
      </c>
    </row>
    <row r="922" spans="1:10" x14ac:dyDescent="0.25">
      <c r="A922">
        <v>44796</v>
      </c>
      <c r="B922" t="s">
        <v>10</v>
      </c>
      <c r="C922" t="s">
        <v>15</v>
      </c>
      <c r="D922" t="s">
        <v>12</v>
      </c>
      <c r="E922">
        <v>186</v>
      </c>
      <c r="F922">
        <v>7390108.9699999997</v>
      </c>
      <c r="G922">
        <v>2871756.56</v>
      </c>
      <c r="H922">
        <v>4518352.4000000004</v>
      </c>
      <c r="I922">
        <v>0.97</v>
      </c>
      <c r="J922">
        <v>4.38</v>
      </c>
    </row>
    <row r="923" spans="1:10" x14ac:dyDescent="0.25">
      <c r="A923">
        <v>45462</v>
      </c>
      <c r="B923" t="s">
        <v>10</v>
      </c>
      <c r="C923" t="s">
        <v>16</v>
      </c>
      <c r="D923" t="s">
        <v>17</v>
      </c>
      <c r="E923">
        <v>488</v>
      </c>
      <c r="F923">
        <v>23353602.859999999</v>
      </c>
      <c r="G923">
        <v>6362576.3399999999</v>
      </c>
      <c r="H923">
        <v>16991026.52</v>
      </c>
      <c r="I923">
        <v>4.1900000000000004</v>
      </c>
      <c r="J923">
        <v>3.56</v>
      </c>
    </row>
    <row r="924" spans="1:10" x14ac:dyDescent="0.25">
      <c r="A924">
        <v>44217</v>
      </c>
      <c r="B924" t="s">
        <v>10</v>
      </c>
      <c r="C924" t="s">
        <v>16</v>
      </c>
      <c r="D924" t="s">
        <v>12</v>
      </c>
      <c r="E924">
        <v>476</v>
      </c>
      <c r="F924">
        <v>23775370.989999998</v>
      </c>
      <c r="G924">
        <v>7612080.6699999999</v>
      </c>
      <c r="H924">
        <v>16163290.32</v>
      </c>
      <c r="I924">
        <v>3.19</v>
      </c>
      <c r="J924">
        <v>4.4800000000000004</v>
      </c>
    </row>
    <row r="925" spans="1:10" x14ac:dyDescent="0.25">
      <c r="A925">
        <v>45019</v>
      </c>
      <c r="B925" t="s">
        <v>10</v>
      </c>
      <c r="C925" t="s">
        <v>11</v>
      </c>
      <c r="D925" t="s">
        <v>12</v>
      </c>
      <c r="E925">
        <v>269</v>
      </c>
      <c r="F925">
        <v>22699952.670000002</v>
      </c>
      <c r="G925">
        <v>5402931.8700000001</v>
      </c>
      <c r="H925">
        <v>17297020.800000001</v>
      </c>
      <c r="I925">
        <v>3.12</v>
      </c>
      <c r="J925">
        <v>4.5999999999999996</v>
      </c>
    </row>
    <row r="926" spans="1:10" x14ac:dyDescent="0.25">
      <c r="A926">
        <v>45587</v>
      </c>
      <c r="B926" t="s">
        <v>10</v>
      </c>
      <c r="C926" t="s">
        <v>11</v>
      </c>
      <c r="D926" t="s">
        <v>17</v>
      </c>
      <c r="E926">
        <v>425</v>
      </c>
      <c r="F926">
        <v>16619673.33</v>
      </c>
      <c r="G926">
        <v>3630616.06</v>
      </c>
      <c r="H926">
        <v>12989057.27</v>
      </c>
      <c r="I926">
        <v>4.9800000000000004</v>
      </c>
      <c r="J926">
        <v>4.55</v>
      </c>
    </row>
    <row r="927" spans="1:10" x14ac:dyDescent="0.25">
      <c r="A927">
        <v>44564</v>
      </c>
      <c r="B927" t="s">
        <v>10</v>
      </c>
      <c r="C927" t="s">
        <v>13</v>
      </c>
      <c r="D927" t="s">
        <v>12</v>
      </c>
      <c r="E927">
        <v>407</v>
      </c>
      <c r="F927">
        <v>26701460.91</v>
      </c>
      <c r="G927">
        <v>8765440.3300000001</v>
      </c>
      <c r="H927">
        <v>17936020.57</v>
      </c>
      <c r="I927">
        <v>4.5999999999999996</v>
      </c>
      <c r="J927">
        <v>3.53</v>
      </c>
    </row>
    <row r="928" spans="1:10" x14ac:dyDescent="0.25">
      <c r="A928">
        <v>44711</v>
      </c>
      <c r="B928" t="s">
        <v>10</v>
      </c>
      <c r="C928" t="s">
        <v>15</v>
      </c>
      <c r="D928" t="s">
        <v>17</v>
      </c>
      <c r="E928">
        <v>137</v>
      </c>
      <c r="F928">
        <v>11758151.640000001</v>
      </c>
      <c r="G928">
        <v>2409997.85</v>
      </c>
      <c r="H928">
        <v>9348153.7899999991</v>
      </c>
      <c r="I928">
        <v>4.25</v>
      </c>
      <c r="J928">
        <v>3.95</v>
      </c>
    </row>
    <row r="929" spans="1:10" x14ac:dyDescent="0.25">
      <c r="A929">
        <v>45655</v>
      </c>
      <c r="B929" t="s">
        <v>10</v>
      </c>
      <c r="C929" t="s">
        <v>15</v>
      </c>
      <c r="D929" t="s">
        <v>17</v>
      </c>
      <c r="E929">
        <v>165</v>
      </c>
      <c r="F929">
        <v>11906640.84</v>
      </c>
      <c r="G929">
        <v>3819799.87</v>
      </c>
      <c r="H929">
        <v>8086840.9699999997</v>
      </c>
      <c r="I929">
        <v>3.9</v>
      </c>
      <c r="J929">
        <v>4.18</v>
      </c>
    </row>
    <row r="930" spans="1:10" x14ac:dyDescent="0.25">
      <c r="A930">
        <v>45003</v>
      </c>
      <c r="B930" t="s">
        <v>10</v>
      </c>
      <c r="C930" t="s">
        <v>13</v>
      </c>
      <c r="D930" t="s">
        <v>17</v>
      </c>
      <c r="E930">
        <v>60</v>
      </c>
      <c r="F930">
        <v>3321080.93</v>
      </c>
      <c r="G930">
        <v>962800.11</v>
      </c>
      <c r="H930">
        <v>2358280.8199999998</v>
      </c>
      <c r="I930">
        <v>4.0599999999999996</v>
      </c>
      <c r="J930">
        <v>3.98</v>
      </c>
    </row>
    <row r="931" spans="1:10" x14ac:dyDescent="0.25">
      <c r="A931">
        <v>44025</v>
      </c>
      <c r="B931" t="s">
        <v>10</v>
      </c>
      <c r="C931" t="s">
        <v>15</v>
      </c>
      <c r="D931" t="s">
        <v>14</v>
      </c>
      <c r="E931">
        <v>284</v>
      </c>
      <c r="F931">
        <v>25080806.710000001</v>
      </c>
      <c r="G931">
        <v>8137020.2300000004</v>
      </c>
      <c r="H931">
        <v>16943786.48</v>
      </c>
      <c r="I931">
        <v>0.78</v>
      </c>
      <c r="J931">
        <v>4.01</v>
      </c>
    </row>
    <row r="932" spans="1:10" x14ac:dyDescent="0.25">
      <c r="A932">
        <v>43859</v>
      </c>
      <c r="B932" t="s">
        <v>10</v>
      </c>
      <c r="C932" t="s">
        <v>16</v>
      </c>
      <c r="D932" t="s">
        <v>14</v>
      </c>
      <c r="E932">
        <v>213</v>
      </c>
      <c r="F932">
        <v>9400305.2899999991</v>
      </c>
      <c r="G932">
        <v>3645241.61</v>
      </c>
      <c r="H932">
        <v>5755063.6799999997</v>
      </c>
      <c r="I932">
        <v>2.75</v>
      </c>
      <c r="J932">
        <v>3.66</v>
      </c>
    </row>
    <row r="933" spans="1:10" x14ac:dyDescent="0.25">
      <c r="A933">
        <v>44151</v>
      </c>
      <c r="B933" t="s">
        <v>10</v>
      </c>
      <c r="C933" t="s">
        <v>18</v>
      </c>
      <c r="D933" t="s">
        <v>17</v>
      </c>
      <c r="E933">
        <v>287</v>
      </c>
      <c r="F933">
        <v>15644390.27</v>
      </c>
      <c r="G933">
        <v>5004001.63</v>
      </c>
      <c r="H933">
        <v>10640388.630000001</v>
      </c>
      <c r="I933">
        <v>1.02</v>
      </c>
      <c r="J933">
        <v>4.82</v>
      </c>
    </row>
    <row r="934" spans="1:10" x14ac:dyDescent="0.25">
      <c r="A934">
        <v>44981</v>
      </c>
      <c r="B934" t="s">
        <v>10</v>
      </c>
      <c r="C934" t="s">
        <v>15</v>
      </c>
      <c r="D934" t="s">
        <v>14</v>
      </c>
      <c r="E934">
        <v>484</v>
      </c>
      <c r="F934">
        <v>16944965.379999999</v>
      </c>
      <c r="G934">
        <v>4697214.03</v>
      </c>
      <c r="H934">
        <v>12247751.35</v>
      </c>
      <c r="I934">
        <v>3.27</v>
      </c>
      <c r="J934">
        <v>4.1900000000000004</v>
      </c>
    </row>
    <row r="935" spans="1:10" x14ac:dyDescent="0.25">
      <c r="A935">
        <v>44077</v>
      </c>
      <c r="B935" t="s">
        <v>10</v>
      </c>
      <c r="C935" t="s">
        <v>18</v>
      </c>
      <c r="D935" t="s">
        <v>14</v>
      </c>
      <c r="E935">
        <v>471</v>
      </c>
      <c r="F935">
        <v>28281700.120000001</v>
      </c>
      <c r="G935">
        <v>8965522.7300000004</v>
      </c>
      <c r="H935">
        <v>19316177.399999999</v>
      </c>
      <c r="I935">
        <v>3.79</v>
      </c>
      <c r="J935">
        <v>3.7</v>
      </c>
    </row>
    <row r="936" spans="1:10" x14ac:dyDescent="0.25">
      <c r="A936">
        <v>45267</v>
      </c>
      <c r="B936" t="s">
        <v>10</v>
      </c>
      <c r="C936" t="s">
        <v>15</v>
      </c>
      <c r="D936" t="s">
        <v>14</v>
      </c>
      <c r="E936">
        <v>218</v>
      </c>
      <c r="F936">
        <v>9794413.5600000005</v>
      </c>
      <c r="G936">
        <v>3403616.33</v>
      </c>
      <c r="H936">
        <v>6390797.2300000004</v>
      </c>
      <c r="I936">
        <v>2.86</v>
      </c>
      <c r="J936">
        <v>3.67</v>
      </c>
    </row>
    <row r="937" spans="1:10" x14ac:dyDescent="0.25">
      <c r="A937">
        <v>44982</v>
      </c>
      <c r="B937" t="s">
        <v>10</v>
      </c>
      <c r="C937" t="s">
        <v>13</v>
      </c>
      <c r="D937" t="s">
        <v>14</v>
      </c>
      <c r="E937">
        <v>357</v>
      </c>
      <c r="F937">
        <v>18333693.670000002</v>
      </c>
      <c r="G937">
        <v>6737493.1299999999</v>
      </c>
      <c r="H937">
        <v>11596200.529999999</v>
      </c>
      <c r="I937">
        <v>3.54</v>
      </c>
      <c r="J937">
        <v>3.56</v>
      </c>
    </row>
    <row r="938" spans="1:10" x14ac:dyDescent="0.25">
      <c r="A938">
        <v>45261</v>
      </c>
      <c r="B938" t="s">
        <v>10</v>
      </c>
      <c r="C938" t="s">
        <v>16</v>
      </c>
      <c r="D938" t="s">
        <v>12</v>
      </c>
      <c r="E938">
        <v>181</v>
      </c>
      <c r="F938">
        <v>8413911.9600000009</v>
      </c>
      <c r="G938">
        <v>3267012.12</v>
      </c>
      <c r="H938">
        <v>5146899.84</v>
      </c>
      <c r="I938">
        <v>2.99</v>
      </c>
      <c r="J938">
        <v>4.3899999999999997</v>
      </c>
    </row>
    <row r="939" spans="1:10" x14ac:dyDescent="0.25">
      <c r="A939">
        <v>44329</v>
      </c>
      <c r="B939" t="s">
        <v>10</v>
      </c>
      <c r="C939" t="s">
        <v>16</v>
      </c>
      <c r="D939" t="s">
        <v>17</v>
      </c>
      <c r="E939">
        <v>238</v>
      </c>
      <c r="F939">
        <v>15882689.310000001</v>
      </c>
      <c r="G939">
        <v>5255642.71</v>
      </c>
      <c r="H939">
        <v>10627046.6</v>
      </c>
      <c r="I939">
        <v>4.1100000000000003</v>
      </c>
      <c r="J939">
        <v>4.3099999999999996</v>
      </c>
    </row>
    <row r="940" spans="1:10" x14ac:dyDescent="0.25">
      <c r="A940">
        <v>44554</v>
      </c>
      <c r="B940" t="s">
        <v>10</v>
      </c>
      <c r="C940" t="s">
        <v>15</v>
      </c>
      <c r="D940" t="s">
        <v>17</v>
      </c>
      <c r="E940">
        <v>172</v>
      </c>
      <c r="F940">
        <v>12437587.24</v>
      </c>
      <c r="G940">
        <v>3500506.84</v>
      </c>
      <c r="H940">
        <v>8937080.4000000004</v>
      </c>
      <c r="I940">
        <v>1.17</v>
      </c>
      <c r="J940">
        <v>3.76</v>
      </c>
    </row>
    <row r="941" spans="1:10" x14ac:dyDescent="0.25">
      <c r="A941">
        <v>44103</v>
      </c>
      <c r="B941" t="s">
        <v>10</v>
      </c>
      <c r="C941" t="s">
        <v>15</v>
      </c>
      <c r="D941" t="s">
        <v>12</v>
      </c>
      <c r="E941">
        <v>462</v>
      </c>
      <c r="F941">
        <v>19815558.899999999</v>
      </c>
      <c r="G941">
        <v>7326028.0300000003</v>
      </c>
      <c r="H941">
        <v>12489530.869999999</v>
      </c>
      <c r="I941">
        <v>2.4500000000000002</v>
      </c>
      <c r="J941">
        <v>4.3899999999999997</v>
      </c>
    </row>
    <row r="942" spans="1:10" x14ac:dyDescent="0.25">
      <c r="A942">
        <v>44692</v>
      </c>
      <c r="B942" t="s">
        <v>10</v>
      </c>
      <c r="C942" t="s">
        <v>11</v>
      </c>
      <c r="D942" t="s">
        <v>14</v>
      </c>
      <c r="E942">
        <v>66</v>
      </c>
      <c r="F942">
        <v>4210898.2</v>
      </c>
      <c r="G942">
        <v>1415599.97</v>
      </c>
      <c r="H942">
        <v>2795298.23</v>
      </c>
      <c r="I942">
        <v>2.61</v>
      </c>
      <c r="J942">
        <v>4.25</v>
      </c>
    </row>
    <row r="943" spans="1:10" x14ac:dyDescent="0.25">
      <c r="A943">
        <v>44048</v>
      </c>
      <c r="B943" t="s">
        <v>10</v>
      </c>
      <c r="C943" t="s">
        <v>13</v>
      </c>
      <c r="D943" t="s">
        <v>14</v>
      </c>
      <c r="E943">
        <v>79</v>
      </c>
      <c r="F943">
        <v>3113411.46</v>
      </c>
      <c r="G943">
        <v>948445.46</v>
      </c>
      <c r="H943">
        <v>2164966</v>
      </c>
      <c r="I943">
        <v>3.34</v>
      </c>
      <c r="J943">
        <v>4.74</v>
      </c>
    </row>
    <row r="944" spans="1:10" x14ac:dyDescent="0.25">
      <c r="A944">
        <v>45424</v>
      </c>
      <c r="B944" t="s">
        <v>10</v>
      </c>
      <c r="C944" t="s">
        <v>11</v>
      </c>
      <c r="D944" t="s">
        <v>17</v>
      </c>
      <c r="E944">
        <v>67</v>
      </c>
      <c r="F944">
        <v>3476192.86</v>
      </c>
      <c r="G944">
        <v>1254768.55</v>
      </c>
      <c r="H944">
        <v>2221424.31</v>
      </c>
      <c r="I944">
        <v>3.55</v>
      </c>
      <c r="J944">
        <v>3.98</v>
      </c>
    </row>
    <row r="945" spans="1:10" x14ac:dyDescent="0.25">
      <c r="A945">
        <v>44878</v>
      </c>
      <c r="B945" t="s">
        <v>10</v>
      </c>
      <c r="C945" t="s">
        <v>15</v>
      </c>
      <c r="D945" t="s">
        <v>17</v>
      </c>
      <c r="E945">
        <v>395</v>
      </c>
      <c r="F945">
        <v>34918676.920000002</v>
      </c>
      <c r="G945">
        <v>12730277.439999999</v>
      </c>
      <c r="H945">
        <v>22188399.48</v>
      </c>
      <c r="I945">
        <v>3.75</v>
      </c>
      <c r="J945">
        <v>3.56</v>
      </c>
    </row>
    <row r="946" spans="1:10" x14ac:dyDescent="0.25">
      <c r="A946">
        <v>45110</v>
      </c>
      <c r="B946" t="s">
        <v>10</v>
      </c>
      <c r="C946" t="s">
        <v>16</v>
      </c>
      <c r="D946" t="s">
        <v>12</v>
      </c>
      <c r="E946">
        <v>135</v>
      </c>
      <c r="F946">
        <v>8211176.0899999999</v>
      </c>
      <c r="G946">
        <v>2590369.81</v>
      </c>
      <c r="H946">
        <v>5620806.2800000003</v>
      </c>
      <c r="I946">
        <v>4.9800000000000004</v>
      </c>
      <c r="J946">
        <v>3.52</v>
      </c>
    </row>
    <row r="947" spans="1:10" x14ac:dyDescent="0.25">
      <c r="A947">
        <v>44699</v>
      </c>
      <c r="B947" t="s">
        <v>10</v>
      </c>
      <c r="C947" t="s">
        <v>11</v>
      </c>
      <c r="D947" t="s">
        <v>17</v>
      </c>
      <c r="E947">
        <v>475</v>
      </c>
      <c r="F947">
        <v>29198386.48</v>
      </c>
      <c r="G947">
        <v>6951113.6600000001</v>
      </c>
      <c r="H947">
        <v>22247272.809999999</v>
      </c>
      <c r="I947">
        <v>4.78</v>
      </c>
      <c r="J947">
        <v>3.53</v>
      </c>
    </row>
    <row r="948" spans="1:10" x14ac:dyDescent="0.25">
      <c r="A948">
        <v>45604</v>
      </c>
      <c r="B948" t="s">
        <v>10</v>
      </c>
      <c r="C948" t="s">
        <v>16</v>
      </c>
      <c r="D948" t="s">
        <v>12</v>
      </c>
      <c r="E948">
        <v>442</v>
      </c>
      <c r="F948">
        <v>36713900.170000002</v>
      </c>
      <c r="G948">
        <v>14590785.130000001</v>
      </c>
      <c r="H948">
        <v>22123115.039999999</v>
      </c>
      <c r="I948">
        <v>1.52</v>
      </c>
      <c r="J948">
        <v>4.3499999999999996</v>
      </c>
    </row>
    <row r="949" spans="1:10" x14ac:dyDescent="0.25">
      <c r="A949">
        <v>45235</v>
      </c>
      <c r="B949" t="s">
        <v>10</v>
      </c>
      <c r="C949" t="s">
        <v>16</v>
      </c>
      <c r="D949" t="s">
        <v>17</v>
      </c>
      <c r="E949">
        <v>166</v>
      </c>
      <c r="F949">
        <v>9825881.9900000002</v>
      </c>
      <c r="G949">
        <v>2664864.52</v>
      </c>
      <c r="H949">
        <v>7161017.4699999997</v>
      </c>
      <c r="I949">
        <v>2.21</v>
      </c>
      <c r="J949">
        <v>3.58</v>
      </c>
    </row>
    <row r="950" spans="1:10" x14ac:dyDescent="0.25">
      <c r="A950">
        <v>44127</v>
      </c>
      <c r="B950" t="s">
        <v>10</v>
      </c>
      <c r="C950" t="s">
        <v>13</v>
      </c>
      <c r="D950" t="s">
        <v>14</v>
      </c>
      <c r="E950">
        <v>308</v>
      </c>
      <c r="F950">
        <v>13986464.960000001</v>
      </c>
      <c r="G950">
        <v>4309701.3600000003</v>
      </c>
      <c r="H950">
        <v>9676763.5999999996</v>
      </c>
      <c r="I950">
        <v>3.88</v>
      </c>
      <c r="J950">
        <v>4.8600000000000003</v>
      </c>
    </row>
    <row r="951" spans="1:10" x14ac:dyDescent="0.25">
      <c r="A951">
        <v>43856</v>
      </c>
      <c r="B951" t="s">
        <v>10</v>
      </c>
      <c r="C951" t="s">
        <v>11</v>
      </c>
      <c r="D951" t="s">
        <v>14</v>
      </c>
      <c r="E951">
        <v>413</v>
      </c>
      <c r="F951">
        <v>15553558.98</v>
      </c>
      <c r="G951">
        <v>3669123.18</v>
      </c>
      <c r="H951">
        <v>11884435.800000001</v>
      </c>
      <c r="I951">
        <v>4.22</v>
      </c>
      <c r="J951">
        <v>4.38</v>
      </c>
    </row>
    <row r="952" spans="1:10" x14ac:dyDescent="0.25">
      <c r="A952">
        <v>45460</v>
      </c>
      <c r="B952" t="s">
        <v>10</v>
      </c>
      <c r="C952" t="s">
        <v>18</v>
      </c>
      <c r="D952" t="s">
        <v>14</v>
      </c>
      <c r="E952">
        <v>418</v>
      </c>
      <c r="F952">
        <v>26206545.100000001</v>
      </c>
      <c r="G952">
        <v>10125637.6</v>
      </c>
      <c r="H952">
        <v>16080907.51</v>
      </c>
      <c r="I952">
        <v>1.48</v>
      </c>
      <c r="J952">
        <v>4.9000000000000004</v>
      </c>
    </row>
    <row r="953" spans="1:10" x14ac:dyDescent="0.25">
      <c r="A953">
        <v>44272</v>
      </c>
      <c r="B953" t="s">
        <v>10</v>
      </c>
      <c r="C953" t="s">
        <v>15</v>
      </c>
      <c r="D953" t="s">
        <v>17</v>
      </c>
      <c r="E953">
        <v>475</v>
      </c>
      <c r="F953">
        <v>37117592.990000002</v>
      </c>
      <c r="G953">
        <v>10403593.68</v>
      </c>
      <c r="H953">
        <v>26713999.300000001</v>
      </c>
      <c r="I953">
        <v>2.36</v>
      </c>
      <c r="J953">
        <v>4.9400000000000004</v>
      </c>
    </row>
    <row r="954" spans="1:10" x14ac:dyDescent="0.25">
      <c r="A954">
        <v>45047</v>
      </c>
      <c r="B954" t="s">
        <v>10</v>
      </c>
      <c r="C954" t="s">
        <v>18</v>
      </c>
      <c r="D954" t="s">
        <v>12</v>
      </c>
      <c r="E954">
        <v>447</v>
      </c>
      <c r="F954">
        <v>19692389.91</v>
      </c>
      <c r="G954">
        <v>6241995.5300000003</v>
      </c>
      <c r="H954">
        <v>13450394.380000001</v>
      </c>
      <c r="I954">
        <v>0.56000000000000005</v>
      </c>
      <c r="J954">
        <v>4.22</v>
      </c>
    </row>
    <row r="955" spans="1:10" x14ac:dyDescent="0.25">
      <c r="A955">
        <v>45372</v>
      </c>
      <c r="B955" t="s">
        <v>10</v>
      </c>
      <c r="C955" t="s">
        <v>18</v>
      </c>
      <c r="D955" t="s">
        <v>12</v>
      </c>
      <c r="E955">
        <v>491</v>
      </c>
      <c r="F955">
        <v>22176560.940000001</v>
      </c>
      <c r="G955">
        <v>8606337</v>
      </c>
      <c r="H955">
        <v>13570223.939999999</v>
      </c>
      <c r="I955">
        <v>3.22</v>
      </c>
      <c r="J955">
        <v>4.6500000000000004</v>
      </c>
    </row>
    <row r="956" spans="1:10" x14ac:dyDescent="0.25">
      <c r="A956">
        <v>45442</v>
      </c>
      <c r="B956" t="s">
        <v>10</v>
      </c>
      <c r="C956" t="s">
        <v>15</v>
      </c>
      <c r="D956" t="s">
        <v>17</v>
      </c>
      <c r="E956">
        <v>492</v>
      </c>
      <c r="F956">
        <v>23356467.239999998</v>
      </c>
      <c r="G956">
        <v>6229067.1500000004</v>
      </c>
      <c r="H956">
        <v>17127400.09</v>
      </c>
      <c r="I956">
        <v>0.86</v>
      </c>
      <c r="J956">
        <v>4.16</v>
      </c>
    </row>
    <row r="957" spans="1:10" x14ac:dyDescent="0.25">
      <c r="A957">
        <v>43934</v>
      </c>
      <c r="B957" t="s">
        <v>10</v>
      </c>
      <c r="C957" t="s">
        <v>18</v>
      </c>
      <c r="D957" t="s">
        <v>14</v>
      </c>
      <c r="E957">
        <v>416</v>
      </c>
      <c r="F957">
        <v>17830944.879999999</v>
      </c>
      <c r="G957">
        <v>4485218.92</v>
      </c>
      <c r="H957">
        <v>13345725.960000001</v>
      </c>
      <c r="I957">
        <v>1.6</v>
      </c>
      <c r="J957">
        <v>4.4000000000000004</v>
      </c>
    </row>
    <row r="958" spans="1:10" x14ac:dyDescent="0.25">
      <c r="A958">
        <v>44116</v>
      </c>
      <c r="B958" t="s">
        <v>10</v>
      </c>
      <c r="C958" t="s">
        <v>18</v>
      </c>
      <c r="D958" t="s">
        <v>12</v>
      </c>
      <c r="E958">
        <v>445</v>
      </c>
      <c r="F958">
        <v>25310994.469999999</v>
      </c>
      <c r="G958">
        <v>7534032.9100000001</v>
      </c>
      <c r="H958">
        <v>17776961.550000001</v>
      </c>
      <c r="I958">
        <v>2.67</v>
      </c>
      <c r="J958">
        <v>4.07</v>
      </c>
    </row>
    <row r="959" spans="1:10" x14ac:dyDescent="0.25">
      <c r="A959">
        <v>44587</v>
      </c>
      <c r="B959" t="s">
        <v>10</v>
      </c>
      <c r="C959" t="s">
        <v>15</v>
      </c>
      <c r="D959" t="s">
        <v>14</v>
      </c>
      <c r="E959">
        <v>171</v>
      </c>
      <c r="F959">
        <v>7351797.54</v>
      </c>
      <c r="G959">
        <v>2197163</v>
      </c>
      <c r="H959">
        <v>5154634.54</v>
      </c>
      <c r="I959">
        <v>0.78</v>
      </c>
      <c r="J959">
        <v>3.61</v>
      </c>
    </row>
    <row r="960" spans="1:10" x14ac:dyDescent="0.25">
      <c r="A960">
        <v>44473</v>
      </c>
      <c r="B960" t="s">
        <v>10</v>
      </c>
      <c r="C960" t="s">
        <v>15</v>
      </c>
      <c r="D960" t="s">
        <v>14</v>
      </c>
      <c r="E960">
        <v>392</v>
      </c>
      <c r="F960">
        <v>24940889.149999999</v>
      </c>
      <c r="G960">
        <v>5015203.83</v>
      </c>
      <c r="H960">
        <v>19925685.32</v>
      </c>
      <c r="I960">
        <v>1.41</v>
      </c>
      <c r="J960">
        <v>3.89</v>
      </c>
    </row>
    <row r="961" spans="1:10" x14ac:dyDescent="0.25">
      <c r="A961">
        <v>44231</v>
      </c>
      <c r="B961" t="s">
        <v>10</v>
      </c>
      <c r="C961" t="s">
        <v>13</v>
      </c>
      <c r="D961" t="s">
        <v>17</v>
      </c>
      <c r="E961">
        <v>376</v>
      </c>
      <c r="F961">
        <v>15186798.92</v>
      </c>
      <c r="G961">
        <v>5940875.6900000004</v>
      </c>
      <c r="H961">
        <v>9245923.2300000004</v>
      </c>
      <c r="I961">
        <v>1.33</v>
      </c>
      <c r="J961">
        <v>4.3099999999999996</v>
      </c>
    </row>
    <row r="962" spans="1:10" x14ac:dyDescent="0.25">
      <c r="A962">
        <v>44352</v>
      </c>
      <c r="B962" t="s">
        <v>10</v>
      </c>
      <c r="C962" t="s">
        <v>15</v>
      </c>
      <c r="D962" t="s">
        <v>17</v>
      </c>
      <c r="E962">
        <v>477</v>
      </c>
      <c r="F962">
        <v>17890926.620000001</v>
      </c>
      <c r="G962">
        <v>3771511.49</v>
      </c>
      <c r="H962">
        <v>14119415.130000001</v>
      </c>
      <c r="I962">
        <v>4.29</v>
      </c>
      <c r="J962">
        <v>3.94</v>
      </c>
    </row>
    <row r="963" spans="1:10" x14ac:dyDescent="0.25">
      <c r="A963">
        <v>44292</v>
      </c>
      <c r="B963" t="s">
        <v>10</v>
      </c>
      <c r="C963" t="s">
        <v>15</v>
      </c>
      <c r="D963" t="s">
        <v>14</v>
      </c>
      <c r="E963">
        <v>355</v>
      </c>
      <c r="F963">
        <v>15742045.1</v>
      </c>
      <c r="G963">
        <v>5897145.0999999996</v>
      </c>
      <c r="H963">
        <v>9844900</v>
      </c>
      <c r="I963">
        <v>1.05</v>
      </c>
      <c r="J963">
        <v>4.28</v>
      </c>
    </row>
    <row r="964" spans="1:10" x14ac:dyDescent="0.25">
      <c r="A964">
        <v>44344</v>
      </c>
      <c r="B964" t="s">
        <v>10</v>
      </c>
      <c r="C964" t="s">
        <v>16</v>
      </c>
      <c r="D964" t="s">
        <v>14</v>
      </c>
      <c r="E964">
        <v>474</v>
      </c>
      <c r="F964">
        <v>20919571.399999999</v>
      </c>
      <c r="G964">
        <v>8120534.8700000001</v>
      </c>
      <c r="H964">
        <v>12799036.529999999</v>
      </c>
      <c r="I964">
        <v>3.61</v>
      </c>
      <c r="J964">
        <v>4.59</v>
      </c>
    </row>
    <row r="965" spans="1:10" x14ac:dyDescent="0.25">
      <c r="A965">
        <v>45650</v>
      </c>
      <c r="B965" t="s">
        <v>10</v>
      </c>
      <c r="C965" t="s">
        <v>13</v>
      </c>
      <c r="D965" t="s">
        <v>17</v>
      </c>
      <c r="E965">
        <v>74</v>
      </c>
      <c r="F965">
        <v>3170205.18</v>
      </c>
      <c r="G965">
        <v>1025789.96</v>
      </c>
      <c r="H965">
        <v>2144415.2200000002</v>
      </c>
      <c r="I965">
        <v>3</v>
      </c>
      <c r="J965">
        <v>3.62</v>
      </c>
    </row>
    <row r="966" spans="1:10" x14ac:dyDescent="0.25">
      <c r="A966">
        <v>44193</v>
      </c>
      <c r="B966" t="s">
        <v>10</v>
      </c>
      <c r="C966" t="s">
        <v>15</v>
      </c>
      <c r="D966" t="s">
        <v>17</v>
      </c>
      <c r="E966">
        <v>493</v>
      </c>
      <c r="F966">
        <v>21861095.399999999</v>
      </c>
      <c r="G966">
        <v>8502147.75</v>
      </c>
      <c r="H966">
        <v>13358947.640000001</v>
      </c>
      <c r="I966">
        <v>1.99</v>
      </c>
      <c r="J966">
        <v>4.6500000000000004</v>
      </c>
    </row>
    <row r="967" spans="1:10" x14ac:dyDescent="0.25">
      <c r="A967">
        <v>45086</v>
      </c>
      <c r="B967" t="s">
        <v>10</v>
      </c>
      <c r="C967" t="s">
        <v>15</v>
      </c>
      <c r="D967" t="s">
        <v>14</v>
      </c>
      <c r="E967">
        <v>186</v>
      </c>
      <c r="F967">
        <v>10759981.9</v>
      </c>
      <c r="G967">
        <v>4252333.99</v>
      </c>
      <c r="H967">
        <v>6507647.9100000001</v>
      </c>
      <c r="I967">
        <v>2.0099999999999998</v>
      </c>
      <c r="J967">
        <v>3.77</v>
      </c>
    </row>
    <row r="968" spans="1:10" x14ac:dyDescent="0.25">
      <c r="A968">
        <v>45412</v>
      </c>
      <c r="B968" t="s">
        <v>10</v>
      </c>
      <c r="C968" t="s">
        <v>13</v>
      </c>
      <c r="D968" t="s">
        <v>12</v>
      </c>
      <c r="E968">
        <v>372</v>
      </c>
      <c r="F968">
        <v>32821244.010000002</v>
      </c>
      <c r="G968">
        <v>9519052.3300000001</v>
      </c>
      <c r="H968">
        <v>23302191.68</v>
      </c>
      <c r="I968">
        <v>4.83</v>
      </c>
      <c r="J968">
        <v>3.67</v>
      </c>
    </row>
    <row r="969" spans="1:10" x14ac:dyDescent="0.25">
      <c r="A969">
        <v>44282</v>
      </c>
      <c r="B969" t="s">
        <v>10</v>
      </c>
      <c r="C969" t="s">
        <v>15</v>
      </c>
      <c r="D969" t="s">
        <v>14</v>
      </c>
      <c r="E969">
        <v>478</v>
      </c>
      <c r="F969">
        <v>22958731.800000001</v>
      </c>
      <c r="G969">
        <v>8738250.9499999993</v>
      </c>
      <c r="H969">
        <v>14220480.85</v>
      </c>
      <c r="I969">
        <v>1.31</v>
      </c>
      <c r="J969">
        <v>4.7</v>
      </c>
    </row>
    <row r="970" spans="1:10" x14ac:dyDescent="0.25">
      <c r="A970">
        <v>45606</v>
      </c>
      <c r="B970" t="s">
        <v>10</v>
      </c>
      <c r="C970" t="s">
        <v>13</v>
      </c>
      <c r="D970" t="s">
        <v>14</v>
      </c>
      <c r="E970">
        <v>115</v>
      </c>
      <c r="F970">
        <v>7742183.6399999997</v>
      </c>
      <c r="G970">
        <v>2922884.17</v>
      </c>
      <c r="H970">
        <v>4819299.4800000004</v>
      </c>
      <c r="I970">
        <v>1.99</v>
      </c>
      <c r="J970">
        <v>4.67</v>
      </c>
    </row>
    <row r="971" spans="1:10" x14ac:dyDescent="0.25">
      <c r="A971">
        <v>45406</v>
      </c>
      <c r="B971" t="s">
        <v>10</v>
      </c>
      <c r="C971" t="s">
        <v>16</v>
      </c>
      <c r="D971" t="s">
        <v>17</v>
      </c>
      <c r="E971">
        <v>163</v>
      </c>
      <c r="F971">
        <v>11332737.640000001</v>
      </c>
      <c r="G971">
        <v>3065600.86</v>
      </c>
      <c r="H971">
        <v>8267136.7800000003</v>
      </c>
      <c r="I971">
        <v>4.3</v>
      </c>
      <c r="J971">
        <v>3.99</v>
      </c>
    </row>
    <row r="972" spans="1:10" x14ac:dyDescent="0.25">
      <c r="A972">
        <v>45307</v>
      </c>
      <c r="B972" t="s">
        <v>10</v>
      </c>
      <c r="C972" t="s">
        <v>11</v>
      </c>
      <c r="D972" t="s">
        <v>12</v>
      </c>
      <c r="E972">
        <v>75</v>
      </c>
      <c r="F972">
        <v>6231517.75</v>
      </c>
      <c r="G972">
        <v>1457399.01</v>
      </c>
      <c r="H972">
        <v>4774118.75</v>
      </c>
      <c r="I972">
        <v>1.51</v>
      </c>
      <c r="J972">
        <v>4.0999999999999996</v>
      </c>
    </row>
    <row r="973" spans="1:10" x14ac:dyDescent="0.25">
      <c r="A973">
        <v>45607</v>
      </c>
      <c r="B973" t="s">
        <v>10</v>
      </c>
      <c r="C973" t="s">
        <v>16</v>
      </c>
      <c r="D973" t="s">
        <v>14</v>
      </c>
      <c r="E973">
        <v>100</v>
      </c>
      <c r="F973">
        <v>7568255.9400000004</v>
      </c>
      <c r="G973">
        <v>2100530.44</v>
      </c>
      <c r="H973">
        <v>5467725.5</v>
      </c>
      <c r="I973">
        <v>0.57999999999999996</v>
      </c>
      <c r="J973">
        <v>3.79</v>
      </c>
    </row>
    <row r="974" spans="1:10" x14ac:dyDescent="0.25">
      <c r="A974">
        <v>44036</v>
      </c>
      <c r="B974" t="s">
        <v>10</v>
      </c>
      <c r="C974" t="s">
        <v>11</v>
      </c>
      <c r="D974" t="s">
        <v>12</v>
      </c>
      <c r="E974">
        <v>125</v>
      </c>
      <c r="F974">
        <v>9399733.6300000008</v>
      </c>
      <c r="G974">
        <v>2970295.14</v>
      </c>
      <c r="H974">
        <v>6429438.4900000002</v>
      </c>
      <c r="I974">
        <v>3.1</v>
      </c>
      <c r="J974">
        <v>4.75</v>
      </c>
    </row>
    <row r="975" spans="1:10" x14ac:dyDescent="0.25">
      <c r="A975">
        <v>45531</v>
      </c>
      <c r="B975" t="s">
        <v>10</v>
      </c>
      <c r="C975" t="s">
        <v>18</v>
      </c>
      <c r="D975" t="s">
        <v>14</v>
      </c>
      <c r="E975">
        <v>428</v>
      </c>
      <c r="F975">
        <v>16580091.48</v>
      </c>
      <c r="G975">
        <v>6031089.3200000003</v>
      </c>
      <c r="H975">
        <v>10549002.16</v>
      </c>
      <c r="I975">
        <v>4.8099999999999996</v>
      </c>
      <c r="J975">
        <v>4.84</v>
      </c>
    </row>
    <row r="976" spans="1:10" x14ac:dyDescent="0.25">
      <c r="A976">
        <v>44736</v>
      </c>
      <c r="B976" t="s">
        <v>10</v>
      </c>
      <c r="C976" t="s">
        <v>16</v>
      </c>
      <c r="D976" t="s">
        <v>17</v>
      </c>
      <c r="E976">
        <v>176</v>
      </c>
      <c r="F976">
        <v>10185123.74</v>
      </c>
      <c r="G976">
        <v>2956561.32</v>
      </c>
      <c r="H976">
        <v>7228562.4199999999</v>
      </c>
      <c r="I976">
        <v>2.31</v>
      </c>
      <c r="J976">
        <v>4.28</v>
      </c>
    </row>
    <row r="977" spans="1:10" x14ac:dyDescent="0.25">
      <c r="A977">
        <v>44954</v>
      </c>
      <c r="B977" t="s">
        <v>10</v>
      </c>
      <c r="C977" t="s">
        <v>18</v>
      </c>
      <c r="D977" t="s">
        <v>14</v>
      </c>
      <c r="E977">
        <v>359</v>
      </c>
      <c r="F977">
        <v>13733451.279999999</v>
      </c>
      <c r="G977">
        <v>3755267.75</v>
      </c>
      <c r="H977">
        <v>9978183.5399999991</v>
      </c>
      <c r="I977">
        <v>3.96</v>
      </c>
      <c r="J977">
        <v>4.99</v>
      </c>
    </row>
    <row r="978" spans="1:10" x14ac:dyDescent="0.25">
      <c r="A978">
        <v>45246</v>
      </c>
      <c r="B978" t="s">
        <v>10</v>
      </c>
      <c r="C978" t="s">
        <v>15</v>
      </c>
      <c r="D978" t="s">
        <v>14</v>
      </c>
      <c r="E978">
        <v>377</v>
      </c>
      <c r="F978">
        <v>16486406.789999999</v>
      </c>
      <c r="G978">
        <v>3464542.2</v>
      </c>
      <c r="H978">
        <v>13021864.59</v>
      </c>
      <c r="I978">
        <v>4.46</v>
      </c>
      <c r="J978">
        <v>4.8600000000000003</v>
      </c>
    </row>
    <row r="979" spans="1:10" x14ac:dyDescent="0.25">
      <c r="A979">
        <v>44728</v>
      </c>
      <c r="B979" t="s">
        <v>10</v>
      </c>
      <c r="C979" t="s">
        <v>15</v>
      </c>
      <c r="D979" t="s">
        <v>12</v>
      </c>
      <c r="E979">
        <v>458</v>
      </c>
      <c r="F979">
        <v>26334854.890000001</v>
      </c>
      <c r="G979">
        <v>8667447.6199999992</v>
      </c>
      <c r="H979">
        <v>17667407.27</v>
      </c>
      <c r="I979">
        <v>1.86</v>
      </c>
      <c r="J979">
        <v>4.5999999999999996</v>
      </c>
    </row>
    <row r="980" spans="1:10" x14ac:dyDescent="0.25">
      <c r="A980">
        <v>44259</v>
      </c>
      <c r="B980" t="s">
        <v>10</v>
      </c>
      <c r="C980" t="s">
        <v>18</v>
      </c>
      <c r="D980" t="s">
        <v>12</v>
      </c>
      <c r="E980">
        <v>412</v>
      </c>
      <c r="F980">
        <v>23900706.829999998</v>
      </c>
      <c r="G980">
        <v>7849894.3799999999</v>
      </c>
      <c r="H980">
        <v>16050812.449999999</v>
      </c>
      <c r="I980">
        <v>3.17</v>
      </c>
      <c r="J980">
        <v>4.3600000000000003</v>
      </c>
    </row>
    <row r="981" spans="1:10" x14ac:dyDescent="0.25">
      <c r="A981">
        <v>45093</v>
      </c>
      <c r="B981" t="s">
        <v>10</v>
      </c>
      <c r="C981" t="s">
        <v>15</v>
      </c>
      <c r="D981" t="s">
        <v>14</v>
      </c>
      <c r="E981">
        <v>274</v>
      </c>
      <c r="F981">
        <v>19474462.93</v>
      </c>
      <c r="G981">
        <v>7015425.7599999998</v>
      </c>
      <c r="H981">
        <v>12459037.17</v>
      </c>
      <c r="I981">
        <v>1.92</v>
      </c>
      <c r="J981">
        <v>3.84</v>
      </c>
    </row>
    <row r="982" spans="1:10" x14ac:dyDescent="0.25">
      <c r="A982">
        <v>44178</v>
      </c>
      <c r="B982" t="s">
        <v>10</v>
      </c>
      <c r="C982" t="s">
        <v>11</v>
      </c>
      <c r="D982" t="s">
        <v>17</v>
      </c>
      <c r="E982">
        <v>137</v>
      </c>
      <c r="F982">
        <v>10388014.939999999</v>
      </c>
      <c r="G982">
        <v>4102852.26</v>
      </c>
      <c r="H982">
        <v>6285162.6799999997</v>
      </c>
      <c r="I982">
        <v>2.1</v>
      </c>
      <c r="J982">
        <v>4.67</v>
      </c>
    </row>
    <row r="983" spans="1:10" x14ac:dyDescent="0.25">
      <c r="A983">
        <v>44386</v>
      </c>
      <c r="B983" t="s">
        <v>10</v>
      </c>
      <c r="C983" t="s">
        <v>18</v>
      </c>
      <c r="D983" t="s">
        <v>17</v>
      </c>
      <c r="E983">
        <v>389</v>
      </c>
      <c r="F983">
        <v>28577367.879999999</v>
      </c>
      <c r="G983">
        <v>9541634.4800000004</v>
      </c>
      <c r="H983">
        <v>19035733.399999999</v>
      </c>
      <c r="I983">
        <v>3.85</v>
      </c>
      <c r="J983">
        <v>4.12</v>
      </c>
    </row>
    <row r="984" spans="1:10" x14ac:dyDescent="0.25">
      <c r="A984">
        <v>45089</v>
      </c>
      <c r="B984" t="s">
        <v>10</v>
      </c>
      <c r="C984" t="s">
        <v>18</v>
      </c>
      <c r="D984" t="s">
        <v>17</v>
      </c>
      <c r="E984">
        <v>70</v>
      </c>
      <c r="F984">
        <v>5279846.97</v>
      </c>
      <c r="G984">
        <v>1467683.49</v>
      </c>
      <c r="H984">
        <v>3812163.47</v>
      </c>
      <c r="I984">
        <v>2.7</v>
      </c>
      <c r="J984">
        <v>3.7</v>
      </c>
    </row>
    <row r="985" spans="1:10" x14ac:dyDescent="0.25">
      <c r="A985">
        <v>44763</v>
      </c>
      <c r="B985" t="s">
        <v>10</v>
      </c>
      <c r="C985" t="s">
        <v>16</v>
      </c>
      <c r="D985" t="s">
        <v>17</v>
      </c>
      <c r="E985">
        <v>150</v>
      </c>
      <c r="F985">
        <v>12773666.57</v>
      </c>
      <c r="G985">
        <v>4953809.99</v>
      </c>
      <c r="H985">
        <v>7819856.5800000001</v>
      </c>
      <c r="I985">
        <v>3.62</v>
      </c>
      <c r="J985">
        <v>3.77</v>
      </c>
    </row>
    <row r="986" spans="1:10" x14ac:dyDescent="0.25">
      <c r="A986">
        <v>44121</v>
      </c>
      <c r="B986" t="s">
        <v>10</v>
      </c>
      <c r="C986" t="s">
        <v>15</v>
      </c>
      <c r="D986" t="s">
        <v>14</v>
      </c>
      <c r="E986">
        <v>107</v>
      </c>
      <c r="F986">
        <v>3783042.75</v>
      </c>
      <c r="G986">
        <v>1137758.26</v>
      </c>
      <c r="H986">
        <v>2645284.4900000002</v>
      </c>
      <c r="I986">
        <v>1.79</v>
      </c>
      <c r="J986">
        <v>4.5999999999999996</v>
      </c>
    </row>
    <row r="987" spans="1:10" x14ac:dyDescent="0.25">
      <c r="A987">
        <v>44875</v>
      </c>
      <c r="B987" t="s">
        <v>10</v>
      </c>
      <c r="C987" t="s">
        <v>11</v>
      </c>
      <c r="D987" t="s">
        <v>12</v>
      </c>
      <c r="E987">
        <v>478</v>
      </c>
      <c r="F987">
        <v>25108349.690000001</v>
      </c>
      <c r="G987">
        <v>9517691.6999999993</v>
      </c>
      <c r="H987">
        <v>15590657.99</v>
      </c>
      <c r="I987">
        <v>1.08</v>
      </c>
      <c r="J987">
        <v>4.3600000000000003</v>
      </c>
    </row>
    <row r="988" spans="1:10" x14ac:dyDescent="0.25">
      <c r="A988">
        <v>44150</v>
      </c>
      <c r="B988" t="s">
        <v>10</v>
      </c>
      <c r="C988" t="s">
        <v>15</v>
      </c>
      <c r="D988" t="s">
        <v>17</v>
      </c>
      <c r="E988">
        <v>274</v>
      </c>
      <c r="F988">
        <v>10967729.42</v>
      </c>
      <c r="G988">
        <v>3014629.78</v>
      </c>
      <c r="H988">
        <v>7953099.6299999999</v>
      </c>
      <c r="I988">
        <v>2.98</v>
      </c>
      <c r="J988">
        <v>4.1100000000000003</v>
      </c>
    </row>
    <row r="989" spans="1:10" x14ac:dyDescent="0.25">
      <c r="A989">
        <v>45055</v>
      </c>
      <c r="B989" t="s">
        <v>10</v>
      </c>
      <c r="C989" t="s">
        <v>18</v>
      </c>
      <c r="D989" t="s">
        <v>17</v>
      </c>
      <c r="E989">
        <v>286</v>
      </c>
      <c r="F989">
        <v>13999328.890000001</v>
      </c>
      <c r="G989">
        <v>3801975.52</v>
      </c>
      <c r="H989">
        <v>10197353.369999999</v>
      </c>
      <c r="I989">
        <v>1.74</v>
      </c>
      <c r="J989">
        <v>4.24</v>
      </c>
    </row>
    <row r="990" spans="1:10" x14ac:dyDescent="0.25">
      <c r="A990">
        <v>45504</v>
      </c>
      <c r="B990" t="s">
        <v>10</v>
      </c>
      <c r="C990" t="s">
        <v>15</v>
      </c>
      <c r="D990" t="s">
        <v>12</v>
      </c>
      <c r="E990">
        <v>175</v>
      </c>
      <c r="F990">
        <v>11679751.92</v>
      </c>
      <c r="G990">
        <v>2591366.81</v>
      </c>
      <c r="H990">
        <v>9088385.1099999994</v>
      </c>
      <c r="I990">
        <v>3.19</v>
      </c>
      <c r="J990">
        <v>4.72</v>
      </c>
    </row>
    <row r="991" spans="1:10" x14ac:dyDescent="0.25">
      <c r="A991">
        <v>45166</v>
      </c>
      <c r="B991" t="s">
        <v>10</v>
      </c>
      <c r="C991" t="s">
        <v>11</v>
      </c>
      <c r="D991" t="s">
        <v>17</v>
      </c>
      <c r="E991">
        <v>260</v>
      </c>
      <c r="F991">
        <v>17846543.800000001</v>
      </c>
      <c r="G991">
        <v>6083003.1500000004</v>
      </c>
      <c r="H991">
        <v>11763540.640000001</v>
      </c>
      <c r="I991">
        <v>1.65</v>
      </c>
      <c r="J991">
        <v>3.99</v>
      </c>
    </row>
    <row r="992" spans="1:10" x14ac:dyDescent="0.25">
      <c r="A992">
        <v>44244</v>
      </c>
      <c r="B992" t="s">
        <v>10</v>
      </c>
      <c r="C992" t="s">
        <v>18</v>
      </c>
      <c r="D992" t="s">
        <v>14</v>
      </c>
      <c r="E992">
        <v>467</v>
      </c>
      <c r="F992">
        <v>20998398.989999998</v>
      </c>
      <c r="G992">
        <v>5078710.1500000004</v>
      </c>
      <c r="H992">
        <v>15919688.84</v>
      </c>
      <c r="I992">
        <v>2.23</v>
      </c>
      <c r="J992">
        <v>4.1500000000000004</v>
      </c>
    </row>
    <row r="993" spans="1:10" x14ac:dyDescent="0.25">
      <c r="A993">
        <v>43912</v>
      </c>
      <c r="B993" t="s">
        <v>10</v>
      </c>
      <c r="C993" t="s">
        <v>13</v>
      </c>
      <c r="D993" t="s">
        <v>12</v>
      </c>
      <c r="E993">
        <v>94</v>
      </c>
      <c r="F993">
        <v>6329916.7199999997</v>
      </c>
      <c r="G993">
        <v>1992025.11</v>
      </c>
      <c r="H993">
        <v>4337891.6100000003</v>
      </c>
      <c r="I993">
        <v>3.27</v>
      </c>
      <c r="J993">
        <v>3.62</v>
      </c>
    </row>
    <row r="994" spans="1:10" x14ac:dyDescent="0.25">
      <c r="A994">
        <v>44704</v>
      </c>
      <c r="B994" t="s">
        <v>10</v>
      </c>
      <c r="C994" t="s">
        <v>18</v>
      </c>
      <c r="D994" t="s">
        <v>12</v>
      </c>
      <c r="E994">
        <v>88</v>
      </c>
      <c r="F994">
        <v>6579666.7199999997</v>
      </c>
      <c r="G994">
        <v>1615083.17</v>
      </c>
      <c r="H994">
        <v>4964583.55</v>
      </c>
      <c r="I994">
        <v>3.72</v>
      </c>
      <c r="J994">
        <v>4.37</v>
      </c>
    </row>
    <row r="995" spans="1:10" x14ac:dyDescent="0.25">
      <c r="A995">
        <v>45075</v>
      </c>
      <c r="B995" t="s">
        <v>10</v>
      </c>
      <c r="C995" t="s">
        <v>16</v>
      </c>
      <c r="D995" t="s">
        <v>14</v>
      </c>
      <c r="E995">
        <v>137</v>
      </c>
      <c r="F995">
        <v>7811357.2199999997</v>
      </c>
      <c r="G995">
        <v>1856187.63</v>
      </c>
      <c r="H995">
        <v>5955169.5899999999</v>
      </c>
      <c r="I995">
        <v>0.56000000000000005</v>
      </c>
      <c r="J995">
        <v>4.47</v>
      </c>
    </row>
    <row r="996" spans="1:10" x14ac:dyDescent="0.25">
      <c r="A996">
        <v>45122</v>
      </c>
      <c r="B996" t="s">
        <v>10</v>
      </c>
      <c r="C996" t="s">
        <v>15</v>
      </c>
      <c r="D996" t="s">
        <v>14</v>
      </c>
      <c r="E996">
        <v>58</v>
      </c>
      <c r="F996">
        <v>3015079.26</v>
      </c>
      <c r="G996">
        <v>1029025.57</v>
      </c>
      <c r="H996">
        <v>1986053.69</v>
      </c>
      <c r="I996">
        <v>1.7</v>
      </c>
      <c r="J996">
        <v>4</v>
      </c>
    </row>
    <row r="997" spans="1:10" x14ac:dyDescent="0.25">
      <c r="A997">
        <v>44047</v>
      </c>
      <c r="B997" t="s">
        <v>10</v>
      </c>
      <c r="C997" t="s">
        <v>11</v>
      </c>
      <c r="D997" t="s">
        <v>12</v>
      </c>
      <c r="E997">
        <v>426</v>
      </c>
      <c r="F997">
        <v>35672993.420000002</v>
      </c>
      <c r="G997">
        <v>10997851.439999999</v>
      </c>
      <c r="H997">
        <v>24675141.98</v>
      </c>
      <c r="I997">
        <v>3.04</v>
      </c>
      <c r="J997">
        <v>4.49</v>
      </c>
    </row>
    <row r="998" spans="1:10" x14ac:dyDescent="0.25">
      <c r="A998">
        <v>44118</v>
      </c>
      <c r="B998" t="s">
        <v>10</v>
      </c>
      <c r="C998" t="s">
        <v>16</v>
      </c>
      <c r="D998" t="s">
        <v>17</v>
      </c>
      <c r="E998">
        <v>307</v>
      </c>
      <c r="F998">
        <v>24524494.629999999</v>
      </c>
      <c r="G998">
        <v>9716872.5600000005</v>
      </c>
      <c r="H998">
        <v>14807622.07</v>
      </c>
      <c r="I998">
        <v>3.81</v>
      </c>
      <c r="J998">
        <v>3.81</v>
      </c>
    </row>
    <row r="999" spans="1:10" x14ac:dyDescent="0.25">
      <c r="A999">
        <v>45162</v>
      </c>
      <c r="B999" t="s">
        <v>10</v>
      </c>
      <c r="C999" t="s">
        <v>16</v>
      </c>
      <c r="D999" t="s">
        <v>12</v>
      </c>
      <c r="E999">
        <v>154</v>
      </c>
      <c r="F999">
        <v>12841502.85</v>
      </c>
      <c r="G999">
        <v>5010187.04</v>
      </c>
      <c r="H999">
        <v>7831315.8099999996</v>
      </c>
      <c r="I999">
        <v>1.54</v>
      </c>
      <c r="J999">
        <v>4.8499999999999996</v>
      </c>
    </row>
    <row r="1000" spans="1:10" x14ac:dyDescent="0.25">
      <c r="A1000">
        <v>44285</v>
      </c>
      <c r="B1000" t="s">
        <v>10</v>
      </c>
      <c r="C1000" t="s">
        <v>11</v>
      </c>
      <c r="D1000" t="s">
        <v>12</v>
      </c>
      <c r="E1000">
        <v>166</v>
      </c>
      <c r="F1000">
        <v>5818485.5800000001</v>
      </c>
      <c r="G1000">
        <v>1276315.5</v>
      </c>
      <c r="H1000">
        <v>4542170.08</v>
      </c>
      <c r="I1000">
        <v>0.61</v>
      </c>
      <c r="J1000">
        <v>3.81</v>
      </c>
    </row>
    <row r="1001" spans="1:10" x14ac:dyDescent="0.25">
      <c r="A1001">
        <v>45515</v>
      </c>
      <c r="B1001" t="s">
        <v>10</v>
      </c>
      <c r="C1001" t="s">
        <v>13</v>
      </c>
      <c r="D1001" t="s">
        <v>12</v>
      </c>
      <c r="E1001">
        <v>190</v>
      </c>
      <c r="F1001">
        <v>13702633.970000001</v>
      </c>
      <c r="G1001">
        <v>4825885.76</v>
      </c>
      <c r="H1001">
        <v>8876748.2100000009</v>
      </c>
      <c r="I1001">
        <v>3.91</v>
      </c>
      <c r="J1001">
        <v>4.6399999999999997</v>
      </c>
    </row>
    <row r="1002" spans="1:10" x14ac:dyDescent="0.25">
      <c r="A1002">
        <v>45584</v>
      </c>
      <c r="B1002" t="s">
        <v>10</v>
      </c>
      <c r="C1002" t="s">
        <v>15</v>
      </c>
      <c r="D1002" t="s">
        <v>17</v>
      </c>
      <c r="E1002">
        <v>179</v>
      </c>
      <c r="F1002">
        <v>12964320.310000001</v>
      </c>
      <c r="G1002">
        <v>2769961.93</v>
      </c>
      <c r="H1002">
        <v>10194358.380000001</v>
      </c>
      <c r="I1002">
        <v>3.29</v>
      </c>
      <c r="J1002">
        <v>4.71</v>
      </c>
    </row>
    <row r="1003" spans="1:10" x14ac:dyDescent="0.25">
      <c r="A1003">
        <v>44005</v>
      </c>
      <c r="B1003" t="s">
        <v>10</v>
      </c>
      <c r="C1003" t="s">
        <v>13</v>
      </c>
      <c r="D1003" t="s">
        <v>17</v>
      </c>
      <c r="E1003">
        <v>390</v>
      </c>
      <c r="F1003">
        <v>33695966.240000002</v>
      </c>
      <c r="G1003">
        <v>11433812.689999999</v>
      </c>
      <c r="H1003">
        <v>22262153.550000001</v>
      </c>
      <c r="I1003">
        <v>4.0199999999999996</v>
      </c>
      <c r="J1003">
        <v>4.6500000000000004</v>
      </c>
    </row>
    <row r="1004" spans="1:10" x14ac:dyDescent="0.25">
      <c r="A1004">
        <v>45258</v>
      </c>
      <c r="B1004" t="s">
        <v>10</v>
      </c>
      <c r="C1004" t="s">
        <v>13</v>
      </c>
      <c r="D1004" t="s">
        <v>14</v>
      </c>
      <c r="E1004">
        <v>138</v>
      </c>
      <c r="F1004">
        <v>5982816.0499999998</v>
      </c>
      <c r="G1004">
        <v>1999985.82</v>
      </c>
      <c r="H1004">
        <v>3982830.22</v>
      </c>
      <c r="I1004">
        <v>0.75</v>
      </c>
      <c r="J1004">
        <v>3.77</v>
      </c>
    </row>
    <row r="1005" spans="1:10" x14ac:dyDescent="0.25">
      <c r="A1005">
        <v>43934</v>
      </c>
      <c r="B1005" t="s">
        <v>10</v>
      </c>
      <c r="C1005" t="s">
        <v>16</v>
      </c>
      <c r="D1005" t="s">
        <v>12</v>
      </c>
      <c r="E1005">
        <v>202</v>
      </c>
      <c r="F1005">
        <v>15172631.880000001</v>
      </c>
      <c r="G1005">
        <v>4324016.2699999996</v>
      </c>
      <c r="H1005">
        <v>10848615.609999999</v>
      </c>
      <c r="I1005">
        <v>1.43</v>
      </c>
      <c r="J1005">
        <v>4.26</v>
      </c>
    </row>
    <row r="1006" spans="1:10" x14ac:dyDescent="0.25">
      <c r="A1006">
        <v>43979</v>
      </c>
      <c r="B1006" t="s">
        <v>10</v>
      </c>
      <c r="C1006" t="s">
        <v>16</v>
      </c>
      <c r="D1006" t="s">
        <v>12</v>
      </c>
      <c r="E1006">
        <v>235</v>
      </c>
      <c r="F1006">
        <v>10127909.939999999</v>
      </c>
      <c r="G1006">
        <v>3632717.19</v>
      </c>
      <c r="H1006">
        <v>6495192.75</v>
      </c>
      <c r="I1006">
        <v>1.91</v>
      </c>
      <c r="J1006">
        <v>4.45</v>
      </c>
    </row>
    <row r="1007" spans="1:10" x14ac:dyDescent="0.25">
      <c r="A1007">
        <v>44289</v>
      </c>
      <c r="B1007" t="s">
        <v>10</v>
      </c>
      <c r="C1007" t="s">
        <v>13</v>
      </c>
      <c r="D1007" t="s">
        <v>12</v>
      </c>
      <c r="E1007">
        <v>263</v>
      </c>
      <c r="F1007">
        <v>15068031.34</v>
      </c>
      <c r="G1007">
        <v>5216065.54</v>
      </c>
      <c r="H1007">
        <v>9851965.8000000007</v>
      </c>
      <c r="I1007">
        <v>1.39</v>
      </c>
      <c r="J1007">
        <v>4.68</v>
      </c>
    </row>
    <row r="1008" spans="1:10" x14ac:dyDescent="0.25">
      <c r="A1008">
        <v>45399</v>
      </c>
      <c r="B1008" t="s">
        <v>10</v>
      </c>
      <c r="C1008" t="s">
        <v>11</v>
      </c>
      <c r="D1008" t="s">
        <v>14</v>
      </c>
      <c r="E1008">
        <v>265</v>
      </c>
      <c r="F1008">
        <v>21302455.739999998</v>
      </c>
      <c r="G1008">
        <v>5133644.6500000004</v>
      </c>
      <c r="H1008">
        <v>16168811.09</v>
      </c>
      <c r="I1008">
        <v>1.96</v>
      </c>
      <c r="J1008">
        <v>4.6500000000000004</v>
      </c>
    </row>
    <row r="1009" spans="1:10" x14ac:dyDescent="0.25">
      <c r="A1009">
        <v>44017</v>
      </c>
      <c r="B1009" t="s">
        <v>10</v>
      </c>
      <c r="C1009" t="s">
        <v>11</v>
      </c>
      <c r="D1009" t="s">
        <v>12</v>
      </c>
      <c r="E1009">
        <v>319</v>
      </c>
      <c r="F1009">
        <v>14372460.9</v>
      </c>
      <c r="G1009">
        <v>3000130.83</v>
      </c>
      <c r="H1009">
        <v>11372330.08</v>
      </c>
      <c r="I1009">
        <v>2.2000000000000002</v>
      </c>
      <c r="J1009">
        <v>4.01</v>
      </c>
    </row>
    <row r="1010" spans="1:10" x14ac:dyDescent="0.25">
      <c r="A1010">
        <v>44861</v>
      </c>
      <c r="B1010" t="s">
        <v>10</v>
      </c>
      <c r="C1010" t="s">
        <v>11</v>
      </c>
      <c r="D1010" t="s">
        <v>12</v>
      </c>
      <c r="E1010">
        <v>193</v>
      </c>
      <c r="F1010">
        <v>11915733.34</v>
      </c>
      <c r="G1010">
        <v>4506497.9000000004</v>
      </c>
      <c r="H1010">
        <v>7409235.4400000004</v>
      </c>
      <c r="I1010">
        <v>1.62</v>
      </c>
      <c r="J1010">
        <v>3.98</v>
      </c>
    </row>
    <row r="1011" spans="1:10" x14ac:dyDescent="0.25">
      <c r="A1011">
        <v>45122</v>
      </c>
      <c r="B1011" t="s">
        <v>10</v>
      </c>
      <c r="C1011" t="s">
        <v>18</v>
      </c>
      <c r="D1011" t="s">
        <v>12</v>
      </c>
      <c r="E1011">
        <v>132</v>
      </c>
      <c r="F1011">
        <v>10976047.6</v>
      </c>
      <c r="G1011">
        <v>3726442.1</v>
      </c>
      <c r="H1011">
        <v>7249605.5</v>
      </c>
      <c r="I1011">
        <v>4.3600000000000003</v>
      </c>
      <c r="J1011">
        <v>4.79</v>
      </c>
    </row>
    <row r="1012" spans="1:10" x14ac:dyDescent="0.25">
      <c r="A1012">
        <v>44119</v>
      </c>
      <c r="B1012" t="s">
        <v>10</v>
      </c>
      <c r="C1012" t="s">
        <v>15</v>
      </c>
      <c r="D1012" t="s">
        <v>17</v>
      </c>
      <c r="E1012">
        <v>83</v>
      </c>
      <c r="F1012">
        <v>4154433.46</v>
      </c>
      <c r="G1012">
        <v>904155.42</v>
      </c>
      <c r="H1012">
        <v>3250278.04</v>
      </c>
      <c r="I1012">
        <v>0.94</v>
      </c>
      <c r="J1012">
        <v>4.78</v>
      </c>
    </row>
    <row r="1013" spans="1:10" x14ac:dyDescent="0.25">
      <c r="A1013">
        <v>44718</v>
      </c>
      <c r="B1013" t="s">
        <v>10</v>
      </c>
      <c r="C1013" t="s">
        <v>15</v>
      </c>
      <c r="D1013" t="s">
        <v>14</v>
      </c>
      <c r="E1013">
        <v>175</v>
      </c>
      <c r="F1013">
        <v>9316812.1699999999</v>
      </c>
      <c r="G1013">
        <v>2793964.17</v>
      </c>
      <c r="H1013">
        <v>6522848</v>
      </c>
      <c r="I1013">
        <v>3.41</v>
      </c>
      <c r="J1013">
        <v>4.2699999999999996</v>
      </c>
    </row>
    <row r="1014" spans="1:10" x14ac:dyDescent="0.25">
      <c r="A1014">
        <v>45129</v>
      </c>
      <c r="B1014" t="s">
        <v>10</v>
      </c>
      <c r="C1014" t="s">
        <v>15</v>
      </c>
      <c r="D1014" t="s">
        <v>14</v>
      </c>
      <c r="E1014">
        <v>164</v>
      </c>
      <c r="F1014">
        <v>8500545.4399999995</v>
      </c>
      <c r="G1014">
        <v>3291947.12</v>
      </c>
      <c r="H1014">
        <v>5208598.32</v>
      </c>
      <c r="I1014">
        <v>1.3</v>
      </c>
      <c r="J1014">
        <v>3.51</v>
      </c>
    </row>
    <row r="1015" spans="1:10" x14ac:dyDescent="0.25">
      <c r="A1015">
        <v>43848</v>
      </c>
      <c r="B1015" t="s">
        <v>10</v>
      </c>
      <c r="C1015" t="s">
        <v>11</v>
      </c>
      <c r="D1015" t="s">
        <v>14</v>
      </c>
      <c r="E1015">
        <v>484</v>
      </c>
      <c r="F1015">
        <v>42292535.350000001</v>
      </c>
      <c r="G1015">
        <v>14135665.699999999</v>
      </c>
      <c r="H1015">
        <v>28156869.649999999</v>
      </c>
      <c r="I1015">
        <v>3.48</v>
      </c>
      <c r="J1015">
        <v>4.63</v>
      </c>
    </row>
    <row r="1016" spans="1:10" x14ac:dyDescent="0.25">
      <c r="A1016">
        <v>44097</v>
      </c>
      <c r="B1016" t="s">
        <v>10</v>
      </c>
      <c r="C1016" t="s">
        <v>11</v>
      </c>
      <c r="D1016" t="s">
        <v>12</v>
      </c>
      <c r="E1016">
        <v>377</v>
      </c>
      <c r="F1016">
        <v>31260402.489999998</v>
      </c>
      <c r="G1016">
        <v>10694553.220000001</v>
      </c>
      <c r="H1016">
        <v>20565849.27</v>
      </c>
      <c r="I1016">
        <v>4.0199999999999996</v>
      </c>
      <c r="J1016">
        <v>4.7</v>
      </c>
    </row>
    <row r="1017" spans="1:10" x14ac:dyDescent="0.25">
      <c r="A1017">
        <v>44415</v>
      </c>
      <c r="B1017" t="s">
        <v>10</v>
      </c>
      <c r="C1017" t="s">
        <v>15</v>
      </c>
      <c r="D1017" t="s">
        <v>14</v>
      </c>
      <c r="E1017">
        <v>158</v>
      </c>
      <c r="F1017">
        <v>11656805.48</v>
      </c>
      <c r="G1017">
        <v>2932904.18</v>
      </c>
      <c r="H1017">
        <v>8723901.3000000007</v>
      </c>
      <c r="I1017">
        <v>3.55</v>
      </c>
      <c r="J1017">
        <v>3.88</v>
      </c>
    </row>
    <row r="1018" spans="1:10" x14ac:dyDescent="0.25">
      <c r="A1018">
        <v>45007</v>
      </c>
      <c r="B1018" t="s">
        <v>10</v>
      </c>
      <c r="C1018" t="s">
        <v>16</v>
      </c>
      <c r="D1018" t="s">
        <v>12</v>
      </c>
      <c r="E1018">
        <v>428</v>
      </c>
      <c r="F1018">
        <v>30006772.59</v>
      </c>
      <c r="G1018">
        <v>10159419.109999999</v>
      </c>
      <c r="H1018">
        <v>19847353.48</v>
      </c>
      <c r="I1018">
        <v>4.37</v>
      </c>
      <c r="J1018">
        <v>4.9400000000000004</v>
      </c>
    </row>
    <row r="1019" spans="1:10" x14ac:dyDescent="0.25">
      <c r="A1019">
        <v>43926</v>
      </c>
      <c r="B1019" t="s">
        <v>10</v>
      </c>
      <c r="C1019" t="s">
        <v>15</v>
      </c>
      <c r="D1019" t="s">
        <v>14</v>
      </c>
      <c r="E1019">
        <v>279</v>
      </c>
      <c r="F1019">
        <v>11117694.869999999</v>
      </c>
      <c r="G1019">
        <v>4014521.72</v>
      </c>
      <c r="H1019">
        <v>7103173.1500000004</v>
      </c>
      <c r="I1019">
        <v>4.1900000000000004</v>
      </c>
      <c r="J1019">
        <v>4.51</v>
      </c>
    </row>
    <row r="1020" spans="1:10" x14ac:dyDescent="0.25">
      <c r="A1020">
        <v>44995</v>
      </c>
      <c r="B1020" t="s">
        <v>10</v>
      </c>
      <c r="C1020" t="s">
        <v>16</v>
      </c>
      <c r="D1020" t="s">
        <v>14</v>
      </c>
      <c r="E1020">
        <v>466</v>
      </c>
      <c r="F1020">
        <v>21159088.16</v>
      </c>
      <c r="G1020">
        <v>5415101.5599999996</v>
      </c>
      <c r="H1020">
        <v>15743986.6</v>
      </c>
      <c r="I1020">
        <v>2.8</v>
      </c>
      <c r="J1020">
        <v>4.41</v>
      </c>
    </row>
    <row r="1021" spans="1:10" x14ac:dyDescent="0.25">
      <c r="A1021">
        <v>44325</v>
      </c>
      <c r="B1021" t="s">
        <v>10</v>
      </c>
      <c r="C1021" t="s">
        <v>18</v>
      </c>
      <c r="D1021" t="s">
        <v>12</v>
      </c>
      <c r="E1021">
        <v>276</v>
      </c>
      <c r="F1021">
        <v>21698696.77</v>
      </c>
      <c r="G1021">
        <v>4421145.93</v>
      </c>
      <c r="H1021">
        <v>17277550.84</v>
      </c>
      <c r="I1021">
        <v>4.7</v>
      </c>
      <c r="J1021">
        <v>4.9000000000000004</v>
      </c>
    </row>
    <row r="1022" spans="1:10" x14ac:dyDescent="0.25">
      <c r="A1022">
        <v>44655</v>
      </c>
      <c r="B1022" t="s">
        <v>10</v>
      </c>
      <c r="C1022" t="s">
        <v>18</v>
      </c>
      <c r="D1022" t="s">
        <v>17</v>
      </c>
      <c r="E1022">
        <v>148</v>
      </c>
      <c r="F1022">
        <v>12008270.439999999</v>
      </c>
      <c r="G1022">
        <v>3191767.11</v>
      </c>
      <c r="H1022">
        <v>8816503.3300000001</v>
      </c>
      <c r="I1022">
        <v>3.64</v>
      </c>
      <c r="J1022">
        <v>4.04</v>
      </c>
    </row>
    <row r="1023" spans="1:10" x14ac:dyDescent="0.25">
      <c r="A1023">
        <v>45398</v>
      </c>
      <c r="B1023" t="s">
        <v>10</v>
      </c>
      <c r="C1023" t="s">
        <v>18</v>
      </c>
      <c r="D1023" t="s">
        <v>12</v>
      </c>
      <c r="E1023">
        <v>322</v>
      </c>
      <c r="F1023">
        <v>16658123.41</v>
      </c>
      <c r="G1023">
        <v>6199331.1399999997</v>
      </c>
      <c r="H1023">
        <v>10458792.27</v>
      </c>
      <c r="I1023">
        <v>3.25</v>
      </c>
      <c r="J1023">
        <v>3.96</v>
      </c>
    </row>
    <row r="1024" spans="1:10" x14ac:dyDescent="0.25">
      <c r="A1024">
        <v>44629</v>
      </c>
      <c r="B1024" t="s">
        <v>10</v>
      </c>
      <c r="C1024" t="s">
        <v>15</v>
      </c>
      <c r="D1024" t="s">
        <v>17</v>
      </c>
      <c r="E1024">
        <v>384</v>
      </c>
      <c r="F1024">
        <v>14937745.060000001</v>
      </c>
      <c r="G1024">
        <v>4930065.1500000004</v>
      </c>
      <c r="H1024">
        <v>10007679.92</v>
      </c>
      <c r="I1024">
        <v>4.38</v>
      </c>
      <c r="J1024">
        <v>3.85</v>
      </c>
    </row>
    <row r="1025" spans="1:10" x14ac:dyDescent="0.25">
      <c r="A1025">
        <v>43939</v>
      </c>
      <c r="B1025" t="s">
        <v>10</v>
      </c>
      <c r="C1025" t="s">
        <v>15</v>
      </c>
      <c r="D1025" t="s">
        <v>17</v>
      </c>
      <c r="E1025">
        <v>128</v>
      </c>
      <c r="F1025">
        <v>6231494.1900000004</v>
      </c>
      <c r="G1025">
        <v>1318511.6100000001</v>
      </c>
      <c r="H1025">
        <v>4912982.58</v>
      </c>
      <c r="I1025">
        <v>1.84</v>
      </c>
      <c r="J1025">
        <v>4.66</v>
      </c>
    </row>
    <row r="1026" spans="1:10" x14ac:dyDescent="0.25">
      <c r="A1026">
        <v>44167</v>
      </c>
      <c r="B1026" t="s">
        <v>10</v>
      </c>
      <c r="C1026" t="s">
        <v>13</v>
      </c>
      <c r="D1026" t="s">
        <v>12</v>
      </c>
      <c r="E1026">
        <v>401</v>
      </c>
      <c r="F1026">
        <v>26884874.789999999</v>
      </c>
      <c r="G1026">
        <v>5401310.3300000001</v>
      </c>
      <c r="H1026">
        <v>21483564.460000001</v>
      </c>
      <c r="I1026">
        <v>4.5999999999999996</v>
      </c>
      <c r="J1026">
        <v>3.83</v>
      </c>
    </row>
    <row r="1027" spans="1:10" x14ac:dyDescent="0.25">
      <c r="A1027">
        <v>44844</v>
      </c>
      <c r="B1027" t="s">
        <v>10</v>
      </c>
      <c r="C1027" t="s">
        <v>16</v>
      </c>
      <c r="D1027" t="s">
        <v>14</v>
      </c>
      <c r="E1027">
        <v>83</v>
      </c>
      <c r="F1027">
        <v>4590106.72</v>
      </c>
      <c r="G1027">
        <v>1508132.5</v>
      </c>
      <c r="H1027">
        <v>3081974.22</v>
      </c>
      <c r="I1027">
        <v>2.0499999999999998</v>
      </c>
      <c r="J1027">
        <v>4.28</v>
      </c>
    </row>
    <row r="1028" spans="1:10" x14ac:dyDescent="0.25">
      <c r="A1028">
        <v>45520</v>
      </c>
      <c r="B1028" t="s">
        <v>10</v>
      </c>
      <c r="C1028" t="s">
        <v>16</v>
      </c>
      <c r="D1028" t="s">
        <v>14</v>
      </c>
      <c r="E1028">
        <v>464</v>
      </c>
      <c r="F1028">
        <v>19350583.870000001</v>
      </c>
      <c r="G1028">
        <v>6130801.5999999996</v>
      </c>
      <c r="H1028">
        <v>13219782.26</v>
      </c>
      <c r="I1028">
        <v>0.78</v>
      </c>
      <c r="J1028">
        <v>4.0999999999999996</v>
      </c>
    </row>
    <row r="1029" spans="1:10" x14ac:dyDescent="0.25">
      <c r="A1029">
        <v>45456</v>
      </c>
      <c r="B1029" t="s">
        <v>10</v>
      </c>
      <c r="C1029" t="s">
        <v>13</v>
      </c>
      <c r="D1029" t="s">
        <v>17</v>
      </c>
      <c r="E1029">
        <v>435</v>
      </c>
      <c r="F1029">
        <v>16980235.309999999</v>
      </c>
      <c r="G1029">
        <v>4540018.25</v>
      </c>
      <c r="H1029">
        <v>12440217.060000001</v>
      </c>
      <c r="I1029">
        <v>3.18</v>
      </c>
      <c r="J1029">
        <v>4.12</v>
      </c>
    </row>
    <row r="1030" spans="1:10" x14ac:dyDescent="0.25">
      <c r="A1030">
        <v>44741</v>
      </c>
      <c r="B1030" t="s">
        <v>10</v>
      </c>
      <c r="C1030" t="s">
        <v>18</v>
      </c>
      <c r="D1030" t="s">
        <v>14</v>
      </c>
      <c r="E1030">
        <v>134</v>
      </c>
      <c r="F1030">
        <v>7716927.1399999997</v>
      </c>
      <c r="G1030">
        <v>1824862.85</v>
      </c>
      <c r="H1030">
        <v>5892064.29</v>
      </c>
      <c r="I1030">
        <v>4.53</v>
      </c>
      <c r="J1030">
        <v>4.78</v>
      </c>
    </row>
    <row r="1031" spans="1:10" x14ac:dyDescent="0.25">
      <c r="A1031">
        <v>44957</v>
      </c>
      <c r="B1031" t="s">
        <v>10</v>
      </c>
      <c r="C1031" t="s">
        <v>15</v>
      </c>
      <c r="D1031" t="s">
        <v>17</v>
      </c>
      <c r="E1031">
        <v>177</v>
      </c>
      <c r="F1031">
        <v>10273670.75</v>
      </c>
      <c r="G1031">
        <v>3168341.26</v>
      </c>
      <c r="H1031">
        <v>7105329.4900000002</v>
      </c>
      <c r="I1031">
        <v>1.65</v>
      </c>
      <c r="J1031">
        <v>4.63</v>
      </c>
    </row>
    <row r="1032" spans="1:10" x14ac:dyDescent="0.25">
      <c r="A1032">
        <v>44699</v>
      </c>
      <c r="B1032" t="s">
        <v>10</v>
      </c>
      <c r="C1032" t="s">
        <v>16</v>
      </c>
      <c r="D1032" t="s">
        <v>14</v>
      </c>
      <c r="E1032">
        <v>134</v>
      </c>
      <c r="F1032">
        <v>9560085.1600000001</v>
      </c>
      <c r="G1032">
        <v>2396975.52</v>
      </c>
      <c r="H1032">
        <v>7163109.6500000004</v>
      </c>
      <c r="I1032">
        <v>1.9</v>
      </c>
      <c r="J1032">
        <v>4.7699999999999996</v>
      </c>
    </row>
    <row r="1033" spans="1:10" x14ac:dyDescent="0.25">
      <c r="A1033">
        <v>44570</v>
      </c>
      <c r="B1033" t="s">
        <v>10</v>
      </c>
      <c r="C1033" t="s">
        <v>16</v>
      </c>
      <c r="D1033" t="s">
        <v>12</v>
      </c>
      <c r="E1033">
        <v>118</v>
      </c>
      <c r="F1033">
        <v>10105287.189999999</v>
      </c>
      <c r="G1033">
        <v>3344816.03</v>
      </c>
      <c r="H1033">
        <v>6760471.1699999999</v>
      </c>
      <c r="I1033">
        <v>0.75</v>
      </c>
      <c r="J1033">
        <v>3.81</v>
      </c>
    </row>
    <row r="1034" spans="1:10" x14ac:dyDescent="0.25">
      <c r="A1034">
        <v>45359</v>
      </c>
      <c r="B1034" t="s">
        <v>10</v>
      </c>
      <c r="C1034" t="s">
        <v>11</v>
      </c>
      <c r="D1034" t="s">
        <v>14</v>
      </c>
      <c r="E1034">
        <v>246</v>
      </c>
      <c r="F1034">
        <v>20273890.210000001</v>
      </c>
      <c r="G1034">
        <v>7682161.04</v>
      </c>
      <c r="H1034">
        <v>12591729.16</v>
      </c>
      <c r="I1034">
        <v>2.99</v>
      </c>
      <c r="J1034">
        <v>4.2699999999999996</v>
      </c>
    </row>
    <row r="1035" spans="1:10" x14ac:dyDescent="0.25">
      <c r="A1035">
        <v>44964</v>
      </c>
      <c r="B1035" t="s">
        <v>10</v>
      </c>
      <c r="C1035" t="s">
        <v>16</v>
      </c>
      <c r="D1035" t="s">
        <v>12</v>
      </c>
      <c r="E1035">
        <v>263</v>
      </c>
      <c r="F1035">
        <v>19942257.129999999</v>
      </c>
      <c r="G1035">
        <v>7307582.4900000002</v>
      </c>
      <c r="H1035">
        <v>12634674.640000001</v>
      </c>
      <c r="I1035">
        <v>1.04</v>
      </c>
      <c r="J1035">
        <v>3.6</v>
      </c>
    </row>
    <row r="1036" spans="1:10" x14ac:dyDescent="0.25">
      <c r="A1036">
        <v>44985</v>
      </c>
      <c r="B1036" t="s">
        <v>10</v>
      </c>
      <c r="C1036" t="s">
        <v>11</v>
      </c>
      <c r="D1036" t="s">
        <v>12</v>
      </c>
      <c r="E1036">
        <v>67</v>
      </c>
      <c r="F1036">
        <v>5008461.25</v>
      </c>
      <c r="G1036">
        <v>1771150.88</v>
      </c>
      <c r="H1036">
        <v>3237310.38</v>
      </c>
      <c r="I1036">
        <v>3.68</v>
      </c>
      <c r="J1036">
        <v>3.96</v>
      </c>
    </row>
    <row r="1037" spans="1:10" x14ac:dyDescent="0.25">
      <c r="A1037">
        <v>45132</v>
      </c>
      <c r="B1037" t="s">
        <v>10</v>
      </c>
      <c r="C1037" t="s">
        <v>15</v>
      </c>
      <c r="D1037" t="s">
        <v>17</v>
      </c>
      <c r="E1037">
        <v>174</v>
      </c>
      <c r="F1037">
        <v>9428321.3499999996</v>
      </c>
      <c r="G1037">
        <v>3064534.57</v>
      </c>
      <c r="H1037">
        <v>6363786.7800000003</v>
      </c>
      <c r="I1037">
        <v>3.3</v>
      </c>
      <c r="J1037">
        <v>4.58</v>
      </c>
    </row>
    <row r="1038" spans="1:10" x14ac:dyDescent="0.25">
      <c r="A1038">
        <v>44756</v>
      </c>
      <c r="B1038" t="s">
        <v>10</v>
      </c>
      <c r="C1038" t="s">
        <v>11</v>
      </c>
      <c r="D1038" t="s">
        <v>12</v>
      </c>
      <c r="E1038">
        <v>154</v>
      </c>
      <c r="F1038">
        <v>11737240.27</v>
      </c>
      <c r="G1038">
        <v>2540312.31</v>
      </c>
      <c r="H1038">
        <v>9196927.9600000009</v>
      </c>
      <c r="I1038">
        <v>0.99</v>
      </c>
      <c r="J1038">
        <v>3.85</v>
      </c>
    </row>
    <row r="1039" spans="1:10" x14ac:dyDescent="0.25">
      <c r="A1039">
        <v>44677</v>
      </c>
      <c r="B1039" t="s">
        <v>10</v>
      </c>
      <c r="C1039" t="s">
        <v>13</v>
      </c>
      <c r="D1039" t="s">
        <v>17</v>
      </c>
      <c r="E1039">
        <v>419</v>
      </c>
      <c r="F1039">
        <v>19040676.960000001</v>
      </c>
      <c r="G1039">
        <v>7467914.0300000003</v>
      </c>
      <c r="H1039">
        <v>11572762.93</v>
      </c>
      <c r="I1039">
        <v>2.2599999999999998</v>
      </c>
      <c r="J1039">
        <v>4.7</v>
      </c>
    </row>
    <row r="1040" spans="1:10" x14ac:dyDescent="0.25">
      <c r="A1040">
        <v>44373</v>
      </c>
      <c r="B1040" t="s">
        <v>10</v>
      </c>
      <c r="C1040" t="s">
        <v>11</v>
      </c>
      <c r="D1040" t="s">
        <v>17</v>
      </c>
      <c r="E1040">
        <v>162</v>
      </c>
      <c r="F1040">
        <v>9627674.1600000001</v>
      </c>
      <c r="G1040">
        <v>2550203.7999999998</v>
      </c>
      <c r="H1040">
        <v>7077470.3600000003</v>
      </c>
      <c r="I1040">
        <v>2.79</v>
      </c>
      <c r="J1040">
        <v>4.79</v>
      </c>
    </row>
    <row r="1041" spans="1:10" x14ac:dyDescent="0.25">
      <c r="A1041">
        <v>44733</v>
      </c>
      <c r="B1041" t="s">
        <v>10</v>
      </c>
      <c r="C1041" t="s">
        <v>13</v>
      </c>
      <c r="D1041" t="s">
        <v>17</v>
      </c>
      <c r="E1041">
        <v>456</v>
      </c>
      <c r="F1041">
        <v>32803420.59</v>
      </c>
      <c r="G1041">
        <v>12913246.99</v>
      </c>
      <c r="H1041">
        <v>19890173.600000001</v>
      </c>
      <c r="I1041">
        <v>2.91</v>
      </c>
      <c r="J1041">
        <v>3.56</v>
      </c>
    </row>
    <row r="1042" spans="1:10" x14ac:dyDescent="0.25">
      <c r="A1042">
        <v>44046</v>
      </c>
      <c r="B1042" t="s">
        <v>10</v>
      </c>
      <c r="C1042" t="s">
        <v>16</v>
      </c>
      <c r="D1042" t="s">
        <v>17</v>
      </c>
      <c r="E1042">
        <v>120</v>
      </c>
      <c r="F1042">
        <v>7389331.7000000002</v>
      </c>
      <c r="G1042">
        <v>1497232.38</v>
      </c>
      <c r="H1042">
        <v>5892099.3200000003</v>
      </c>
      <c r="I1042">
        <v>3.9</v>
      </c>
      <c r="J1042">
        <v>3.87</v>
      </c>
    </row>
    <row r="1043" spans="1:10" x14ac:dyDescent="0.25">
      <c r="A1043">
        <v>45336</v>
      </c>
      <c r="B1043" t="s">
        <v>10</v>
      </c>
      <c r="C1043" t="s">
        <v>16</v>
      </c>
      <c r="D1043" t="s">
        <v>17</v>
      </c>
      <c r="E1043">
        <v>242</v>
      </c>
      <c r="F1043">
        <v>20269348.629999999</v>
      </c>
      <c r="G1043">
        <v>6491694.71</v>
      </c>
      <c r="H1043">
        <v>13777653.92</v>
      </c>
      <c r="I1043">
        <v>4.38</v>
      </c>
      <c r="J1043">
        <v>3.9</v>
      </c>
    </row>
    <row r="1044" spans="1:10" x14ac:dyDescent="0.25">
      <c r="A1044">
        <v>45073</v>
      </c>
      <c r="B1044" t="s">
        <v>10</v>
      </c>
      <c r="C1044" t="s">
        <v>16</v>
      </c>
      <c r="D1044" t="s">
        <v>17</v>
      </c>
      <c r="E1044">
        <v>383</v>
      </c>
      <c r="F1044">
        <v>31494809.52</v>
      </c>
      <c r="G1044">
        <v>10545209.65</v>
      </c>
      <c r="H1044">
        <v>20949599.870000001</v>
      </c>
      <c r="I1044">
        <v>4.79</v>
      </c>
      <c r="J1044">
        <v>3.68</v>
      </c>
    </row>
    <row r="1045" spans="1:10" x14ac:dyDescent="0.25">
      <c r="A1045">
        <v>45132</v>
      </c>
      <c r="B1045" t="s">
        <v>10</v>
      </c>
      <c r="C1045" t="s">
        <v>16</v>
      </c>
      <c r="D1045" t="s">
        <v>17</v>
      </c>
      <c r="E1045">
        <v>247</v>
      </c>
      <c r="F1045">
        <v>13227636.32</v>
      </c>
      <c r="G1045">
        <v>3101818.03</v>
      </c>
      <c r="H1045">
        <v>10125818.289999999</v>
      </c>
      <c r="I1045">
        <v>0.5</v>
      </c>
      <c r="J1045">
        <v>3.96</v>
      </c>
    </row>
    <row r="1046" spans="1:10" x14ac:dyDescent="0.25">
      <c r="A1046">
        <v>45093</v>
      </c>
      <c r="B1046" t="s">
        <v>10</v>
      </c>
      <c r="C1046" t="s">
        <v>16</v>
      </c>
      <c r="D1046" t="s">
        <v>12</v>
      </c>
      <c r="E1046">
        <v>290</v>
      </c>
      <c r="F1046">
        <v>12335483.52</v>
      </c>
      <c r="G1046">
        <v>3607920.15</v>
      </c>
      <c r="H1046">
        <v>8727563.3699999992</v>
      </c>
      <c r="I1046">
        <v>1.33</v>
      </c>
      <c r="J1046">
        <v>4.1399999999999997</v>
      </c>
    </row>
    <row r="1047" spans="1:10" x14ac:dyDescent="0.25">
      <c r="A1047">
        <v>44348</v>
      </c>
      <c r="B1047" t="s">
        <v>10</v>
      </c>
      <c r="C1047" t="s">
        <v>13</v>
      </c>
      <c r="D1047" t="s">
        <v>17</v>
      </c>
      <c r="E1047">
        <v>234</v>
      </c>
      <c r="F1047">
        <v>11939817.01</v>
      </c>
      <c r="G1047">
        <v>3779203.34</v>
      </c>
      <c r="H1047">
        <v>8160613.6699999999</v>
      </c>
      <c r="I1047">
        <v>2.2000000000000002</v>
      </c>
      <c r="J1047">
        <v>4.8099999999999996</v>
      </c>
    </row>
    <row r="1048" spans="1:10" x14ac:dyDescent="0.25">
      <c r="A1048">
        <v>45098</v>
      </c>
      <c r="B1048" t="s">
        <v>10</v>
      </c>
      <c r="C1048" t="s">
        <v>11</v>
      </c>
      <c r="D1048" t="s">
        <v>17</v>
      </c>
      <c r="E1048">
        <v>261</v>
      </c>
      <c r="F1048">
        <v>20731911.34</v>
      </c>
      <c r="G1048">
        <v>5235181.0199999996</v>
      </c>
      <c r="H1048">
        <v>15496730.32</v>
      </c>
      <c r="I1048">
        <v>2.92</v>
      </c>
      <c r="J1048">
        <v>4.76</v>
      </c>
    </row>
    <row r="1049" spans="1:10" x14ac:dyDescent="0.25">
      <c r="A1049">
        <v>45508</v>
      </c>
      <c r="B1049" t="s">
        <v>10</v>
      </c>
      <c r="C1049" t="s">
        <v>13</v>
      </c>
      <c r="D1049" t="s">
        <v>17</v>
      </c>
      <c r="E1049">
        <v>207</v>
      </c>
      <c r="F1049">
        <v>7930683.7699999996</v>
      </c>
      <c r="G1049">
        <v>2700159.46</v>
      </c>
      <c r="H1049">
        <v>5230524.3099999996</v>
      </c>
      <c r="I1049">
        <v>1.84</v>
      </c>
      <c r="J1049">
        <v>3.98</v>
      </c>
    </row>
    <row r="1050" spans="1:10" x14ac:dyDescent="0.25">
      <c r="A1050">
        <v>44873</v>
      </c>
      <c r="B1050" t="s">
        <v>10</v>
      </c>
      <c r="C1050" t="s">
        <v>15</v>
      </c>
      <c r="D1050" t="s">
        <v>17</v>
      </c>
      <c r="E1050">
        <v>256</v>
      </c>
      <c r="F1050">
        <v>19986912.949999999</v>
      </c>
      <c r="G1050">
        <v>7505094.3600000003</v>
      </c>
      <c r="H1050">
        <v>12481818.59</v>
      </c>
      <c r="I1050">
        <v>3.36</v>
      </c>
      <c r="J1050">
        <v>3.69</v>
      </c>
    </row>
    <row r="1051" spans="1:10" x14ac:dyDescent="0.25">
      <c r="A1051">
        <v>44904</v>
      </c>
      <c r="B1051" t="s">
        <v>10</v>
      </c>
      <c r="C1051" t="s">
        <v>16</v>
      </c>
      <c r="D1051" t="s">
        <v>17</v>
      </c>
      <c r="E1051">
        <v>477</v>
      </c>
      <c r="F1051">
        <v>17239586.969999999</v>
      </c>
      <c r="G1051">
        <v>4272362.79</v>
      </c>
      <c r="H1051">
        <v>12967224.18</v>
      </c>
      <c r="I1051">
        <v>0.69</v>
      </c>
      <c r="J1051">
        <v>4.8</v>
      </c>
    </row>
    <row r="1052" spans="1:10" x14ac:dyDescent="0.25">
      <c r="A1052">
        <v>45239</v>
      </c>
      <c r="B1052" t="s">
        <v>10</v>
      </c>
      <c r="C1052" t="s">
        <v>13</v>
      </c>
      <c r="D1052" t="s">
        <v>17</v>
      </c>
      <c r="E1052">
        <v>247</v>
      </c>
      <c r="F1052">
        <v>9702680.8200000003</v>
      </c>
      <c r="G1052">
        <v>2026990.56</v>
      </c>
      <c r="H1052">
        <v>7675690.2599999998</v>
      </c>
      <c r="I1052">
        <v>1.61</v>
      </c>
      <c r="J1052">
        <v>4.79</v>
      </c>
    </row>
    <row r="1053" spans="1:10" x14ac:dyDescent="0.25">
      <c r="A1053">
        <v>45570</v>
      </c>
      <c r="B1053" t="s">
        <v>10</v>
      </c>
      <c r="C1053" t="s">
        <v>11</v>
      </c>
      <c r="D1053" t="s">
        <v>14</v>
      </c>
      <c r="E1053">
        <v>428</v>
      </c>
      <c r="F1053">
        <v>35081815.450000003</v>
      </c>
      <c r="G1053">
        <v>13939908.02</v>
      </c>
      <c r="H1053">
        <v>21141907.420000002</v>
      </c>
      <c r="I1053">
        <v>2.8</v>
      </c>
      <c r="J1053">
        <v>4.6500000000000004</v>
      </c>
    </row>
    <row r="1054" spans="1:10" x14ac:dyDescent="0.25">
      <c r="A1054">
        <v>43937</v>
      </c>
      <c r="B1054" t="s">
        <v>10</v>
      </c>
      <c r="C1054" t="s">
        <v>13</v>
      </c>
      <c r="D1054" t="s">
        <v>17</v>
      </c>
      <c r="E1054">
        <v>123</v>
      </c>
      <c r="F1054">
        <v>7704180.1200000001</v>
      </c>
      <c r="G1054">
        <v>3059512.92</v>
      </c>
      <c r="H1054">
        <v>4644667.2</v>
      </c>
      <c r="I1054">
        <v>4.1100000000000003</v>
      </c>
      <c r="J1054">
        <v>4.97</v>
      </c>
    </row>
    <row r="1055" spans="1:10" x14ac:dyDescent="0.25">
      <c r="A1055">
        <v>43878</v>
      </c>
      <c r="B1055" t="s">
        <v>10</v>
      </c>
      <c r="C1055" t="s">
        <v>18</v>
      </c>
      <c r="D1055" t="s">
        <v>14</v>
      </c>
      <c r="E1055">
        <v>230</v>
      </c>
      <c r="F1055">
        <v>11644931.34</v>
      </c>
      <c r="G1055">
        <v>3984968.81</v>
      </c>
      <c r="H1055">
        <v>7659962.5300000003</v>
      </c>
      <c r="I1055">
        <v>2.2000000000000002</v>
      </c>
      <c r="J1055">
        <v>4.09</v>
      </c>
    </row>
    <row r="1056" spans="1:10" x14ac:dyDescent="0.25">
      <c r="A1056">
        <v>44408</v>
      </c>
      <c r="B1056" t="s">
        <v>10</v>
      </c>
      <c r="C1056" t="s">
        <v>18</v>
      </c>
      <c r="D1056" t="s">
        <v>14</v>
      </c>
      <c r="E1056">
        <v>127</v>
      </c>
      <c r="F1056">
        <v>7556488.71</v>
      </c>
      <c r="G1056">
        <v>2127572.62</v>
      </c>
      <c r="H1056">
        <v>5428916.0899999999</v>
      </c>
      <c r="I1056">
        <v>3.65</v>
      </c>
      <c r="J1056">
        <v>3.79</v>
      </c>
    </row>
    <row r="1057" spans="1:10" x14ac:dyDescent="0.25">
      <c r="A1057">
        <v>43854</v>
      </c>
      <c r="B1057" t="s">
        <v>10</v>
      </c>
      <c r="C1057" t="s">
        <v>15</v>
      </c>
      <c r="D1057" t="s">
        <v>17</v>
      </c>
      <c r="E1057">
        <v>130</v>
      </c>
      <c r="F1057">
        <v>8148917.6799999997</v>
      </c>
      <c r="G1057">
        <v>1961541.36</v>
      </c>
      <c r="H1057">
        <v>6187376.3300000001</v>
      </c>
      <c r="I1057">
        <v>3.83</v>
      </c>
      <c r="J1057">
        <v>4.47</v>
      </c>
    </row>
    <row r="1058" spans="1:10" x14ac:dyDescent="0.25">
      <c r="A1058">
        <v>44289</v>
      </c>
      <c r="B1058" t="s">
        <v>10</v>
      </c>
      <c r="C1058" t="s">
        <v>11</v>
      </c>
      <c r="D1058" t="s">
        <v>12</v>
      </c>
      <c r="E1058">
        <v>487</v>
      </c>
      <c r="F1058">
        <v>20211587.309999999</v>
      </c>
      <c r="G1058">
        <v>6461654.1200000001</v>
      </c>
      <c r="H1058">
        <v>13749933.189999999</v>
      </c>
      <c r="I1058">
        <v>4.07</v>
      </c>
      <c r="J1058">
        <v>3.83</v>
      </c>
    </row>
    <row r="1059" spans="1:10" x14ac:dyDescent="0.25">
      <c r="A1059">
        <v>45042</v>
      </c>
      <c r="B1059" t="s">
        <v>10</v>
      </c>
      <c r="C1059" t="s">
        <v>15</v>
      </c>
      <c r="D1059" t="s">
        <v>12</v>
      </c>
      <c r="E1059">
        <v>146</v>
      </c>
      <c r="F1059">
        <v>5429685.8600000003</v>
      </c>
      <c r="G1059">
        <v>1874340.48</v>
      </c>
      <c r="H1059">
        <v>3555345.38</v>
      </c>
      <c r="I1059">
        <v>4.8</v>
      </c>
      <c r="J1059">
        <v>4.93</v>
      </c>
    </row>
    <row r="1060" spans="1:10" x14ac:dyDescent="0.25">
      <c r="A1060">
        <v>44454</v>
      </c>
      <c r="B1060" t="s">
        <v>10</v>
      </c>
      <c r="C1060" t="s">
        <v>16</v>
      </c>
      <c r="D1060" t="s">
        <v>17</v>
      </c>
      <c r="E1060">
        <v>331</v>
      </c>
      <c r="F1060">
        <v>24960369.52</v>
      </c>
      <c r="G1060">
        <v>6491710.21</v>
      </c>
      <c r="H1060">
        <v>18468659.309999999</v>
      </c>
      <c r="I1060">
        <v>4.34</v>
      </c>
      <c r="J1060">
        <v>3.67</v>
      </c>
    </row>
    <row r="1061" spans="1:10" x14ac:dyDescent="0.25">
      <c r="A1061">
        <v>45639</v>
      </c>
      <c r="B1061" t="s">
        <v>10</v>
      </c>
      <c r="C1061" t="s">
        <v>18</v>
      </c>
      <c r="D1061" t="s">
        <v>12</v>
      </c>
      <c r="E1061">
        <v>118</v>
      </c>
      <c r="F1061">
        <v>5046381.92</v>
      </c>
      <c r="G1061">
        <v>1247954.26</v>
      </c>
      <c r="H1061">
        <v>3798427.66</v>
      </c>
      <c r="I1061">
        <v>0.99</v>
      </c>
      <c r="J1061">
        <v>4.97</v>
      </c>
    </row>
    <row r="1062" spans="1:10" x14ac:dyDescent="0.25">
      <c r="A1062">
        <v>44659</v>
      </c>
      <c r="B1062" t="s">
        <v>10</v>
      </c>
      <c r="C1062" t="s">
        <v>18</v>
      </c>
      <c r="D1062" t="s">
        <v>14</v>
      </c>
      <c r="E1062">
        <v>168</v>
      </c>
      <c r="F1062">
        <v>10294337.25</v>
      </c>
      <c r="G1062">
        <v>3133269.06</v>
      </c>
      <c r="H1062">
        <v>7161068.1900000004</v>
      </c>
      <c r="I1062">
        <v>3.96</v>
      </c>
      <c r="J1062">
        <v>4.4400000000000004</v>
      </c>
    </row>
    <row r="1063" spans="1:10" x14ac:dyDescent="0.25">
      <c r="A1063">
        <v>45468</v>
      </c>
      <c r="B1063" t="s">
        <v>10</v>
      </c>
      <c r="C1063" t="s">
        <v>11</v>
      </c>
      <c r="D1063" t="s">
        <v>17</v>
      </c>
      <c r="E1063">
        <v>462</v>
      </c>
      <c r="F1063">
        <v>19880394.100000001</v>
      </c>
      <c r="G1063">
        <v>4222340.68</v>
      </c>
      <c r="H1063">
        <v>15658053.42</v>
      </c>
      <c r="I1063">
        <v>4.63</v>
      </c>
      <c r="J1063">
        <v>4.83</v>
      </c>
    </row>
    <row r="1064" spans="1:10" x14ac:dyDescent="0.25">
      <c r="A1064">
        <v>44851</v>
      </c>
      <c r="B1064" t="s">
        <v>10</v>
      </c>
      <c r="C1064" t="s">
        <v>13</v>
      </c>
      <c r="D1064" t="s">
        <v>14</v>
      </c>
      <c r="E1064">
        <v>81</v>
      </c>
      <c r="F1064">
        <v>5938181.0499999998</v>
      </c>
      <c r="G1064">
        <v>1277809.8799999999</v>
      </c>
      <c r="H1064">
        <v>4660371.17</v>
      </c>
      <c r="I1064">
        <v>4.1900000000000004</v>
      </c>
      <c r="J1064">
        <v>4.34</v>
      </c>
    </row>
    <row r="1065" spans="1:10" x14ac:dyDescent="0.25">
      <c r="A1065">
        <v>44970</v>
      </c>
      <c r="B1065" t="s">
        <v>10</v>
      </c>
      <c r="C1065" t="s">
        <v>16</v>
      </c>
      <c r="D1065" t="s">
        <v>14</v>
      </c>
      <c r="E1065">
        <v>229</v>
      </c>
      <c r="F1065">
        <v>16020952.83</v>
      </c>
      <c r="G1065">
        <v>5267824.59</v>
      </c>
      <c r="H1065">
        <v>10753128.24</v>
      </c>
      <c r="I1065">
        <v>1.17</v>
      </c>
      <c r="J1065">
        <v>4.3899999999999997</v>
      </c>
    </row>
    <row r="1066" spans="1:10" x14ac:dyDescent="0.25">
      <c r="A1066">
        <v>44516</v>
      </c>
      <c r="B1066" t="s">
        <v>10</v>
      </c>
      <c r="C1066" t="s">
        <v>15</v>
      </c>
      <c r="D1066" t="s">
        <v>17</v>
      </c>
      <c r="E1066">
        <v>277</v>
      </c>
      <c r="F1066">
        <v>18103750.460000001</v>
      </c>
      <c r="G1066">
        <v>6365864.5199999996</v>
      </c>
      <c r="H1066">
        <v>11737885.939999999</v>
      </c>
      <c r="I1066">
        <v>2.42</v>
      </c>
      <c r="J1066">
        <v>4.95</v>
      </c>
    </row>
    <row r="1067" spans="1:10" x14ac:dyDescent="0.25">
      <c r="A1067">
        <v>44630</v>
      </c>
      <c r="B1067" t="s">
        <v>10</v>
      </c>
      <c r="C1067" t="s">
        <v>18</v>
      </c>
      <c r="D1067" t="s">
        <v>17</v>
      </c>
      <c r="E1067">
        <v>219</v>
      </c>
      <c r="F1067">
        <v>14463142.359999999</v>
      </c>
      <c r="G1067">
        <v>3086560.05</v>
      </c>
      <c r="H1067">
        <v>11376582.310000001</v>
      </c>
      <c r="I1067">
        <v>3.14</v>
      </c>
      <c r="J1067">
        <v>4.29</v>
      </c>
    </row>
    <row r="1068" spans="1:10" x14ac:dyDescent="0.25">
      <c r="A1068">
        <v>44181</v>
      </c>
      <c r="B1068" t="s">
        <v>10</v>
      </c>
      <c r="C1068" t="s">
        <v>15</v>
      </c>
      <c r="D1068" t="s">
        <v>12</v>
      </c>
      <c r="E1068">
        <v>111</v>
      </c>
      <c r="F1068">
        <v>8915505.6600000001</v>
      </c>
      <c r="G1068">
        <v>3202293.33</v>
      </c>
      <c r="H1068">
        <v>5713212.3399999999</v>
      </c>
      <c r="I1068">
        <v>2.61</v>
      </c>
      <c r="J1068">
        <v>4.7</v>
      </c>
    </row>
    <row r="1069" spans="1:10" x14ac:dyDescent="0.25">
      <c r="A1069">
        <v>44973</v>
      </c>
      <c r="B1069" t="s">
        <v>10</v>
      </c>
      <c r="C1069" t="s">
        <v>13</v>
      </c>
      <c r="D1069" t="s">
        <v>17</v>
      </c>
      <c r="E1069">
        <v>179</v>
      </c>
      <c r="F1069">
        <v>9988620.3499999996</v>
      </c>
      <c r="G1069">
        <v>2962038.5</v>
      </c>
      <c r="H1069">
        <v>7026581.8499999996</v>
      </c>
      <c r="I1069">
        <v>2.36</v>
      </c>
      <c r="J1069">
        <v>3.8</v>
      </c>
    </row>
    <row r="1070" spans="1:10" x14ac:dyDescent="0.25">
      <c r="A1070">
        <v>44318</v>
      </c>
      <c r="B1070" t="s">
        <v>10</v>
      </c>
      <c r="C1070" t="s">
        <v>18</v>
      </c>
      <c r="D1070" t="s">
        <v>12</v>
      </c>
      <c r="E1070">
        <v>493</v>
      </c>
      <c r="F1070">
        <v>17942327.399999999</v>
      </c>
      <c r="G1070">
        <v>4700721.5199999996</v>
      </c>
      <c r="H1070">
        <v>13241605.880000001</v>
      </c>
      <c r="I1070">
        <v>1.92</v>
      </c>
      <c r="J1070">
        <v>3.58</v>
      </c>
    </row>
    <row r="1071" spans="1:10" x14ac:dyDescent="0.25">
      <c r="A1071">
        <v>45048</v>
      </c>
      <c r="B1071" t="s">
        <v>10</v>
      </c>
      <c r="C1071" t="s">
        <v>16</v>
      </c>
      <c r="D1071" t="s">
        <v>14</v>
      </c>
      <c r="E1071">
        <v>150</v>
      </c>
      <c r="F1071">
        <v>8223250.8300000001</v>
      </c>
      <c r="G1071">
        <v>3146098.66</v>
      </c>
      <c r="H1071">
        <v>5077152.17</v>
      </c>
      <c r="I1071">
        <v>1.41</v>
      </c>
      <c r="J1071">
        <v>4.32</v>
      </c>
    </row>
    <row r="1072" spans="1:10" x14ac:dyDescent="0.25">
      <c r="A1072">
        <v>45081</v>
      </c>
      <c r="B1072" t="s">
        <v>10</v>
      </c>
      <c r="C1072" t="s">
        <v>16</v>
      </c>
      <c r="D1072" t="s">
        <v>12</v>
      </c>
      <c r="E1072">
        <v>415</v>
      </c>
      <c r="F1072">
        <v>21326330.399999999</v>
      </c>
      <c r="G1072">
        <v>8147684.0099999998</v>
      </c>
      <c r="H1072">
        <v>13178646.390000001</v>
      </c>
      <c r="I1072">
        <v>4.5999999999999996</v>
      </c>
      <c r="J1072">
        <v>3.51</v>
      </c>
    </row>
    <row r="1073" spans="1:10" x14ac:dyDescent="0.25">
      <c r="A1073">
        <v>45204</v>
      </c>
      <c r="B1073" t="s">
        <v>10</v>
      </c>
      <c r="C1073" t="s">
        <v>16</v>
      </c>
      <c r="D1073" t="s">
        <v>14</v>
      </c>
      <c r="E1073">
        <v>426</v>
      </c>
      <c r="F1073">
        <v>20663251.170000002</v>
      </c>
      <c r="G1073">
        <v>4908240.49</v>
      </c>
      <c r="H1073">
        <v>15755010.68</v>
      </c>
      <c r="I1073">
        <v>2.04</v>
      </c>
      <c r="J1073">
        <v>3.67</v>
      </c>
    </row>
    <row r="1074" spans="1:10" x14ac:dyDescent="0.25">
      <c r="A1074">
        <v>45411</v>
      </c>
      <c r="B1074" t="s">
        <v>10</v>
      </c>
      <c r="C1074" t="s">
        <v>18</v>
      </c>
      <c r="D1074" t="s">
        <v>12</v>
      </c>
      <c r="E1074">
        <v>355</v>
      </c>
      <c r="F1074">
        <v>31282876.039999999</v>
      </c>
      <c r="G1074">
        <v>11225582.42</v>
      </c>
      <c r="H1074">
        <v>20057293.620000001</v>
      </c>
      <c r="I1074">
        <v>3.84</v>
      </c>
      <c r="J1074">
        <v>4.32</v>
      </c>
    </row>
    <row r="1075" spans="1:10" x14ac:dyDescent="0.25">
      <c r="A1075">
        <v>45088</v>
      </c>
      <c r="B1075" t="s">
        <v>10</v>
      </c>
      <c r="C1075" t="s">
        <v>13</v>
      </c>
      <c r="D1075" t="s">
        <v>14</v>
      </c>
      <c r="E1075">
        <v>232</v>
      </c>
      <c r="F1075">
        <v>11723014.65</v>
      </c>
      <c r="G1075">
        <v>4499401.49</v>
      </c>
      <c r="H1075">
        <v>7223613.1600000001</v>
      </c>
      <c r="I1075">
        <v>4.4400000000000004</v>
      </c>
      <c r="J1075">
        <v>4.59</v>
      </c>
    </row>
    <row r="1076" spans="1:10" x14ac:dyDescent="0.25">
      <c r="A1076">
        <v>45391</v>
      </c>
      <c r="B1076" t="s">
        <v>10</v>
      </c>
      <c r="C1076" t="s">
        <v>15</v>
      </c>
      <c r="D1076" t="s">
        <v>17</v>
      </c>
      <c r="E1076">
        <v>261</v>
      </c>
      <c r="F1076">
        <v>22291201.760000002</v>
      </c>
      <c r="G1076">
        <v>7454899.2199999997</v>
      </c>
      <c r="H1076">
        <v>14836302.550000001</v>
      </c>
      <c r="I1076">
        <v>2.17</v>
      </c>
      <c r="J1076">
        <v>4.6399999999999997</v>
      </c>
    </row>
    <row r="1077" spans="1:10" x14ac:dyDescent="0.25">
      <c r="A1077">
        <v>43985</v>
      </c>
      <c r="B1077" t="s">
        <v>10</v>
      </c>
      <c r="C1077" t="s">
        <v>18</v>
      </c>
      <c r="D1077" t="s">
        <v>12</v>
      </c>
      <c r="E1077">
        <v>272</v>
      </c>
      <c r="F1077">
        <v>9577403.6999999993</v>
      </c>
      <c r="G1077">
        <v>2869374.44</v>
      </c>
      <c r="H1077">
        <v>6708029.25</v>
      </c>
      <c r="I1077">
        <v>3.12</v>
      </c>
      <c r="J1077">
        <v>4.37</v>
      </c>
    </row>
    <row r="1078" spans="1:10" x14ac:dyDescent="0.25">
      <c r="A1078">
        <v>45392</v>
      </c>
      <c r="B1078" t="s">
        <v>10</v>
      </c>
      <c r="C1078" t="s">
        <v>16</v>
      </c>
      <c r="D1078" t="s">
        <v>14</v>
      </c>
      <c r="E1078">
        <v>157</v>
      </c>
      <c r="F1078">
        <v>5923347.0199999996</v>
      </c>
      <c r="G1078">
        <v>2064804.5</v>
      </c>
      <c r="H1078">
        <v>3858542.52</v>
      </c>
      <c r="I1078">
        <v>2.59</v>
      </c>
      <c r="J1078">
        <v>3.84</v>
      </c>
    </row>
    <row r="1079" spans="1:10" x14ac:dyDescent="0.25">
      <c r="A1079">
        <v>44414</v>
      </c>
      <c r="B1079" t="s">
        <v>10</v>
      </c>
      <c r="C1079" t="s">
        <v>15</v>
      </c>
      <c r="D1079" t="s">
        <v>12</v>
      </c>
      <c r="E1079">
        <v>68</v>
      </c>
      <c r="F1079">
        <v>2705788.74</v>
      </c>
      <c r="G1079">
        <v>818563.63</v>
      </c>
      <c r="H1079">
        <v>1887225.11</v>
      </c>
      <c r="I1079">
        <v>3.61</v>
      </c>
      <c r="J1079">
        <v>3.89</v>
      </c>
    </row>
    <row r="1080" spans="1:10" x14ac:dyDescent="0.25">
      <c r="A1080">
        <v>45197</v>
      </c>
      <c r="B1080" t="s">
        <v>10</v>
      </c>
      <c r="C1080" t="s">
        <v>13</v>
      </c>
      <c r="D1080" t="s">
        <v>12</v>
      </c>
      <c r="E1080">
        <v>482</v>
      </c>
      <c r="F1080">
        <v>28663037.989999998</v>
      </c>
      <c r="G1080">
        <v>8661692.6199999992</v>
      </c>
      <c r="H1080">
        <v>20001345.370000001</v>
      </c>
      <c r="I1080">
        <v>2.08</v>
      </c>
      <c r="J1080">
        <v>4.8600000000000003</v>
      </c>
    </row>
    <row r="1081" spans="1:10" x14ac:dyDescent="0.25">
      <c r="A1081">
        <v>44267</v>
      </c>
      <c r="B1081" t="s">
        <v>10</v>
      </c>
      <c r="C1081" t="s">
        <v>18</v>
      </c>
      <c r="D1081" t="s">
        <v>14</v>
      </c>
      <c r="E1081">
        <v>322</v>
      </c>
      <c r="F1081">
        <v>16569398.800000001</v>
      </c>
      <c r="G1081">
        <v>5199947</v>
      </c>
      <c r="H1081">
        <v>11369451.800000001</v>
      </c>
      <c r="I1081">
        <v>1.9</v>
      </c>
      <c r="J1081">
        <v>4.59</v>
      </c>
    </row>
    <row r="1082" spans="1:10" x14ac:dyDescent="0.25">
      <c r="A1082">
        <v>45273</v>
      </c>
      <c r="B1082" t="s">
        <v>10</v>
      </c>
      <c r="C1082" t="s">
        <v>16</v>
      </c>
      <c r="D1082" t="s">
        <v>12</v>
      </c>
      <c r="E1082">
        <v>98</v>
      </c>
      <c r="F1082">
        <v>8003262.8600000003</v>
      </c>
      <c r="G1082">
        <v>2619859.5299999998</v>
      </c>
      <c r="H1082">
        <v>5383403.3300000001</v>
      </c>
      <c r="I1082">
        <v>4.07</v>
      </c>
      <c r="J1082">
        <v>4.91</v>
      </c>
    </row>
    <row r="1083" spans="1:10" x14ac:dyDescent="0.25">
      <c r="A1083">
        <v>45117</v>
      </c>
      <c r="B1083" t="s">
        <v>10</v>
      </c>
      <c r="C1083" t="s">
        <v>18</v>
      </c>
      <c r="D1083" t="s">
        <v>14</v>
      </c>
      <c r="E1083">
        <v>312</v>
      </c>
      <c r="F1083">
        <v>16741020.32</v>
      </c>
      <c r="G1083">
        <v>4872991.43</v>
      </c>
      <c r="H1083">
        <v>11868028.890000001</v>
      </c>
      <c r="I1083">
        <v>0.68</v>
      </c>
      <c r="J1083">
        <v>4.62</v>
      </c>
    </row>
    <row r="1084" spans="1:10" x14ac:dyDescent="0.25">
      <c r="A1084">
        <v>44955</v>
      </c>
      <c r="B1084" t="s">
        <v>10</v>
      </c>
      <c r="C1084" t="s">
        <v>15</v>
      </c>
      <c r="D1084" t="s">
        <v>12</v>
      </c>
      <c r="E1084">
        <v>178</v>
      </c>
      <c r="F1084">
        <v>6731869.2699999996</v>
      </c>
      <c r="G1084">
        <v>2151672</v>
      </c>
      <c r="H1084">
        <v>4580197.26</v>
      </c>
      <c r="I1084">
        <v>3.53</v>
      </c>
      <c r="J1084">
        <v>4.18</v>
      </c>
    </row>
    <row r="1085" spans="1:10" x14ac:dyDescent="0.25">
      <c r="A1085">
        <v>45026</v>
      </c>
      <c r="B1085" t="s">
        <v>10</v>
      </c>
      <c r="C1085" t="s">
        <v>18</v>
      </c>
      <c r="D1085" t="s">
        <v>17</v>
      </c>
      <c r="E1085">
        <v>206</v>
      </c>
      <c r="F1085">
        <v>12469430.74</v>
      </c>
      <c r="G1085">
        <v>3443547.23</v>
      </c>
      <c r="H1085">
        <v>9025883.5099999998</v>
      </c>
      <c r="I1085">
        <v>2.66</v>
      </c>
      <c r="J1085">
        <v>4.49</v>
      </c>
    </row>
    <row r="1086" spans="1:10" x14ac:dyDescent="0.25">
      <c r="A1086">
        <v>43838</v>
      </c>
      <c r="B1086" t="s">
        <v>10</v>
      </c>
      <c r="C1086" t="s">
        <v>16</v>
      </c>
      <c r="D1086" t="s">
        <v>12</v>
      </c>
      <c r="E1086">
        <v>383</v>
      </c>
      <c r="F1086">
        <v>24900085.579999998</v>
      </c>
      <c r="G1086">
        <v>8943790.0899999999</v>
      </c>
      <c r="H1086">
        <v>15956295.5</v>
      </c>
      <c r="I1086">
        <v>1.81</v>
      </c>
      <c r="J1086">
        <v>4.62</v>
      </c>
    </row>
    <row r="1087" spans="1:10" x14ac:dyDescent="0.25">
      <c r="A1087">
        <v>45296</v>
      </c>
      <c r="B1087" t="s">
        <v>10</v>
      </c>
      <c r="C1087" t="s">
        <v>16</v>
      </c>
      <c r="D1087" t="s">
        <v>17</v>
      </c>
      <c r="E1087">
        <v>350</v>
      </c>
      <c r="F1087">
        <v>19574276.300000001</v>
      </c>
      <c r="G1087">
        <v>7414244.21</v>
      </c>
      <c r="H1087">
        <v>12160032.08</v>
      </c>
      <c r="I1087">
        <v>2.89</v>
      </c>
      <c r="J1087">
        <v>4.09</v>
      </c>
    </row>
    <row r="1088" spans="1:10" x14ac:dyDescent="0.25">
      <c r="A1088">
        <v>44822</v>
      </c>
      <c r="B1088" t="s">
        <v>10</v>
      </c>
      <c r="C1088" t="s">
        <v>16</v>
      </c>
      <c r="D1088" t="s">
        <v>14</v>
      </c>
      <c r="E1088">
        <v>51</v>
      </c>
      <c r="F1088">
        <v>2983029.65</v>
      </c>
      <c r="G1088">
        <v>909764.18</v>
      </c>
      <c r="H1088">
        <v>2073265.47</v>
      </c>
      <c r="I1088">
        <v>4.54</v>
      </c>
      <c r="J1088">
        <v>4.29</v>
      </c>
    </row>
    <row r="1089" spans="1:10" x14ac:dyDescent="0.25">
      <c r="A1089">
        <v>44420</v>
      </c>
      <c r="B1089" t="s">
        <v>10</v>
      </c>
      <c r="C1089" t="s">
        <v>16</v>
      </c>
      <c r="D1089" t="s">
        <v>14</v>
      </c>
      <c r="E1089">
        <v>318</v>
      </c>
      <c r="F1089">
        <v>21943906.07</v>
      </c>
      <c r="G1089">
        <v>5790240.2999999998</v>
      </c>
      <c r="H1089">
        <v>16153665.77</v>
      </c>
      <c r="I1089">
        <v>3.5</v>
      </c>
      <c r="J1089">
        <v>4.2699999999999996</v>
      </c>
    </row>
    <row r="1090" spans="1:10" x14ac:dyDescent="0.25">
      <c r="A1090">
        <v>45020</v>
      </c>
      <c r="B1090" t="s">
        <v>10</v>
      </c>
      <c r="C1090" t="s">
        <v>11</v>
      </c>
      <c r="D1090" t="s">
        <v>14</v>
      </c>
      <c r="E1090">
        <v>353</v>
      </c>
      <c r="F1090">
        <v>12373316.41</v>
      </c>
      <c r="G1090">
        <v>4852158.78</v>
      </c>
      <c r="H1090">
        <v>7521157.6299999999</v>
      </c>
      <c r="I1090">
        <v>4.9000000000000004</v>
      </c>
      <c r="J1090">
        <v>3.86</v>
      </c>
    </row>
    <row r="1091" spans="1:10" x14ac:dyDescent="0.25">
      <c r="A1091">
        <v>45598</v>
      </c>
      <c r="B1091" t="s">
        <v>10</v>
      </c>
      <c r="C1091" t="s">
        <v>13</v>
      </c>
      <c r="D1091" t="s">
        <v>17</v>
      </c>
      <c r="E1091">
        <v>328</v>
      </c>
      <c r="F1091">
        <v>18474020.59</v>
      </c>
      <c r="G1091">
        <v>6878364.8399999999</v>
      </c>
      <c r="H1091">
        <v>11595655.75</v>
      </c>
      <c r="I1091">
        <v>3.82</v>
      </c>
      <c r="J1091">
        <v>4.79</v>
      </c>
    </row>
    <row r="1092" spans="1:10" x14ac:dyDescent="0.25">
      <c r="A1092">
        <v>45509</v>
      </c>
      <c r="B1092" t="s">
        <v>10</v>
      </c>
      <c r="C1092" t="s">
        <v>15</v>
      </c>
      <c r="D1092" t="s">
        <v>12</v>
      </c>
      <c r="E1092">
        <v>95</v>
      </c>
      <c r="F1092">
        <v>6461313.6200000001</v>
      </c>
      <c r="G1092">
        <v>1639557.57</v>
      </c>
      <c r="H1092">
        <v>4821756.05</v>
      </c>
      <c r="I1092">
        <v>3.96</v>
      </c>
      <c r="J1092">
        <v>4.96</v>
      </c>
    </row>
    <row r="1093" spans="1:10" x14ac:dyDescent="0.25">
      <c r="A1093">
        <v>44463</v>
      </c>
      <c r="B1093" t="s">
        <v>10</v>
      </c>
      <c r="C1093" t="s">
        <v>18</v>
      </c>
      <c r="D1093" t="s">
        <v>17</v>
      </c>
      <c r="E1093">
        <v>321</v>
      </c>
      <c r="F1093">
        <v>16697682.890000001</v>
      </c>
      <c r="G1093">
        <v>3550847.24</v>
      </c>
      <c r="H1093">
        <v>13146835.65</v>
      </c>
      <c r="I1093">
        <v>2.82</v>
      </c>
      <c r="J1093">
        <v>4.25</v>
      </c>
    </row>
    <row r="1094" spans="1:10" x14ac:dyDescent="0.25">
      <c r="A1094">
        <v>45132</v>
      </c>
      <c r="B1094" t="s">
        <v>10</v>
      </c>
      <c r="C1094" t="s">
        <v>13</v>
      </c>
      <c r="D1094" t="s">
        <v>17</v>
      </c>
      <c r="E1094">
        <v>405</v>
      </c>
      <c r="F1094">
        <v>16834212.030000001</v>
      </c>
      <c r="G1094">
        <v>5629889.6399999997</v>
      </c>
      <c r="H1094">
        <v>11204322.390000001</v>
      </c>
      <c r="I1094">
        <v>4.17</v>
      </c>
      <c r="J1094">
        <v>4.4000000000000004</v>
      </c>
    </row>
    <row r="1095" spans="1:10" x14ac:dyDescent="0.25">
      <c r="A1095">
        <v>44471</v>
      </c>
      <c r="B1095" t="s">
        <v>10</v>
      </c>
      <c r="C1095" t="s">
        <v>11</v>
      </c>
      <c r="D1095" t="s">
        <v>14</v>
      </c>
      <c r="E1095">
        <v>100</v>
      </c>
      <c r="F1095">
        <v>4554549.2</v>
      </c>
      <c r="G1095">
        <v>1315811.74</v>
      </c>
      <c r="H1095">
        <v>3238737.46</v>
      </c>
      <c r="I1095">
        <v>3.13</v>
      </c>
      <c r="J1095">
        <v>3.81</v>
      </c>
    </row>
    <row r="1096" spans="1:10" x14ac:dyDescent="0.25">
      <c r="A1096">
        <v>43949</v>
      </c>
      <c r="B1096" t="s">
        <v>10</v>
      </c>
      <c r="C1096" t="s">
        <v>16</v>
      </c>
      <c r="D1096" t="s">
        <v>14</v>
      </c>
      <c r="E1096">
        <v>102</v>
      </c>
      <c r="F1096">
        <v>4064434.16</v>
      </c>
      <c r="G1096">
        <v>994324.44</v>
      </c>
      <c r="H1096">
        <v>3070109.72</v>
      </c>
      <c r="I1096">
        <v>4.3099999999999996</v>
      </c>
      <c r="J1096">
        <v>3.77</v>
      </c>
    </row>
    <row r="1097" spans="1:10" x14ac:dyDescent="0.25">
      <c r="A1097">
        <v>44713</v>
      </c>
      <c r="B1097" t="s">
        <v>10</v>
      </c>
      <c r="C1097" t="s">
        <v>13</v>
      </c>
      <c r="D1097" t="s">
        <v>17</v>
      </c>
      <c r="E1097">
        <v>241</v>
      </c>
      <c r="F1097">
        <v>19405834.710000001</v>
      </c>
      <c r="G1097">
        <v>4890783.33</v>
      </c>
      <c r="H1097">
        <v>14515051.369999999</v>
      </c>
      <c r="I1097">
        <v>4.05</v>
      </c>
      <c r="J1097">
        <v>3.68</v>
      </c>
    </row>
    <row r="1098" spans="1:10" x14ac:dyDescent="0.25">
      <c r="A1098">
        <v>45474</v>
      </c>
      <c r="B1098" t="s">
        <v>10</v>
      </c>
      <c r="C1098" t="s">
        <v>15</v>
      </c>
      <c r="D1098" t="s">
        <v>14</v>
      </c>
      <c r="E1098">
        <v>436</v>
      </c>
      <c r="F1098">
        <v>19971757.469999999</v>
      </c>
      <c r="G1098">
        <v>7142915.5899999999</v>
      </c>
      <c r="H1098">
        <v>12828841.880000001</v>
      </c>
      <c r="I1098">
        <v>0.69</v>
      </c>
      <c r="J1098">
        <v>3.98</v>
      </c>
    </row>
    <row r="1099" spans="1:10" x14ac:dyDescent="0.25">
      <c r="A1099">
        <v>45113</v>
      </c>
      <c r="B1099" t="s">
        <v>10</v>
      </c>
      <c r="C1099" t="s">
        <v>16</v>
      </c>
      <c r="D1099" t="s">
        <v>17</v>
      </c>
      <c r="E1099">
        <v>316</v>
      </c>
      <c r="F1099">
        <v>23301347.789999999</v>
      </c>
      <c r="G1099">
        <v>4993027.34</v>
      </c>
      <c r="H1099">
        <v>18308320.449999999</v>
      </c>
      <c r="I1099">
        <v>3.82</v>
      </c>
      <c r="J1099">
        <v>3.96</v>
      </c>
    </row>
    <row r="1100" spans="1:10" x14ac:dyDescent="0.25">
      <c r="A1100">
        <v>44824</v>
      </c>
      <c r="B1100" t="s">
        <v>10</v>
      </c>
      <c r="C1100" t="s">
        <v>18</v>
      </c>
      <c r="D1100" t="s">
        <v>17</v>
      </c>
      <c r="E1100">
        <v>63</v>
      </c>
      <c r="F1100">
        <v>4617306.84</v>
      </c>
      <c r="G1100">
        <v>1668814.22</v>
      </c>
      <c r="H1100">
        <v>2948492.62</v>
      </c>
      <c r="I1100">
        <v>0.92</v>
      </c>
      <c r="J1100">
        <v>4.3</v>
      </c>
    </row>
    <row r="1101" spans="1:10" x14ac:dyDescent="0.25">
      <c r="A1101">
        <v>44652</v>
      </c>
      <c r="B1101" t="s">
        <v>10</v>
      </c>
      <c r="C1101" t="s">
        <v>16</v>
      </c>
      <c r="D1101" t="s">
        <v>12</v>
      </c>
      <c r="E1101">
        <v>59</v>
      </c>
      <c r="F1101">
        <v>4421145.34</v>
      </c>
      <c r="G1101">
        <v>1661198.5</v>
      </c>
      <c r="H1101">
        <v>2759946.84</v>
      </c>
      <c r="I1101">
        <v>1.86</v>
      </c>
      <c r="J1101">
        <v>4.3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314974-4954-4B69-88F0-79F8E548E4A9}">
  <dimension ref="A1:J1101"/>
  <sheetViews>
    <sheetView workbookViewId="0"/>
  </sheetViews>
  <sheetFormatPr defaultRowHeight="15" x14ac:dyDescent="0.25"/>
  <cols>
    <col min="1" max="1" width="7.42578125" bestFit="1" customWidth="1"/>
    <col min="2" max="2" width="11.5703125" bestFit="1" customWidth="1"/>
    <col min="4" max="4" width="14" bestFit="1" customWidth="1"/>
    <col min="5" max="5" width="12.85546875" bestFit="1" customWidth="1"/>
    <col min="6" max="7" width="12" bestFit="1" customWidth="1"/>
    <col min="8" max="9" width="18" bestFit="1" customWidth="1"/>
    <col min="10" max="10" width="18.5703125" bestFit="1" customWidth="1"/>
  </cols>
  <sheetData>
    <row r="1" spans="1:10" x14ac:dyDescent="0.25">
      <c r="A1" t="s">
        <v>0</v>
      </c>
      <c r="B1" t="s">
        <v>1</v>
      </c>
      <c r="C1" t="s">
        <v>2</v>
      </c>
      <c r="D1" t="s">
        <v>3</v>
      </c>
      <c r="E1" t="s">
        <v>4</v>
      </c>
      <c r="F1" t="s">
        <v>5</v>
      </c>
      <c r="G1" t="s">
        <v>6</v>
      </c>
      <c r="H1" t="s">
        <v>7</v>
      </c>
      <c r="I1" t="s">
        <v>8</v>
      </c>
      <c r="J1" t="s">
        <v>9</v>
      </c>
    </row>
    <row r="2" spans="1:10" x14ac:dyDescent="0.25">
      <c r="A2">
        <v>45472</v>
      </c>
      <c r="B2" t="s">
        <v>19</v>
      </c>
      <c r="C2" t="s">
        <v>20</v>
      </c>
      <c r="D2" t="s">
        <v>14</v>
      </c>
      <c r="E2">
        <v>152</v>
      </c>
      <c r="F2">
        <v>11979099.369999999</v>
      </c>
      <c r="G2">
        <v>4352163.03</v>
      </c>
      <c r="H2">
        <v>7626936.3399999999</v>
      </c>
      <c r="I2">
        <v>4.01</v>
      </c>
      <c r="J2">
        <v>4.4000000000000004</v>
      </c>
    </row>
    <row r="3" spans="1:10" x14ac:dyDescent="0.25">
      <c r="A3">
        <v>45642</v>
      </c>
      <c r="B3" t="s">
        <v>19</v>
      </c>
      <c r="C3" t="s">
        <v>21</v>
      </c>
      <c r="D3" t="s">
        <v>14</v>
      </c>
      <c r="E3">
        <v>171</v>
      </c>
      <c r="F3">
        <v>7452128.46</v>
      </c>
      <c r="G3">
        <v>2894282.08</v>
      </c>
      <c r="H3">
        <v>4557846.3899999997</v>
      </c>
      <c r="I3">
        <v>4.4000000000000004</v>
      </c>
      <c r="J3">
        <v>4.4000000000000004</v>
      </c>
    </row>
    <row r="4" spans="1:10" x14ac:dyDescent="0.25">
      <c r="A4">
        <v>44445</v>
      </c>
      <c r="B4" t="s">
        <v>19</v>
      </c>
      <c r="C4" t="s">
        <v>22</v>
      </c>
      <c r="D4" t="s">
        <v>17</v>
      </c>
      <c r="E4">
        <v>201</v>
      </c>
      <c r="F4">
        <v>14230572.07</v>
      </c>
      <c r="G4">
        <v>5531675.0199999996</v>
      </c>
      <c r="H4">
        <v>8698897.0500000007</v>
      </c>
      <c r="I4">
        <v>3.75</v>
      </c>
      <c r="J4">
        <v>4.91</v>
      </c>
    </row>
    <row r="5" spans="1:10" x14ac:dyDescent="0.25">
      <c r="A5">
        <v>43848</v>
      </c>
      <c r="B5" t="s">
        <v>19</v>
      </c>
      <c r="C5" t="s">
        <v>21</v>
      </c>
      <c r="D5" t="s">
        <v>14</v>
      </c>
      <c r="E5">
        <v>435</v>
      </c>
      <c r="F5">
        <v>19575162.34</v>
      </c>
      <c r="G5">
        <v>7112030.3300000001</v>
      </c>
      <c r="H5">
        <v>12463132.02</v>
      </c>
      <c r="I5">
        <v>1.87</v>
      </c>
      <c r="J5">
        <v>4.29</v>
      </c>
    </row>
    <row r="6" spans="1:10" x14ac:dyDescent="0.25">
      <c r="A6">
        <v>45334</v>
      </c>
      <c r="B6" t="s">
        <v>19</v>
      </c>
      <c r="C6" t="s">
        <v>21</v>
      </c>
      <c r="D6" t="s">
        <v>17</v>
      </c>
      <c r="E6">
        <v>285</v>
      </c>
      <c r="F6">
        <v>10336503.51</v>
      </c>
      <c r="G6">
        <v>3049734.38</v>
      </c>
      <c r="H6">
        <v>7286769.1299999999</v>
      </c>
      <c r="I6">
        <v>2.2999999999999998</v>
      </c>
      <c r="J6">
        <v>3.57</v>
      </c>
    </row>
    <row r="7" spans="1:10" x14ac:dyDescent="0.25">
      <c r="A7">
        <v>44846</v>
      </c>
      <c r="B7" t="s">
        <v>19</v>
      </c>
      <c r="C7" t="s">
        <v>20</v>
      </c>
      <c r="D7" t="s">
        <v>17</v>
      </c>
      <c r="E7">
        <v>237</v>
      </c>
      <c r="F7">
        <v>13070526.630000001</v>
      </c>
      <c r="G7">
        <v>4035995.68</v>
      </c>
      <c r="H7">
        <v>9034530.9499999993</v>
      </c>
      <c r="I7">
        <v>4.03</v>
      </c>
      <c r="J7">
        <v>3.8</v>
      </c>
    </row>
    <row r="8" spans="1:10" x14ac:dyDescent="0.25">
      <c r="A8">
        <v>44509</v>
      </c>
      <c r="B8" t="s">
        <v>19</v>
      </c>
      <c r="C8" t="s">
        <v>22</v>
      </c>
      <c r="D8" t="s">
        <v>12</v>
      </c>
      <c r="E8">
        <v>104</v>
      </c>
      <c r="F8">
        <v>9264080.6699999999</v>
      </c>
      <c r="G8">
        <v>2840806.45</v>
      </c>
      <c r="H8">
        <v>6423274.2199999997</v>
      </c>
      <c r="I8">
        <v>4.37</v>
      </c>
      <c r="J8">
        <v>4.5199999999999996</v>
      </c>
    </row>
    <row r="9" spans="1:10" x14ac:dyDescent="0.25">
      <c r="A9">
        <v>45158</v>
      </c>
      <c r="B9" t="s">
        <v>19</v>
      </c>
      <c r="C9" t="s">
        <v>20</v>
      </c>
      <c r="D9" t="s">
        <v>17</v>
      </c>
      <c r="E9">
        <v>378</v>
      </c>
      <c r="F9">
        <v>14582422.619999999</v>
      </c>
      <c r="G9">
        <v>3065559.06</v>
      </c>
      <c r="H9">
        <v>11516863.550000001</v>
      </c>
      <c r="I9">
        <v>4.8499999999999996</v>
      </c>
      <c r="J9">
        <v>4.71</v>
      </c>
    </row>
    <row r="10" spans="1:10" x14ac:dyDescent="0.25">
      <c r="A10">
        <v>45253</v>
      </c>
      <c r="B10" t="s">
        <v>19</v>
      </c>
      <c r="C10" t="s">
        <v>20</v>
      </c>
      <c r="D10" t="s">
        <v>12</v>
      </c>
      <c r="E10">
        <v>314</v>
      </c>
      <c r="F10">
        <v>11265737.18</v>
      </c>
      <c r="G10">
        <v>3986057.04</v>
      </c>
      <c r="H10">
        <v>7279680.1399999997</v>
      </c>
      <c r="I10">
        <v>1.58</v>
      </c>
      <c r="J10">
        <v>4.5199999999999996</v>
      </c>
    </row>
    <row r="11" spans="1:10" x14ac:dyDescent="0.25">
      <c r="A11">
        <v>44233</v>
      </c>
      <c r="B11" t="s">
        <v>19</v>
      </c>
      <c r="C11" t="s">
        <v>21</v>
      </c>
      <c r="D11" t="s">
        <v>12</v>
      </c>
      <c r="E11">
        <v>477</v>
      </c>
      <c r="F11">
        <v>29685966.239999998</v>
      </c>
      <c r="G11">
        <v>11670215.199999999</v>
      </c>
      <c r="H11">
        <v>18015751.039999999</v>
      </c>
      <c r="I11">
        <v>4.59</v>
      </c>
      <c r="J11">
        <v>3.89</v>
      </c>
    </row>
    <row r="12" spans="1:10" x14ac:dyDescent="0.25">
      <c r="A12">
        <v>43939</v>
      </c>
      <c r="B12" t="s">
        <v>19</v>
      </c>
      <c r="C12" t="s">
        <v>22</v>
      </c>
      <c r="D12" t="s">
        <v>17</v>
      </c>
      <c r="E12">
        <v>409</v>
      </c>
      <c r="F12">
        <v>31306854.93</v>
      </c>
      <c r="G12">
        <v>9860683.3100000005</v>
      </c>
      <c r="H12">
        <v>21446171.609999999</v>
      </c>
      <c r="I12">
        <v>1.44</v>
      </c>
      <c r="J12">
        <v>4.3499999999999996</v>
      </c>
    </row>
    <row r="13" spans="1:10" x14ac:dyDescent="0.25">
      <c r="A13">
        <v>43901</v>
      </c>
      <c r="B13" t="s">
        <v>19</v>
      </c>
      <c r="C13" t="s">
        <v>23</v>
      </c>
      <c r="D13" t="s">
        <v>12</v>
      </c>
      <c r="E13">
        <v>240</v>
      </c>
      <c r="F13">
        <v>19518159.02</v>
      </c>
      <c r="G13">
        <v>6051589.0700000003</v>
      </c>
      <c r="H13">
        <v>13466569.949999999</v>
      </c>
      <c r="I13">
        <v>2.2799999999999998</v>
      </c>
      <c r="J13">
        <v>4.8899999999999997</v>
      </c>
    </row>
    <row r="14" spans="1:10" x14ac:dyDescent="0.25">
      <c r="A14">
        <v>45615</v>
      </c>
      <c r="B14" t="s">
        <v>19</v>
      </c>
      <c r="C14" t="s">
        <v>22</v>
      </c>
      <c r="D14" t="s">
        <v>17</v>
      </c>
      <c r="E14">
        <v>400</v>
      </c>
      <c r="F14">
        <v>34281233.170000002</v>
      </c>
      <c r="G14">
        <v>13105766.85</v>
      </c>
      <c r="H14">
        <v>21175466.32</v>
      </c>
      <c r="I14">
        <v>1.38</v>
      </c>
      <c r="J14">
        <v>3.57</v>
      </c>
    </row>
    <row r="15" spans="1:10" x14ac:dyDescent="0.25">
      <c r="A15">
        <v>45645</v>
      </c>
      <c r="B15" t="s">
        <v>19</v>
      </c>
      <c r="C15" t="s">
        <v>24</v>
      </c>
      <c r="D15" t="s">
        <v>17</v>
      </c>
      <c r="E15">
        <v>345</v>
      </c>
      <c r="F15">
        <v>28100029.780000001</v>
      </c>
      <c r="G15">
        <v>7040068.4400000004</v>
      </c>
      <c r="H15">
        <v>21059961.34</v>
      </c>
      <c r="I15">
        <v>2.93</v>
      </c>
      <c r="J15">
        <v>4.38</v>
      </c>
    </row>
    <row r="16" spans="1:10" x14ac:dyDescent="0.25">
      <c r="A16">
        <v>44409</v>
      </c>
      <c r="B16" t="s">
        <v>19</v>
      </c>
      <c r="C16" t="s">
        <v>22</v>
      </c>
      <c r="D16" t="s">
        <v>17</v>
      </c>
      <c r="E16">
        <v>266</v>
      </c>
      <c r="F16">
        <v>13420071.880000001</v>
      </c>
      <c r="G16">
        <v>3911424.66</v>
      </c>
      <c r="H16">
        <v>9508647.2100000009</v>
      </c>
      <c r="I16">
        <v>1.1299999999999999</v>
      </c>
      <c r="J16">
        <v>4.7</v>
      </c>
    </row>
    <row r="17" spans="1:10" x14ac:dyDescent="0.25">
      <c r="A17">
        <v>45115</v>
      </c>
      <c r="B17" t="s">
        <v>19</v>
      </c>
      <c r="C17" t="s">
        <v>22</v>
      </c>
      <c r="D17" t="s">
        <v>14</v>
      </c>
      <c r="E17">
        <v>114</v>
      </c>
      <c r="F17">
        <v>4088040.27</v>
      </c>
      <c r="G17">
        <v>1289039.6499999999</v>
      </c>
      <c r="H17">
        <v>2799000.62</v>
      </c>
      <c r="I17">
        <v>2.2799999999999998</v>
      </c>
      <c r="J17">
        <v>3.94</v>
      </c>
    </row>
    <row r="18" spans="1:10" x14ac:dyDescent="0.25">
      <c r="A18">
        <v>44887</v>
      </c>
      <c r="B18" t="s">
        <v>19</v>
      </c>
      <c r="C18" t="s">
        <v>20</v>
      </c>
      <c r="D18" t="s">
        <v>14</v>
      </c>
      <c r="E18">
        <v>112</v>
      </c>
      <c r="F18">
        <v>8943242.4000000004</v>
      </c>
      <c r="G18">
        <v>2312977.65</v>
      </c>
      <c r="H18">
        <v>6630264.75</v>
      </c>
      <c r="I18">
        <v>3.78</v>
      </c>
      <c r="J18">
        <v>4.66</v>
      </c>
    </row>
    <row r="19" spans="1:10" x14ac:dyDescent="0.25">
      <c r="A19">
        <v>44468</v>
      </c>
      <c r="B19" t="s">
        <v>19</v>
      </c>
      <c r="C19" t="s">
        <v>24</v>
      </c>
      <c r="D19" t="s">
        <v>14</v>
      </c>
      <c r="E19">
        <v>310</v>
      </c>
      <c r="F19">
        <v>26643429.98</v>
      </c>
      <c r="G19">
        <v>7187986.96</v>
      </c>
      <c r="H19">
        <v>19455443.02</v>
      </c>
      <c r="I19">
        <v>4.62</v>
      </c>
      <c r="J19">
        <v>4.78</v>
      </c>
    </row>
    <row r="20" spans="1:10" x14ac:dyDescent="0.25">
      <c r="A20">
        <v>44146</v>
      </c>
      <c r="B20" t="s">
        <v>19</v>
      </c>
      <c r="C20" t="s">
        <v>23</v>
      </c>
      <c r="D20" t="s">
        <v>14</v>
      </c>
      <c r="E20">
        <v>317</v>
      </c>
      <c r="F20">
        <v>16864207.059999999</v>
      </c>
      <c r="G20">
        <v>6531310.5899999999</v>
      </c>
      <c r="H20">
        <v>10332896.470000001</v>
      </c>
      <c r="I20">
        <v>1.9</v>
      </c>
      <c r="J20">
        <v>3.99</v>
      </c>
    </row>
    <row r="21" spans="1:10" x14ac:dyDescent="0.25">
      <c r="A21">
        <v>44666</v>
      </c>
      <c r="B21" t="s">
        <v>19</v>
      </c>
      <c r="C21" t="s">
        <v>21</v>
      </c>
      <c r="D21" t="s">
        <v>12</v>
      </c>
      <c r="E21">
        <v>148</v>
      </c>
      <c r="F21">
        <v>9993163.9900000002</v>
      </c>
      <c r="G21">
        <v>3448197.61</v>
      </c>
      <c r="H21">
        <v>6544966.3799999999</v>
      </c>
      <c r="I21">
        <v>3.03</v>
      </c>
      <c r="J21">
        <v>4.07</v>
      </c>
    </row>
    <row r="22" spans="1:10" x14ac:dyDescent="0.25">
      <c r="A22">
        <v>44723</v>
      </c>
      <c r="B22" t="s">
        <v>19</v>
      </c>
      <c r="C22" t="s">
        <v>24</v>
      </c>
      <c r="D22" t="s">
        <v>12</v>
      </c>
      <c r="E22">
        <v>480</v>
      </c>
      <c r="F22">
        <v>35629662.380000003</v>
      </c>
      <c r="G22">
        <v>8830562.0700000003</v>
      </c>
      <c r="H22">
        <v>26799100.32</v>
      </c>
      <c r="I22">
        <v>3.03</v>
      </c>
      <c r="J22">
        <v>4.66</v>
      </c>
    </row>
    <row r="23" spans="1:10" x14ac:dyDescent="0.25">
      <c r="A23">
        <v>45570</v>
      </c>
      <c r="B23" t="s">
        <v>19</v>
      </c>
      <c r="C23" t="s">
        <v>22</v>
      </c>
      <c r="D23" t="s">
        <v>12</v>
      </c>
      <c r="E23">
        <v>408</v>
      </c>
      <c r="F23">
        <v>15187329.75</v>
      </c>
      <c r="G23">
        <v>3916317.57</v>
      </c>
      <c r="H23">
        <v>11271012.18</v>
      </c>
      <c r="I23">
        <v>1</v>
      </c>
      <c r="J23">
        <v>4.16</v>
      </c>
    </row>
    <row r="24" spans="1:10" x14ac:dyDescent="0.25">
      <c r="A24">
        <v>44819</v>
      </c>
      <c r="B24" t="s">
        <v>19</v>
      </c>
      <c r="C24" t="s">
        <v>23</v>
      </c>
      <c r="D24" t="s">
        <v>12</v>
      </c>
      <c r="E24">
        <v>228</v>
      </c>
      <c r="F24">
        <v>8374121.9900000002</v>
      </c>
      <c r="G24">
        <v>2283773.11</v>
      </c>
      <c r="H24">
        <v>6090348.8799999999</v>
      </c>
      <c r="I24">
        <v>1.91</v>
      </c>
      <c r="J24">
        <v>4.26</v>
      </c>
    </row>
    <row r="25" spans="1:10" x14ac:dyDescent="0.25">
      <c r="A25">
        <v>44606</v>
      </c>
      <c r="B25" t="s">
        <v>19</v>
      </c>
      <c r="C25" t="s">
        <v>23</v>
      </c>
      <c r="D25" t="s">
        <v>12</v>
      </c>
      <c r="E25">
        <v>271</v>
      </c>
      <c r="F25">
        <v>11561735.33</v>
      </c>
      <c r="G25">
        <v>3227071.38</v>
      </c>
      <c r="H25">
        <v>8334663.9500000002</v>
      </c>
      <c r="I25">
        <v>2.93</v>
      </c>
      <c r="J25">
        <v>3.8</v>
      </c>
    </row>
    <row r="26" spans="1:10" x14ac:dyDescent="0.25">
      <c r="A26">
        <v>44954</v>
      </c>
      <c r="B26" t="s">
        <v>19</v>
      </c>
      <c r="C26" t="s">
        <v>22</v>
      </c>
      <c r="D26" t="s">
        <v>12</v>
      </c>
      <c r="E26">
        <v>62</v>
      </c>
      <c r="F26">
        <v>2432501.4900000002</v>
      </c>
      <c r="G26">
        <v>832036.43</v>
      </c>
      <c r="H26">
        <v>1600465.06</v>
      </c>
      <c r="I26">
        <v>1.23</v>
      </c>
      <c r="J26">
        <v>4.8899999999999997</v>
      </c>
    </row>
    <row r="27" spans="1:10" x14ac:dyDescent="0.25">
      <c r="A27">
        <v>45455</v>
      </c>
      <c r="B27" t="s">
        <v>19</v>
      </c>
      <c r="C27" t="s">
        <v>20</v>
      </c>
      <c r="D27" t="s">
        <v>17</v>
      </c>
      <c r="E27">
        <v>94</v>
      </c>
      <c r="F27">
        <v>4818426.16</v>
      </c>
      <c r="G27">
        <v>1825707.2</v>
      </c>
      <c r="H27">
        <v>2992718.95</v>
      </c>
      <c r="I27">
        <v>2.5499999999999998</v>
      </c>
      <c r="J27">
        <v>3.83</v>
      </c>
    </row>
    <row r="28" spans="1:10" x14ac:dyDescent="0.25">
      <c r="A28">
        <v>43848</v>
      </c>
      <c r="B28" t="s">
        <v>19</v>
      </c>
      <c r="C28" t="s">
        <v>23</v>
      </c>
      <c r="D28" t="s">
        <v>14</v>
      </c>
      <c r="E28">
        <v>389</v>
      </c>
      <c r="F28">
        <v>32711299.77</v>
      </c>
      <c r="G28">
        <v>9556002.7599999998</v>
      </c>
      <c r="H28">
        <v>23155297.010000002</v>
      </c>
      <c r="I28">
        <v>4.13</v>
      </c>
      <c r="J28">
        <v>4.84</v>
      </c>
    </row>
    <row r="29" spans="1:10" x14ac:dyDescent="0.25">
      <c r="A29">
        <v>44773</v>
      </c>
      <c r="B29" t="s">
        <v>19</v>
      </c>
      <c r="C29" t="s">
        <v>21</v>
      </c>
      <c r="D29" t="s">
        <v>12</v>
      </c>
      <c r="E29">
        <v>280</v>
      </c>
      <c r="F29">
        <v>23765158</v>
      </c>
      <c r="G29">
        <v>8212610.0199999996</v>
      </c>
      <c r="H29">
        <v>15552547.98</v>
      </c>
      <c r="I29">
        <v>3.41</v>
      </c>
      <c r="J29">
        <v>3.5</v>
      </c>
    </row>
    <row r="30" spans="1:10" x14ac:dyDescent="0.25">
      <c r="A30">
        <v>44146</v>
      </c>
      <c r="B30" t="s">
        <v>19</v>
      </c>
      <c r="C30" t="s">
        <v>24</v>
      </c>
      <c r="D30" t="s">
        <v>14</v>
      </c>
      <c r="E30">
        <v>282</v>
      </c>
      <c r="F30">
        <v>14597157.310000001</v>
      </c>
      <c r="G30">
        <v>5358161.45</v>
      </c>
      <c r="H30">
        <v>9238995.8699999992</v>
      </c>
      <c r="I30">
        <v>2.9</v>
      </c>
      <c r="J30">
        <v>4.2300000000000004</v>
      </c>
    </row>
    <row r="31" spans="1:10" x14ac:dyDescent="0.25">
      <c r="A31">
        <v>45651</v>
      </c>
      <c r="B31" t="s">
        <v>19</v>
      </c>
      <c r="C31" t="s">
        <v>21</v>
      </c>
      <c r="D31" t="s">
        <v>12</v>
      </c>
      <c r="E31">
        <v>274</v>
      </c>
      <c r="F31">
        <v>11396371.09</v>
      </c>
      <c r="G31">
        <v>3789030.88</v>
      </c>
      <c r="H31">
        <v>7607340.21</v>
      </c>
      <c r="I31">
        <v>4.74</v>
      </c>
      <c r="J31">
        <v>3.98</v>
      </c>
    </row>
    <row r="32" spans="1:10" x14ac:dyDescent="0.25">
      <c r="A32">
        <v>45143</v>
      </c>
      <c r="B32" t="s">
        <v>19</v>
      </c>
      <c r="C32" t="s">
        <v>23</v>
      </c>
      <c r="D32" t="s">
        <v>17</v>
      </c>
      <c r="E32">
        <v>145</v>
      </c>
      <c r="F32">
        <v>9525863.4700000007</v>
      </c>
      <c r="G32">
        <v>3040967.74</v>
      </c>
      <c r="H32">
        <v>6484895.7300000004</v>
      </c>
      <c r="I32">
        <v>0.79</v>
      </c>
      <c r="J32">
        <v>3.88</v>
      </c>
    </row>
    <row r="33" spans="1:10" x14ac:dyDescent="0.25">
      <c r="A33">
        <v>45124</v>
      </c>
      <c r="B33" t="s">
        <v>19</v>
      </c>
      <c r="C33" t="s">
        <v>23</v>
      </c>
      <c r="D33" t="s">
        <v>14</v>
      </c>
      <c r="E33">
        <v>317</v>
      </c>
      <c r="F33">
        <v>15484824.33</v>
      </c>
      <c r="G33">
        <v>4653968.58</v>
      </c>
      <c r="H33">
        <v>10830855.75</v>
      </c>
      <c r="I33">
        <v>1.85</v>
      </c>
      <c r="J33">
        <v>3.93</v>
      </c>
    </row>
    <row r="34" spans="1:10" x14ac:dyDescent="0.25">
      <c r="A34">
        <v>43925</v>
      </c>
      <c r="B34" t="s">
        <v>19</v>
      </c>
      <c r="C34" t="s">
        <v>23</v>
      </c>
      <c r="D34" t="s">
        <v>12</v>
      </c>
      <c r="E34">
        <v>130</v>
      </c>
      <c r="F34">
        <v>6457484.25</v>
      </c>
      <c r="G34">
        <v>1321698.56</v>
      </c>
      <c r="H34">
        <v>5135785.6900000004</v>
      </c>
      <c r="I34">
        <v>2.35</v>
      </c>
      <c r="J34">
        <v>3.55</v>
      </c>
    </row>
    <row r="35" spans="1:10" x14ac:dyDescent="0.25">
      <c r="A35">
        <v>44307</v>
      </c>
      <c r="B35" t="s">
        <v>19</v>
      </c>
      <c r="C35" t="s">
        <v>20</v>
      </c>
      <c r="D35" t="s">
        <v>14</v>
      </c>
      <c r="E35">
        <v>273</v>
      </c>
      <c r="F35">
        <v>23192612.280000001</v>
      </c>
      <c r="G35">
        <v>8165831.7000000002</v>
      </c>
      <c r="H35">
        <v>15026780.58</v>
      </c>
      <c r="I35">
        <v>1.1499999999999999</v>
      </c>
      <c r="J35">
        <v>4.2300000000000004</v>
      </c>
    </row>
    <row r="36" spans="1:10" x14ac:dyDescent="0.25">
      <c r="A36">
        <v>44426</v>
      </c>
      <c r="B36" t="s">
        <v>19</v>
      </c>
      <c r="C36" t="s">
        <v>20</v>
      </c>
      <c r="D36" t="s">
        <v>14</v>
      </c>
      <c r="E36">
        <v>209</v>
      </c>
      <c r="F36">
        <v>13670506.060000001</v>
      </c>
      <c r="G36">
        <v>3847709.59</v>
      </c>
      <c r="H36">
        <v>9822796.4700000007</v>
      </c>
      <c r="I36">
        <v>0.86</v>
      </c>
      <c r="J36">
        <v>4.05</v>
      </c>
    </row>
    <row r="37" spans="1:10" x14ac:dyDescent="0.25">
      <c r="A37">
        <v>44323</v>
      </c>
      <c r="B37" t="s">
        <v>19</v>
      </c>
      <c r="C37" t="s">
        <v>22</v>
      </c>
      <c r="D37" t="s">
        <v>14</v>
      </c>
      <c r="E37">
        <v>450</v>
      </c>
      <c r="F37">
        <v>33773354.630000003</v>
      </c>
      <c r="G37">
        <v>11025087.82</v>
      </c>
      <c r="H37">
        <v>22748266.809999999</v>
      </c>
      <c r="I37">
        <v>3.35</v>
      </c>
      <c r="J37">
        <v>4.45</v>
      </c>
    </row>
    <row r="38" spans="1:10" x14ac:dyDescent="0.25">
      <c r="A38">
        <v>43838</v>
      </c>
      <c r="B38" t="s">
        <v>19</v>
      </c>
      <c r="C38" t="s">
        <v>21</v>
      </c>
      <c r="D38" t="s">
        <v>17</v>
      </c>
      <c r="E38">
        <v>444</v>
      </c>
      <c r="F38">
        <v>35477266.340000004</v>
      </c>
      <c r="G38">
        <v>8526286.0099999998</v>
      </c>
      <c r="H38">
        <v>26950980.329999998</v>
      </c>
      <c r="I38">
        <v>1.18</v>
      </c>
      <c r="J38">
        <v>4.26</v>
      </c>
    </row>
    <row r="39" spans="1:10" x14ac:dyDescent="0.25">
      <c r="A39">
        <v>44534</v>
      </c>
      <c r="B39" t="s">
        <v>19</v>
      </c>
      <c r="C39" t="s">
        <v>24</v>
      </c>
      <c r="D39" t="s">
        <v>17</v>
      </c>
      <c r="E39">
        <v>398</v>
      </c>
      <c r="F39">
        <v>32719474.239999998</v>
      </c>
      <c r="G39">
        <v>10954748.890000001</v>
      </c>
      <c r="H39">
        <v>21764725.34</v>
      </c>
      <c r="I39">
        <v>1.49</v>
      </c>
      <c r="J39">
        <v>4.57</v>
      </c>
    </row>
    <row r="40" spans="1:10" x14ac:dyDescent="0.25">
      <c r="A40">
        <v>45550</v>
      </c>
      <c r="B40" t="s">
        <v>19</v>
      </c>
      <c r="C40" t="s">
        <v>23</v>
      </c>
      <c r="D40" t="s">
        <v>14</v>
      </c>
      <c r="E40">
        <v>196</v>
      </c>
      <c r="F40">
        <v>10618619.34</v>
      </c>
      <c r="G40">
        <v>4043195.3</v>
      </c>
      <c r="H40">
        <v>6575424.04</v>
      </c>
      <c r="I40">
        <v>4.7300000000000004</v>
      </c>
      <c r="J40">
        <v>4.0999999999999996</v>
      </c>
    </row>
    <row r="41" spans="1:10" x14ac:dyDescent="0.25">
      <c r="A41">
        <v>44577</v>
      </c>
      <c r="B41" t="s">
        <v>19</v>
      </c>
      <c r="C41" t="s">
        <v>20</v>
      </c>
      <c r="D41" t="s">
        <v>12</v>
      </c>
      <c r="E41">
        <v>88</v>
      </c>
      <c r="F41">
        <v>7613773.1500000004</v>
      </c>
      <c r="G41">
        <v>2836098.6</v>
      </c>
      <c r="H41">
        <v>4777674.54</v>
      </c>
      <c r="I41">
        <v>2.0299999999999998</v>
      </c>
      <c r="J41">
        <v>3.67</v>
      </c>
    </row>
    <row r="42" spans="1:10" x14ac:dyDescent="0.25">
      <c r="A42">
        <v>44392</v>
      </c>
      <c r="B42" t="s">
        <v>19</v>
      </c>
      <c r="C42" t="s">
        <v>21</v>
      </c>
      <c r="D42" t="s">
        <v>14</v>
      </c>
      <c r="E42">
        <v>200</v>
      </c>
      <c r="F42">
        <v>12955927.710000001</v>
      </c>
      <c r="G42">
        <v>3379464.61</v>
      </c>
      <c r="H42">
        <v>9576463.0999999996</v>
      </c>
      <c r="I42">
        <v>1.53</v>
      </c>
      <c r="J42">
        <v>3.76</v>
      </c>
    </row>
    <row r="43" spans="1:10" x14ac:dyDescent="0.25">
      <c r="A43">
        <v>44018</v>
      </c>
      <c r="B43" t="s">
        <v>19</v>
      </c>
      <c r="C43" t="s">
        <v>22</v>
      </c>
      <c r="D43" t="s">
        <v>14</v>
      </c>
      <c r="E43">
        <v>161</v>
      </c>
      <c r="F43">
        <v>10551303.189999999</v>
      </c>
      <c r="G43">
        <v>3102820.51</v>
      </c>
      <c r="H43">
        <v>7448482.6799999997</v>
      </c>
      <c r="I43">
        <v>1.59</v>
      </c>
      <c r="J43">
        <v>3.64</v>
      </c>
    </row>
    <row r="44" spans="1:10" x14ac:dyDescent="0.25">
      <c r="A44">
        <v>44205</v>
      </c>
      <c r="B44" t="s">
        <v>19</v>
      </c>
      <c r="C44" t="s">
        <v>24</v>
      </c>
      <c r="D44" t="s">
        <v>17</v>
      </c>
      <c r="E44">
        <v>189</v>
      </c>
      <c r="F44">
        <v>12418460.449999999</v>
      </c>
      <c r="G44">
        <v>2775187.28</v>
      </c>
      <c r="H44">
        <v>9643273.1699999999</v>
      </c>
      <c r="I44">
        <v>1.35</v>
      </c>
      <c r="J44">
        <v>3.92</v>
      </c>
    </row>
    <row r="45" spans="1:10" x14ac:dyDescent="0.25">
      <c r="A45">
        <v>45019</v>
      </c>
      <c r="B45" t="s">
        <v>19</v>
      </c>
      <c r="C45" t="s">
        <v>24</v>
      </c>
      <c r="D45" t="s">
        <v>12</v>
      </c>
      <c r="E45">
        <v>196</v>
      </c>
      <c r="F45">
        <v>14685802.220000001</v>
      </c>
      <c r="G45">
        <v>3239364.12</v>
      </c>
      <c r="H45">
        <v>11446438.1</v>
      </c>
      <c r="I45">
        <v>4.49</v>
      </c>
      <c r="J45">
        <v>4.67</v>
      </c>
    </row>
    <row r="46" spans="1:10" x14ac:dyDescent="0.25">
      <c r="A46">
        <v>44213</v>
      </c>
      <c r="B46" t="s">
        <v>19</v>
      </c>
      <c r="C46" t="s">
        <v>20</v>
      </c>
      <c r="D46" t="s">
        <v>14</v>
      </c>
      <c r="E46">
        <v>457</v>
      </c>
      <c r="F46">
        <v>37383086.560000002</v>
      </c>
      <c r="G46">
        <v>7957849.8300000001</v>
      </c>
      <c r="H46">
        <v>29425236.73</v>
      </c>
      <c r="I46">
        <v>4.03</v>
      </c>
      <c r="J46">
        <v>4.5</v>
      </c>
    </row>
    <row r="47" spans="1:10" x14ac:dyDescent="0.25">
      <c r="A47">
        <v>43990</v>
      </c>
      <c r="B47" t="s">
        <v>19</v>
      </c>
      <c r="C47" t="s">
        <v>24</v>
      </c>
      <c r="D47" t="s">
        <v>14</v>
      </c>
      <c r="E47">
        <v>303</v>
      </c>
      <c r="F47">
        <v>10758268.869999999</v>
      </c>
      <c r="G47">
        <v>4084975.92</v>
      </c>
      <c r="H47">
        <v>6673292.9500000002</v>
      </c>
      <c r="I47">
        <v>3.49</v>
      </c>
      <c r="J47">
        <v>3.51</v>
      </c>
    </row>
    <row r="48" spans="1:10" x14ac:dyDescent="0.25">
      <c r="A48">
        <v>45571</v>
      </c>
      <c r="B48" t="s">
        <v>19</v>
      </c>
      <c r="C48" t="s">
        <v>22</v>
      </c>
      <c r="D48" t="s">
        <v>14</v>
      </c>
      <c r="E48">
        <v>433</v>
      </c>
      <c r="F48">
        <v>22427240.329999998</v>
      </c>
      <c r="G48">
        <v>6792700.8600000003</v>
      </c>
      <c r="H48">
        <v>15634539.470000001</v>
      </c>
      <c r="I48">
        <v>2.52</v>
      </c>
      <c r="J48">
        <v>4.99</v>
      </c>
    </row>
    <row r="49" spans="1:10" x14ac:dyDescent="0.25">
      <c r="A49">
        <v>44073</v>
      </c>
      <c r="B49" t="s">
        <v>19</v>
      </c>
      <c r="C49" t="s">
        <v>21</v>
      </c>
      <c r="D49" t="s">
        <v>17</v>
      </c>
      <c r="E49">
        <v>210</v>
      </c>
      <c r="F49">
        <v>7558770.4500000002</v>
      </c>
      <c r="G49">
        <v>2276862.34</v>
      </c>
      <c r="H49">
        <v>5281908.1100000003</v>
      </c>
      <c r="I49">
        <v>1.3</v>
      </c>
      <c r="J49">
        <v>4.05</v>
      </c>
    </row>
    <row r="50" spans="1:10" x14ac:dyDescent="0.25">
      <c r="A50">
        <v>44303</v>
      </c>
      <c r="B50" t="s">
        <v>19</v>
      </c>
      <c r="C50" t="s">
        <v>20</v>
      </c>
      <c r="D50" t="s">
        <v>14</v>
      </c>
      <c r="E50">
        <v>441</v>
      </c>
      <c r="F50">
        <v>36032913.82</v>
      </c>
      <c r="G50">
        <v>9674023.7899999991</v>
      </c>
      <c r="H50">
        <v>26358890.030000001</v>
      </c>
      <c r="I50">
        <v>3.06</v>
      </c>
      <c r="J50">
        <v>3.64</v>
      </c>
    </row>
    <row r="51" spans="1:10" x14ac:dyDescent="0.25">
      <c r="A51">
        <v>44283</v>
      </c>
      <c r="B51" t="s">
        <v>19</v>
      </c>
      <c r="C51" t="s">
        <v>22</v>
      </c>
      <c r="D51" t="s">
        <v>14</v>
      </c>
      <c r="E51">
        <v>420</v>
      </c>
      <c r="F51">
        <v>29399283.48</v>
      </c>
      <c r="G51">
        <v>10287033.789999999</v>
      </c>
      <c r="H51">
        <v>19112249.690000001</v>
      </c>
      <c r="I51">
        <v>3.15</v>
      </c>
      <c r="J51">
        <v>4.97</v>
      </c>
    </row>
    <row r="52" spans="1:10" x14ac:dyDescent="0.25">
      <c r="A52">
        <v>44219</v>
      </c>
      <c r="B52" t="s">
        <v>19</v>
      </c>
      <c r="C52" t="s">
        <v>24</v>
      </c>
      <c r="D52" t="s">
        <v>12</v>
      </c>
      <c r="E52">
        <v>100</v>
      </c>
      <c r="F52">
        <v>8406256.0500000007</v>
      </c>
      <c r="G52">
        <v>2301399.84</v>
      </c>
      <c r="H52">
        <v>6104856.21</v>
      </c>
      <c r="I52">
        <v>4.08</v>
      </c>
      <c r="J52">
        <v>4.25</v>
      </c>
    </row>
    <row r="53" spans="1:10" x14ac:dyDescent="0.25">
      <c r="A53">
        <v>45409</v>
      </c>
      <c r="B53" t="s">
        <v>19</v>
      </c>
      <c r="C53" t="s">
        <v>22</v>
      </c>
      <c r="D53" t="s">
        <v>14</v>
      </c>
      <c r="E53">
        <v>333</v>
      </c>
      <c r="F53">
        <v>23906344.149999999</v>
      </c>
      <c r="G53">
        <v>5430720.2199999997</v>
      </c>
      <c r="H53">
        <v>18475623.93</v>
      </c>
      <c r="I53">
        <v>1.54</v>
      </c>
      <c r="J53">
        <v>4.25</v>
      </c>
    </row>
    <row r="54" spans="1:10" x14ac:dyDescent="0.25">
      <c r="A54">
        <v>45303</v>
      </c>
      <c r="B54" t="s">
        <v>19</v>
      </c>
      <c r="C54" t="s">
        <v>21</v>
      </c>
      <c r="D54" t="s">
        <v>12</v>
      </c>
      <c r="E54">
        <v>53</v>
      </c>
      <c r="F54">
        <v>1925881.04</v>
      </c>
      <c r="G54">
        <v>521731.85</v>
      </c>
      <c r="H54">
        <v>1404149.2</v>
      </c>
      <c r="I54">
        <v>1.3</v>
      </c>
      <c r="J54">
        <v>4.91</v>
      </c>
    </row>
    <row r="55" spans="1:10" x14ac:dyDescent="0.25">
      <c r="A55">
        <v>44869</v>
      </c>
      <c r="B55" t="s">
        <v>19</v>
      </c>
      <c r="C55" t="s">
        <v>23</v>
      </c>
      <c r="D55" t="s">
        <v>12</v>
      </c>
      <c r="E55">
        <v>95</v>
      </c>
      <c r="F55">
        <v>8105166.4400000004</v>
      </c>
      <c r="G55">
        <v>2642027</v>
      </c>
      <c r="H55">
        <v>5463139.4400000004</v>
      </c>
      <c r="I55">
        <v>0.56999999999999995</v>
      </c>
      <c r="J55">
        <v>4.8899999999999997</v>
      </c>
    </row>
    <row r="56" spans="1:10" x14ac:dyDescent="0.25">
      <c r="A56">
        <v>44430</v>
      </c>
      <c r="B56" t="s">
        <v>19</v>
      </c>
      <c r="C56" t="s">
        <v>24</v>
      </c>
      <c r="D56" t="s">
        <v>14</v>
      </c>
      <c r="E56">
        <v>351</v>
      </c>
      <c r="F56">
        <v>30946271.280000001</v>
      </c>
      <c r="G56">
        <v>6414419.4699999997</v>
      </c>
      <c r="H56">
        <v>24531851.809999999</v>
      </c>
      <c r="I56">
        <v>4.34</v>
      </c>
      <c r="J56">
        <v>3.94</v>
      </c>
    </row>
    <row r="57" spans="1:10" x14ac:dyDescent="0.25">
      <c r="A57">
        <v>45221</v>
      </c>
      <c r="B57" t="s">
        <v>19</v>
      </c>
      <c r="C57" t="s">
        <v>24</v>
      </c>
      <c r="D57" t="s">
        <v>14</v>
      </c>
      <c r="E57">
        <v>465</v>
      </c>
      <c r="F57">
        <v>38042820.369999997</v>
      </c>
      <c r="G57">
        <v>12805806.77</v>
      </c>
      <c r="H57">
        <v>25237013.609999999</v>
      </c>
      <c r="I57">
        <v>1.26</v>
      </c>
      <c r="J57">
        <v>4.34</v>
      </c>
    </row>
    <row r="58" spans="1:10" x14ac:dyDescent="0.25">
      <c r="A58">
        <v>44561</v>
      </c>
      <c r="B58" t="s">
        <v>19</v>
      </c>
      <c r="C58" t="s">
        <v>24</v>
      </c>
      <c r="D58" t="s">
        <v>17</v>
      </c>
      <c r="E58">
        <v>272</v>
      </c>
      <c r="F58">
        <v>22149428.59</v>
      </c>
      <c r="G58">
        <v>4739903.1399999997</v>
      </c>
      <c r="H58">
        <v>17409525.440000001</v>
      </c>
      <c r="I58">
        <v>0.82</v>
      </c>
      <c r="J58">
        <v>3.81</v>
      </c>
    </row>
    <row r="59" spans="1:10" x14ac:dyDescent="0.25">
      <c r="A59">
        <v>45161</v>
      </c>
      <c r="B59" t="s">
        <v>19</v>
      </c>
      <c r="C59" t="s">
        <v>21</v>
      </c>
      <c r="D59" t="s">
        <v>17</v>
      </c>
      <c r="E59">
        <v>480</v>
      </c>
      <c r="F59">
        <v>42937421.640000001</v>
      </c>
      <c r="G59">
        <v>15971999.369999999</v>
      </c>
      <c r="H59">
        <v>26965422.27</v>
      </c>
      <c r="I59">
        <v>2.83</v>
      </c>
      <c r="J59">
        <v>4.82</v>
      </c>
    </row>
    <row r="60" spans="1:10" x14ac:dyDescent="0.25">
      <c r="A60">
        <v>44478</v>
      </c>
      <c r="B60" t="s">
        <v>19</v>
      </c>
      <c r="C60" t="s">
        <v>24</v>
      </c>
      <c r="D60" t="s">
        <v>14</v>
      </c>
      <c r="E60">
        <v>322</v>
      </c>
      <c r="F60">
        <v>26299942.07</v>
      </c>
      <c r="G60">
        <v>9801350.2100000009</v>
      </c>
      <c r="H60">
        <v>16498591.859999999</v>
      </c>
      <c r="I60">
        <v>3.69</v>
      </c>
      <c r="J60">
        <v>4.33</v>
      </c>
    </row>
    <row r="61" spans="1:10" x14ac:dyDescent="0.25">
      <c r="A61">
        <v>44028</v>
      </c>
      <c r="B61" t="s">
        <v>19</v>
      </c>
      <c r="C61" t="s">
        <v>20</v>
      </c>
      <c r="D61" t="s">
        <v>14</v>
      </c>
      <c r="E61">
        <v>219</v>
      </c>
      <c r="F61">
        <v>17413755.120000001</v>
      </c>
      <c r="G61">
        <v>4144078.79</v>
      </c>
      <c r="H61">
        <v>13269676.33</v>
      </c>
      <c r="I61">
        <v>4.4000000000000004</v>
      </c>
      <c r="J61">
        <v>4.87</v>
      </c>
    </row>
    <row r="62" spans="1:10" x14ac:dyDescent="0.25">
      <c r="A62">
        <v>45486</v>
      </c>
      <c r="B62" t="s">
        <v>19</v>
      </c>
      <c r="C62" t="s">
        <v>23</v>
      </c>
      <c r="D62" t="s">
        <v>12</v>
      </c>
      <c r="E62">
        <v>440</v>
      </c>
      <c r="F62">
        <v>27536694.329999998</v>
      </c>
      <c r="G62">
        <v>6618195.6699999999</v>
      </c>
      <c r="H62">
        <v>20918498.66</v>
      </c>
      <c r="I62">
        <v>3.42</v>
      </c>
      <c r="J62">
        <v>4.55</v>
      </c>
    </row>
    <row r="63" spans="1:10" x14ac:dyDescent="0.25">
      <c r="A63">
        <v>45594</v>
      </c>
      <c r="B63" t="s">
        <v>19</v>
      </c>
      <c r="C63" t="s">
        <v>20</v>
      </c>
      <c r="D63" t="s">
        <v>17</v>
      </c>
      <c r="E63">
        <v>449</v>
      </c>
      <c r="F63">
        <v>16968728.870000001</v>
      </c>
      <c r="G63">
        <v>3778538.35</v>
      </c>
      <c r="H63">
        <v>13190190.529999999</v>
      </c>
      <c r="I63">
        <v>0.62</v>
      </c>
      <c r="J63">
        <v>4.37</v>
      </c>
    </row>
    <row r="64" spans="1:10" x14ac:dyDescent="0.25">
      <c r="A64">
        <v>44518</v>
      </c>
      <c r="B64" t="s">
        <v>19</v>
      </c>
      <c r="C64" t="s">
        <v>20</v>
      </c>
      <c r="D64" t="s">
        <v>12</v>
      </c>
      <c r="E64">
        <v>337</v>
      </c>
      <c r="F64">
        <v>22513422.41</v>
      </c>
      <c r="G64">
        <v>8843532.25</v>
      </c>
      <c r="H64">
        <v>13669890.17</v>
      </c>
      <c r="I64">
        <v>2.6</v>
      </c>
      <c r="J64">
        <v>4.3099999999999996</v>
      </c>
    </row>
    <row r="65" spans="1:10" x14ac:dyDescent="0.25">
      <c r="A65">
        <v>44347</v>
      </c>
      <c r="B65" t="s">
        <v>19</v>
      </c>
      <c r="C65" t="s">
        <v>24</v>
      </c>
      <c r="D65" t="s">
        <v>12</v>
      </c>
      <c r="E65">
        <v>174</v>
      </c>
      <c r="F65">
        <v>14118593.609999999</v>
      </c>
      <c r="G65">
        <v>3217896.82</v>
      </c>
      <c r="H65">
        <v>10900696.800000001</v>
      </c>
      <c r="I65">
        <v>1.63</v>
      </c>
      <c r="J65">
        <v>3.56</v>
      </c>
    </row>
    <row r="66" spans="1:10" x14ac:dyDescent="0.25">
      <c r="A66">
        <v>45146</v>
      </c>
      <c r="B66" t="s">
        <v>19</v>
      </c>
      <c r="C66" t="s">
        <v>24</v>
      </c>
      <c r="D66" t="s">
        <v>12</v>
      </c>
      <c r="E66">
        <v>320</v>
      </c>
      <c r="F66">
        <v>17539355.289999999</v>
      </c>
      <c r="G66">
        <v>6570030.2199999997</v>
      </c>
      <c r="H66">
        <v>10969325.07</v>
      </c>
      <c r="I66">
        <v>2.85</v>
      </c>
      <c r="J66">
        <v>4.6500000000000004</v>
      </c>
    </row>
    <row r="67" spans="1:10" x14ac:dyDescent="0.25">
      <c r="A67">
        <v>45033</v>
      </c>
      <c r="B67" t="s">
        <v>19</v>
      </c>
      <c r="C67" t="s">
        <v>22</v>
      </c>
      <c r="D67" t="s">
        <v>17</v>
      </c>
      <c r="E67">
        <v>157</v>
      </c>
      <c r="F67">
        <v>10873659.26</v>
      </c>
      <c r="G67">
        <v>4163855.85</v>
      </c>
      <c r="H67">
        <v>6709803.4100000001</v>
      </c>
      <c r="I67">
        <v>0.73</v>
      </c>
      <c r="J67">
        <v>4.3</v>
      </c>
    </row>
    <row r="68" spans="1:10" x14ac:dyDescent="0.25">
      <c r="A68">
        <v>44121</v>
      </c>
      <c r="B68" t="s">
        <v>19</v>
      </c>
      <c r="C68" t="s">
        <v>24</v>
      </c>
      <c r="D68" t="s">
        <v>14</v>
      </c>
      <c r="E68">
        <v>96</v>
      </c>
      <c r="F68">
        <v>7053424.4699999997</v>
      </c>
      <c r="G68">
        <v>2626197.17</v>
      </c>
      <c r="H68">
        <v>4427227.3</v>
      </c>
      <c r="I68">
        <v>1.1000000000000001</v>
      </c>
      <c r="J68">
        <v>4.95</v>
      </c>
    </row>
    <row r="69" spans="1:10" x14ac:dyDescent="0.25">
      <c r="A69">
        <v>44922</v>
      </c>
      <c r="B69" t="s">
        <v>19</v>
      </c>
      <c r="C69" t="s">
        <v>20</v>
      </c>
      <c r="D69" t="s">
        <v>17</v>
      </c>
      <c r="E69">
        <v>155</v>
      </c>
      <c r="F69">
        <v>8178203.9299999997</v>
      </c>
      <c r="G69">
        <v>1970642.6</v>
      </c>
      <c r="H69">
        <v>6207561.3300000001</v>
      </c>
      <c r="I69">
        <v>1.72</v>
      </c>
      <c r="J69">
        <v>4.16</v>
      </c>
    </row>
    <row r="70" spans="1:10" x14ac:dyDescent="0.25">
      <c r="A70">
        <v>44488</v>
      </c>
      <c r="B70" t="s">
        <v>19</v>
      </c>
      <c r="C70" t="s">
        <v>24</v>
      </c>
      <c r="D70" t="s">
        <v>17</v>
      </c>
      <c r="E70">
        <v>488</v>
      </c>
      <c r="F70">
        <v>23813096.550000001</v>
      </c>
      <c r="G70">
        <v>8647327.5</v>
      </c>
      <c r="H70">
        <v>15165769.050000001</v>
      </c>
      <c r="I70">
        <v>0.86</v>
      </c>
      <c r="J70">
        <v>4.1399999999999997</v>
      </c>
    </row>
    <row r="71" spans="1:10" x14ac:dyDescent="0.25">
      <c r="A71">
        <v>43936</v>
      </c>
      <c r="B71" t="s">
        <v>19</v>
      </c>
      <c r="C71" t="s">
        <v>24</v>
      </c>
      <c r="D71" t="s">
        <v>14</v>
      </c>
      <c r="E71">
        <v>445</v>
      </c>
      <c r="F71">
        <v>25584123.309999999</v>
      </c>
      <c r="G71">
        <v>9346932.6699999999</v>
      </c>
      <c r="H71">
        <v>16237190.640000001</v>
      </c>
      <c r="I71">
        <v>1.2</v>
      </c>
      <c r="J71">
        <v>3.88</v>
      </c>
    </row>
    <row r="72" spans="1:10" x14ac:dyDescent="0.25">
      <c r="A72">
        <v>44027</v>
      </c>
      <c r="B72" t="s">
        <v>19</v>
      </c>
      <c r="C72" t="s">
        <v>23</v>
      </c>
      <c r="D72" t="s">
        <v>12</v>
      </c>
      <c r="E72">
        <v>175</v>
      </c>
      <c r="F72">
        <v>7028530.4199999999</v>
      </c>
      <c r="G72">
        <v>2554356.3199999998</v>
      </c>
      <c r="H72">
        <v>4474174.09</v>
      </c>
      <c r="I72">
        <v>4.71</v>
      </c>
      <c r="J72">
        <v>4.46</v>
      </c>
    </row>
    <row r="73" spans="1:10" x14ac:dyDescent="0.25">
      <c r="A73">
        <v>43945</v>
      </c>
      <c r="B73" t="s">
        <v>19</v>
      </c>
      <c r="C73" t="s">
        <v>22</v>
      </c>
      <c r="D73" t="s">
        <v>17</v>
      </c>
      <c r="E73">
        <v>238</v>
      </c>
      <c r="F73">
        <v>17989070.640000001</v>
      </c>
      <c r="G73">
        <v>5201165.41</v>
      </c>
      <c r="H73">
        <v>12787905.23</v>
      </c>
      <c r="I73">
        <v>3.25</v>
      </c>
      <c r="J73">
        <v>4.13</v>
      </c>
    </row>
    <row r="74" spans="1:10" x14ac:dyDescent="0.25">
      <c r="A74">
        <v>43931</v>
      </c>
      <c r="B74" t="s">
        <v>19</v>
      </c>
      <c r="C74" t="s">
        <v>20</v>
      </c>
      <c r="D74" t="s">
        <v>12</v>
      </c>
      <c r="E74">
        <v>125</v>
      </c>
      <c r="F74">
        <v>8266505.8200000003</v>
      </c>
      <c r="G74">
        <v>3044311.97</v>
      </c>
      <c r="H74">
        <v>5222193.8499999996</v>
      </c>
      <c r="I74">
        <v>1.04</v>
      </c>
      <c r="J74">
        <v>4.01</v>
      </c>
    </row>
    <row r="75" spans="1:10" x14ac:dyDescent="0.25">
      <c r="A75">
        <v>44113</v>
      </c>
      <c r="B75" t="s">
        <v>19</v>
      </c>
      <c r="C75" t="s">
        <v>22</v>
      </c>
      <c r="D75" t="s">
        <v>14</v>
      </c>
      <c r="E75">
        <v>269</v>
      </c>
      <c r="F75">
        <v>10095609.09</v>
      </c>
      <c r="G75">
        <v>3956007.22</v>
      </c>
      <c r="H75">
        <v>6139601.8700000001</v>
      </c>
      <c r="I75">
        <v>4.3499999999999996</v>
      </c>
      <c r="J75">
        <v>4.5599999999999996</v>
      </c>
    </row>
    <row r="76" spans="1:10" x14ac:dyDescent="0.25">
      <c r="A76">
        <v>44008</v>
      </c>
      <c r="B76" t="s">
        <v>19</v>
      </c>
      <c r="C76" t="s">
        <v>20</v>
      </c>
      <c r="D76" t="s">
        <v>12</v>
      </c>
      <c r="E76">
        <v>253</v>
      </c>
      <c r="F76">
        <v>9093796.7300000004</v>
      </c>
      <c r="G76">
        <v>2249142.5099999998</v>
      </c>
      <c r="H76">
        <v>6844654.2199999997</v>
      </c>
      <c r="I76">
        <v>4.13</v>
      </c>
      <c r="J76">
        <v>4.0199999999999996</v>
      </c>
    </row>
    <row r="77" spans="1:10" x14ac:dyDescent="0.25">
      <c r="A77">
        <v>43911</v>
      </c>
      <c r="B77" t="s">
        <v>19</v>
      </c>
      <c r="C77" t="s">
        <v>23</v>
      </c>
      <c r="D77" t="s">
        <v>17</v>
      </c>
      <c r="E77">
        <v>303</v>
      </c>
      <c r="F77">
        <v>17835137.73</v>
      </c>
      <c r="G77">
        <v>5712577.7300000004</v>
      </c>
      <c r="H77">
        <v>12122560.01</v>
      </c>
      <c r="I77">
        <v>3.27</v>
      </c>
      <c r="J77">
        <v>4.45</v>
      </c>
    </row>
    <row r="78" spans="1:10" x14ac:dyDescent="0.25">
      <c r="A78">
        <v>45385</v>
      </c>
      <c r="B78" t="s">
        <v>19</v>
      </c>
      <c r="C78" t="s">
        <v>22</v>
      </c>
      <c r="D78" t="s">
        <v>17</v>
      </c>
      <c r="E78">
        <v>339</v>
      </c>
      <c r="F78">
        <v>16729361.609999999</v>
      </c>
      <c r="G78">
        <v>6640537.6100000003</v>
      </c>
      <c r="H78">
        <v>10088824</v>
      </c>
      <c r="I78">
        <v>4.7</v>
      </c>
      <c r="J78">
        <v>4.25</v>
      </c>
    </row>
    <row r="79" spans="1:10" x14ac:dyDescent="0.25">
      <c r="A79">
        <v>44732</v>
      </c>
      <c r="B79" t="s">
        <v>19</v>
      </c>
      <c r="C79" t="s">
        <v>22</v>
      </c>
      <c r="D79" t="s">
        <v>14</v>
      </c>
      <c r="E79">
        <v>374</v>
      </c>
      <c r="F79">
        <v>27159134.739999998</v>
      </c>
      <c r="G79">
        <v>7518456.9400000004</v>
      </c>
      <c r="H79">
        <v>19640677.789999999</v>
      </c>
      <c r="I79">
        <v>4.75</v>
      </c>
      <c r="J79">
        <v>4.92</v>
      </c>
    </row>
    <row r="80" spans="1:10" x14ac:dyDescent="0.25">
      <c r="A80">
        <v>44358</v>
      </c>
      <c r="B80" t="s">
        <v>19</v>
      </c>
      <c r="C80" t="s">
        <v>24</v>
      </c>
      <c r="D80" t="s">
        <v>17</v>
      </c>
      <c r="E80">
        <v>433</v>
      </c>
      <c r="F80">
        <v>30310951.670000002</v>
      </c>
      <c r="G80">
        <v>7268873.5999999996</v>
      </c>
      <c r="H80">
        <v>23042078.079999998</v>
      </c>
      <c r="I80">
        <v>3.55</v>
      </c>
      <c r="J80">
        <v>4.3600000000000003</v>
      </c>
    </row>
    <row r="81" spans="1:10" x14ac:dyDescent="0.25">
      <c r="A81">
        <v>45152</v>
      </c>
      <c r="B81" t="s">
        <v>19</v>
      </c>
      <c r="C81" t="s">
        <v>21</v>
      </c>
      <c r="D81" t="s">
        <v>12</v>
      </c>
      <c r="E81">
        <v>82</v>
      </c>
      <c r="F81">
        <v>4936720.54</v>
      </c>
      <c r="G81">
        <v>1435976.69</v>
      </c>
      <c r="H81">
        <v>3500743.84</v>
      </c>
      <c r="I81">
        <v>4.74</v>
      </c>
      <c r="J81">
        <v>4.08</v>
      </c>
    </row>
    <row r="82" spans="1:10" x14ac:dyDescent="0.25">
      <c r="A82">
        <v>45049</v>
      </c>
      <c r="B82" t="s">
        <v>19</v>
      </c>
      <c r="C82" t="s">
        <v>24</v>
      </c>
      <c r="D82" t="s">
        <v>12</v>
      </c>
      <c r="E82">
        <v>466</v>
      </c>
      <c r="F82">
        <v>33007554.699999999</v>
      </c>
      <c r="G82">
        <v>11838592.82</v>
      </c>
      <c r="H82">
        <v>21168961.879999999</v>
      </c>
      <c r="I82">
        <v>1.73</v>
      </c>
      <c r="J82">
        <v>3.82</v>
      </c>
    </row>
    <row r="83" spans="1:10" x14ac:dyDescent="0.25">
      <c r="A83">
        <v>44269</v>
      </c>
      <c r="B83" t="s">
        <v>19</v>
      </c>
      <c r="C83" t="s">
        <v>21</v>
      </c>
      <c r="D83" t="s">
        <v>14</v>
      </c>
      <c r="E83">
        <v>351</v>
      </c>
      <c r="F83">
        <v>12636772.34</v>
      </c>
      <c r="G83">
        <v>4816018.0999999996</v>
      </c>
      <c r="H83">
        <v>7820754.25</v>
      </c>
      <c r="I83">
        <v>3.57</v>
      </c>
      <c r="J83">
        <v>3.61</v>
      </c>
    </row>
    <row r="84" spans="1:10" x14ac:dyDescent="0.25">
      <c r="A84">
        <v>44455</v>
      </c>
      <c r="B84" t="s">
        <v>19</v>
      </c>
      <c r="C84" t="s">
        <v>22</v>
      </c>
      <c r="D84" t="s">
        <v>17</v>
      </c>
      <c r="E84">
        <v>313</v>
      </c>
      <c r="F84">
        <v>17589602.829999998</v>
      </c>
      <c r="G84">
        <v>4637978.3899999997</v>
      </c>
      <c r="H84">
        <v>12951624.439999999</v>
      </c>
      <c r="I84">
        <v>2.0299999999999998</v>
      </c>
      <c r="J84">
        <v>3.89</v>
      </c>
    </row>
    <row r="85" spans="1:10" x14ac:dyDescent="0.25">
      <c r="A85">
        <v>45415</v>
      </c>
      <c r="B85" t="s">
        <v>19</v>
      </c>
      <c r="C85" t="s">
        <v>22</v>
      </c>
      <c r="D85" t="s">
        <v>12</v>
      </c>
      <c r="E85">
        <v>440</v>
      </c>
      <c r="F85">
        <v>18259588.829999998</v>
      </c>
      <c r="G85">
        <v>4759408.7</v>
      </c>
      <c r="H85">
        <v>13500180.130000001</v>
      </c>
      <c r="I85">
        <v>3.33</v>
      </c>
      <c r="J85">
        <v>4.82</v>
      </c>
    </row>
    <row r="86" spans="1:10" x14ac:dyDescent="0.25">
      <c r="A86">
        <v>43844</v>
      </c>
      <c r="B86" t="s">
        <v>19</v>
      </c>
      <c r="C86" t="s">
        <v>21</v>
      </c>
      <c r="D86" t="s">
        <v>14</v>
      </c>
      <c r="E86">
        <v>469</v>
      </c>
      <c r="F86">
        <v>27195917.890000001</v>
      </c>
      <c r="G86">
        <v>5615518.9100000001</v>
      </c>
      <c r="H86">
        <v>21580398.98</v>
      </c>
      <c r="I86">
        <v>2.97</v>
      </c>
      <c r="J86">
        <v>4.1399999999999997</v>
      </c>
    </row>
    <row r="87" spans="1:10" x14ac:dyDescent="0.25">
      <c r="A87">
        <v>44081</v>
      </c>
      <c r="B87" t="s">
        <v>19</v>
      </c>
      <c r="C87" t="s">
        <v>23</v>
      </c>
      <c r="D87" t="s">
        <v>14</v>
      </c>
      <c r="E87">
        <v>457</v>
      </c>
      <c r="F87">
        <v>36274791.170000002</v>
      </c>
      <c r="G87">
        <v>7323843.0300000003</v>
      </c>
      <c r="H87">
        <v>28950948.140000001</v>
      </c>
      <c r="I87">
        <v>2.36</v>
      </c>
      <c r="J87">
        <v>4.0599999999999996</v>
      </c>
    </row>
    <row r="88" spans="1:10" x14ac:dyDescent="0.25">
      <c r="A88">
        <v>44199</v>
      </c>
      <c r="B88" t="s">
        <v>19</v>
      </c>
      <c r="C88" t="s">
        <v>22</v>
      </c>
      <c r="D88" t="s">
        <v>12</v>
      </c>
      <c r="E88">
        <v>145</v>
      </c>
      <c r="F88">
        <v>7792908.2300000004</v>
      </c>
      <c r="G88">
        <v>1666502.01</v>
      </c>
      <c r="H88">
        <v>6126406.2300000004</v>
      </c>
      <c r="I88">
        <v>4.3600000000000003</v>
      </c>
      <c r="J88">
        <v>4.1399999999999997</v>
      </c>
    </row>
    <row r="89" spans="1:10" x14ac:dyDescent="0.25">
      <c r="A89">
        <v>44560</v>
      </c>
      <c r="B89" t="s">
        <v>19</v>
      </c>
      <c r="C89" t="s">
        <v>23</v>
      </c>
      <c r="D89" t="s">
        <v>17</v>
      </c>
      <c r="E89">
        <v>62</v>
      </c>
      <c r="F89">
        <v>4693088.87</v>
      </c>
      <c r="G89">
        <v>1653622.86</v>
      </c>
      <c r="H89">
        <v>3039466.01</v>
      </c>
      <c r="I89">
        <v>2.2000000000000002</v>
      </c>
      <c r="J89">
        <v>4.3</v>
      </c>
    </row>
    <row r="90" spans="1:10" x14ac:dyDescent="0.25">
      <c r="A90">
        <v>44737</v>
      </c>
      <c r="B90" t="s">
        <v>19</v>
      </c>
      <c r="C90" t="s">
        <v>21</v>
      </c>
      <c r="D90" t="s">
        <v>17</v>
      </c>
      <c r="E90">
        <v>133</v>
      </c>
      <c r="F90">
        <v>10700536.359999999</v>
      </c>
      <c r="G90">
        <v>3595274.07</v>
      </c>
      <c r="H90">
        <v>7105262.2999999998</v>
      </c>
      <c r="I90">
        <v>4.53</v>
      </c>
      <c r="J90">
        <v>4.08</v>
      </c>
    </row>
    <row r="91" spans="1:10" x14ac:dyDescent="0.25">
      <c r="A91">
        <v>44357</v>
      </c>
      <c r="B91" t="s">
        <v>19</v>
      </c>
      <c r="C91" t="s">
        <v>22</v>
      </c>
      <c r="D91" t="s">
        <v>17</v>
      </c>
      <c r="E91">
        <v>445</v>
      </c>
      <c r="F91">
        <v>39035303.140000001</v>
      </c>
      <c r="G91">
        <v>9000423.3699999992</v>
      </c>
      <c r="H91">
        <v>30034879.77</v>
      </c>
      <c r="I91">
        <v>2.1</v>
      </c>
      <c r="J91">
        <v>4.9400000000000004</v>
      </c>
    </row>
    <row r="92" spans="1:10" x14ac:dyDescent="0.25">
      <c r="A92">
        <v>44733</v>
      </c>
      <c r="B92" t="s">
        <v>19</v>
      </c>
      <c r="C92" t="s">
        <v>24</v>
      </c>
      <c r="D92" t="s">
        <v>12</v>
      </c>
      <c r="E92">
        <v>272</v>
      </c>
      <c r="F92">
        <v>23741082.920000002</v>
      </c>
      <c r="G92">
        <v>6773625.8799999999</v>
      </c>
      <c r="H92">
        <v>16967457.039999999</v>
      </c>
      <c r="I92">
        <v>3.34</v>
      </c>
      <c r="J92">
        <v>4.17</v>
      </c>
    </row>
    <row r="93" spans="1:10" x14ac:dyDescent="0.25">
      <c r="A93">
        <v>44893</v>
      </c>
      <c r="B93" t="s">
        <v>19</v>
      </c>
      <c r="C93" t="s">
        <v>24</v>
      </c>
      <c r="D93" t="s">
        <v>14</v>
      </c>
      <c r="E93">
        <v>148</v>
      </c>
      <c r="F93">
        <v>10083869.140000001</v>
      </c>
      <c r="G93">
        <v>2916853.83</v>
      </c>
      <c r="H93">
        <v>7167015.3099999996</v>
      </c>
      <c r="I93">
        <v>1.46</v>
      </c>
      <c r="J93">
        <v>4.92</v>
      </c>
    </row>
    <row r="94" spans="1:10" x14ac:dyDescent="0.25">
      <c r="A94">
        <v>44154</v>
      </c>
      <c r="B94" t="s">
        <v>19</v>
      </c>
      <c r="C94" t="s">
        <v>23</v>
      </c>
      <c r="D94" t="s">
        <v>12</v>
      </c>
      <c r="E94">
        <v>193</v>
      </c>
      <c r="F94">
        <v>15136796.59</v>
      </c>
      <c r="G94">
        <v>5778604.9900000002</v>
      </c>
      <c r="H94">
        <v>9358191.5999999996</v>
      </c>
      <c r="I94">
        <v>2.72</v>
      </c>
      <c r="J94">
        <v>3.59</v>
      </c>
    </row>
    <row r="95" spans="1:10" x14ac:dyDescent="0.25">
      <c r="A95">
        <v>45016</v>
      </c>
      <c r="B95" t="s">
        <v>19</v>
      </c>
      <c r="C95" t="s">
        <v>20</v>
      </c>
      <c r="D95" t="s">
        <v>14</v>
      </c>
      <c r="E95">
        <v>272</v>
      </c>
      <c r="F95">
        <v>10355832.470000001</v>
      </c>
      <c r="G95">
        <v>2615809.64</v>
      </c>
      <c r="H95">
        <v>7740022.8399999999</v>
      </c>
      <c r="I95">
        <v>2.96</v>
      </c>
      <c r="J95">
        <v>4.5599999999999996</v>
      </c>
    </row>
    <row r="96" spans="1:10" x14ac:dyDescent="0.25">
      <c r="A96">
        <v>45562</v>
      </c>
      <c r="B96" t="s">
        <v>19</v>
      </c>
      <c r="C96" t="s">
        <v>24</v>
      </c>
      <c r="D96" t="s">
        <v>14</v>
      </c>
      <c r="E96">
        <v>288</v>
      </c>
      <c r="F96">
        <v>12344988.24</v>
      </c>
      <c r="G96">
        <v>3057827.34</v>
      </c>
      <c r="H96">
        <v>9287160.9100000001</v>
      </c>
      <c r="I96">
        <v>3.28</v>
      </c>
      <c r="J96">
        <v>3.65</v>
      </c>
    </row>
    <row r="97" spans="1:10" x14ac:dyDescent="0.25">
      <c r="A97">
        <v>43874</v>
      </c>
      <c r="B97" t="s">
        <v>19</v>
      </c>
      <c r="C97" t="s">
        <v>23</v>
      </c>
      <c r="D97" t="s">
        <v>17</v>
      </c>
      <c r="E97">
        <v>56</v>
      </c>
      <c r="F97">
        <v>3272361.74</v>
      </c>
      <c r="G97">
        <v>1163274.5900000001</v>
      </c>
      <c r="H97">
        <v>2109087.16</v>
      </c>
      <c r="I97">
        <v>2.2799999999999998</v>
      </c>
      <c r="J97">
        <v>4.84</v>
      </c>
    </row>
    <row r="98" spans="1:10" x14ac:dyDescent="0.25">
      <c r="A98">
        <v>44803</v>
      </c>
      <c r="B98" t="s">
        <v>19</v>
      </c>
      <c r="C98" t="s">
        <v>24</v>
      </c>
      <c r="D98" t="s">
        <v>17</v>
      </c>
      <c r="E98">
        <v>243</v>
      </c>
      <c r="F98">
        <v>9592226.4499999993</v>
      </c>
      <c r="G98">
        <v>3674134.07</v>
      </c>
      <c r="H98">
        <v>5918092.3899999997</v>
      </c>
      <c r="I98">
        <v>4.9400000000000004</v>
      </c>
      <c r="J98">
        <v>4.0599999999999996</v>
      </c>
    </row>
    <row r="99" spans="1:10" x14ac:dyDescent="0.25">
      <c r="A99">
        <v>45243</v>
      </c>
      <c r="B99" t="s">
        <v>19</v>
      </c>
      <c r="C99" t="s">
        <v>20</v>
      </c>
      <c r="D99" t="s">
        <v>17</v>
      </c>
      <c r="E99">
        <v>370</v>
      </c>
      <c r="F99">
        <v>30865325.359999999</v>
      </c>
      <c r="G99">
        <v>10885057.039999999</v>
      </c>
      <c r="H99">
        <v>19980268.32</v>
      </c>
      <c r="I99">
        <v>4.58</v>
      </c>
      <c r="J99">
        <v>4.3899999999999997</v>
      </c>
    </row>
    <row r="100" spans="1:10" x14ac:dyDescent="0.25">
      <c r="A100">
        <v>44260</v>
      </c>
      <c r="B100" t="s">
        <v>19</v>
      </c>
      <c r="C100" t="s">
        <v>21</v>
      </c>
      <c r="D100" t="s">
        <v>14</v>
      </c>
      <c r="E100">
        <v>341</v>
      </c>
      <c r="F100">
        <v>18991748.530000001</v>
      </c>
      <c r="G100">
        <v>7279534.4900000002</v>
      </c>
      <c r="H100">
        <v>11712214.039999999</v>
      </c>
      <c r="I100">
        <v>4</v>
      </c>
      <c r="J100">
        <v>4.34</v>
      </c>
    </row>
    <row r="101" spans="1:10" x14ac:dyDescent="0.25">
      <c r="A101">
        <v>44000</v>
      </c>
      <c r="B101" t="s">
        <v>19</v>
      </c>
      <c r="C101" t="s">
        <v>20</v>
      </c>
      <c r="D101" t="s">
        <v>14</v>
      </c>
      <c r="E101">
        <v>140</v>
      </c>
      <c r="F101">
        <v>6815175.9900000002</v>
      </c>
      <c r="G101">
        <v>2275924.5699999998</v>
      </c>
      <c r="H101">
        <v>4539251.41</v>
      </c>
      <c r="I101">
        <v>2.46</v>
      </c>
      <c r="J101">
        <v>3.88</v>
      </c>
    </row>
    <row r="102" spans="1:10" x14ac:dyDescent="0.25">
      <c r="A102">
        <v>44771</v>
      </c>
      <c r="B102" t="s">
        <v>19</v>
      </c>
      <c r="C102" t="s">
        <v>20</v>
      </c>
      <c r="D102" t="s">
        <v>12</v>
      </c>
      <c r="E102">
        <v>291</v>
      </c>
      <c r="F102">
        <v>17685913.579999998</v>
      </c>
      <c r="G102">
        <v>6875210.46</v>
      </c>
      <c r="H102">
        <v>10810703.119999999</v>
      </c>
      <c r="I102">
        <v>1.03</v>
      </c>
      <c r="J102">
        <v>3.68</v>
      </c>
    </row>
    <row r="103" spans="1:10" x14ac:dyDescent="0.25">
      <c r="A103">
        <v>44987</v>
      </c>
      <c r="B103" t="s">
        <v>19</v>
      </c>
      <c r="C103" t="s">
        <v>23</v>
      </c>
      <c r="D103" t="s">
        <v>12</v>
      </c>
      <c r="E103">
        <v>410</v>
      </c>
      <c r="F103">
        <v>31131972.859999999</v>
      </c>
      <c r="G103">
        <v>8212368.9500000002</v>
      </c>
      <c r="H103">
        <v>22919603.91</v>
      </c>
      <c r="I103">
        <v>1.57</v>
      </c>
      <c r="J103">
        <v>4.0999999999999996</v>
      </c>
    </row>
    <row r="104" spans="1:10" x14ac:dyDescent="0.25">
      <c r="A104">
        <v>44055</v>
      </c>
      <c r="B104" t="s">
        <v>19</v>
      </c>
      <c r="C104" t="s">
        <v>21</v>
      </c>
      <c r="D104" t="s">
        <v>17</v>
      </c>
      <c r="E104">
        <v>418</v>
      </c>
      <c r="F104">
        <v>16535671.49</v>
      </c>
      <c r="G104">
        <v>4866877.6399999997</v>
      </c>
      <c r="H104">
        <v>11668793.84</v>
      </c>
      <c r="I104">
        <v>2.46</v>
      </c>
      <c r="J104">
        <v>4.7</v>
      </c>
    </row>
    <row r="105" spans="1:10" x14ac:dyDescent="0.25">
      <c r="A105">
        <v>45510</v>
      </c>
      <c r="B105" t="s">
        <v>19</v>
      </c>
      <c r="C105" t="s">
        <v>20</v>
      </c>
      <c r="D105" t="s">
        <v>14</v>
      </c>
      <c r="E105">
        <v>222</v>
      </c>
      <c r="F105">
        <v>19612220.469999999</v>
      </c>
      <c r="G105">
        <v>7675595.8499999996</v>
      </c>
      <c r="H105">
        <v>11936624.630000001</v>
      </c>
      <c r="I105">
        <v>4.51</v>
      </c>
      <c r="J105">
        <v>4.29</v>
      </c>
    </row>
    <row r="106" spans="1:10" x14ac:dyDescent="0.25">
      <c r="A106">
        <v>45600</v>
      </c>
      <c r="B106" t="s">
        <v>19</v>
      </c>
      <c r="C106" t="s">
        <v>22</v>
      </c>
      <c r="D106" t="s">
        <v>12</v>
      </c>
      <c r="E106">
        <v>252</v>
      </c>
      <c r="F106">
        <v>21558943.809999999</v>
      </c>
      <c r="G106">
        <v>7532737.3600000003</v>
      </c>
      <c r="H106">
        <v>14026206.449999999</v>
      </c>
      <c r="I106">
        <v>3.63</v>
      </c>
      <c r="J106">
        <v>3.61</v>
      </c>
    </row>
    <row r="107" spans="1:10" x14ac:dyDescent="0.25">
      <c r="A107">
        <v>43935</v>
      </c>
      <c r="B107" t="s">
        <v>19</v>
      </c>
      <c r="C107" t="s">
        <v>20</v>
      </c>
      <c r="D107" t="s">
        <v>12</v>
      </c>
      <c r="E107">
        <v>96</v>
      </c>
      <c r="F107">
        <v>6683224.8099999996</v>
      </c>
      <c r="G107">
        <v>1743320.94</v>
      </c>
      <c r="H107">
        <v>4939903.87</v>
      </c>
      <c r="I107">
        <v>2.5499999999999998</v>
      </c>
      <c r="J107">
        <v>4.4400000000000004</v>
      </c>
    </row>
    <row r="108" spans="1:10" x14ac:dyDescent="0.25">
      <c r="A108">
        <v>44727</v>
      </c>
      <c r="B108" t="s">
        <v>19</v>
      </c>
      <c r="C108" t="s">
        <v>24</v>
      </c>
      <c r="D108" t="s">
        <v>17</v>
      </c>
      <c r="E108">
        <v>423</v>
      </c>
      <c r="F108">
        <v>23743455.609999999</v>
      </c>
      <c r="G108">
        <v>5997118.6699999999</v>
      </c>
      <c r="H108">
        <v>17746336.940000001</v>
      </c>
      <c r="I108">
        <v>4.62</v>
      </c>
      <c r="J108">
        <v>4.9400000000000004</v>
      </c>
    </row>
    <row r="109" spans="1:10" x14ac:dyDescent="0.25">
      <c r="A109">
        <v>44565</v>
      </c>
      <c r="B109" t="s">
        <v>19</v>
      </c>
      <c r="C109" t="s">
        <v>21</v>
      </c>
      <c r="D109" t="s">
        <v>14</v>
      </c>
      <c r="E109">
        <v>321</v>
      </c>
      <c r="F109">
        <v>26952607.100000001</v>
      </c>
      <c r="G109">
        <v>8324815.3600000003</v>
      </c>
      <c r="H109">
        <v>18627791.75</v>
      </c>
      <c r="I109">
        <v>3.29</v>
      </c>
      <c r="J109">
        <v>3.92</v>
      </c>
    </row>
    <row r="110" spans="1:10" x14ac:dyDescent="0.25">
      <c r="A110">
        <v>44609</v>
      </c>
      <c r="B110" t="s">
        <v>19</v>
      </c>
      <c r="C110" t="s">
        <v>21</v>
      </c>
      <c r="D110" t="s">
        <v>14</v>
      </c>
      <c r="E110">
        <v>397</v>
      </c>
      <c r="F110">
        <v>28018933.98</v>
      </c>
      <c r="G110">
        <v>9031800.3499999996</v>
      </c>
      <c r="H110">
        <v>18987133.629999999</v>
      </c>
      <c r="I110">
        <v>1.53</v>
      </c>
      <c r="J110">
        <v>3.9</v>
      </c>
    </row>
    <row r="111" spans="1:10" x14ac:dyDescent="0.25">
      <c r="A111">
        <v>43989</v>
      </c>
      <c r="B111" t="s">
        <v>19</v>
      </c>
      <c r="C111" t="s">
        <v>21</v>
      </c>
      <c r="D111" t="s">
        <v>12</v>
      </c>
      <c r="E111">
        <v>406</v>
      </c>
      <c r="F111">
        <v>35968236.060000002</v>
      </c>
      <c r="G111">
        <v>7292842.25</v>
      </c>
      <c r="H111">
        <v>28675393.800000001</v>
      </c>
      <c r="I111">
        <v>3.64</v>
      </c>
      <c r="J111">
        <v>4.3</v>
      </c>
    </row>
    <row r="112" spans="1:10" x14ac:dyDescent="0.25">
      <c r="A112">
        <v>45478</v>
      </c>
      <c r="B112" t="s">
        <v>19</v>
      </c>
      <c r="C112" t="s">
        <v>22</v>
      </c>
      <c r="D112" t="s">
        <v>12</v>
      </c>
      <c r="E112">
        <v>466</v>
      </c>
      <c r="F112">
        <v>26849228.260000002</v>
      </c>
      <c r="G112">
        <v>7502845.6299999999</v>
      </c>
      <c r="H112">
        <v>19346382.620000001</v>
      </c>
      <c r="I112">
        <v>1.72</v>
      </c>
      <c r="J112">
        <v>3.7</v>
      </c>
    </row>
    <row r="113" spans="1:10" x14ac:dyDescent="0.25">
      <c r="A113">
        <v>44587</v>
      </c>
      <c r="B113" t="s">
        <v>19</v>
      </c>
      <c r="C113" t="s">
        <v>24</v>
      </c>
      <c r="D113" t="s">
        <v>17</v>
      </c>
      <c r="E113">
        <v>84</v>
      </c>
      <c r="F113">
        <v>6740122.0599999996</v>
      </c>
      <c r="G113">
        <v>1415695.35</v>
      </c>
      <c r="H113">
        <v>5324426.71</v>
      </c>
      <c r="I113">
        <v>3.77</v>
      </c>
      <c r="J113">
        <v>4.42</v>
      </c>
    </row>
    <row r="114" spans="1:10" x14ac:dyDescent="0.25">
      <c r="A114">
        <v>45423</v>
      </c>
      <c r="B114" t="s">
        <v>19</v>
      </c>
      <c r="C114" t="s">
        <v>20</v>
      </c>
      <c r="D114" t="s">
        <v>17</v>
      </c>
      <c r="E114">
        <v>499</v>
      </c>
      <c r="F114">
        <v>19736030.390000001</v>
      </c>
      <c r="G114">
        <v>4434048.6100000003</v>
      </c>
      <c r="H114">
        <v>15301981.779999999</v>
      </c>
      <c r="I114">
        <v>2.98</v>
      </c>
      <c r="J114">
        <v>3.75</v>
      </c>
    </row>
    <row r="115" spans="1:10" x14ac:dyDescent="0.25">
      <c r="A115">
        <v>45108</v>
      </c>
      <c r="B115" t="s">
        <v>19</v>
      </c>
      <c r="C115" t="s">
        <v>21</v>
      </c>
      <c r="D115" t="s">
        <v>17</v>
      </c>
      <c r="E115">
        <v>338</v>
      </c>
      <c r="F115">
        <v>26285626.449999999</v>
      </c>
      <c r="G115">
        <v>7988884.8799999999</v>
      </c>
      <c r="H115">
        <v>18296741.579999998</v>
      </c>
      <c r="I115">
        <v>4.93</v>
      </c>
      <c r="J115">
        <v>4.07</v>
      </c>
    </row>
    <row r="116" spans="1:10" x14ac:dyDescent="0.25">
      <c r="A116">
        <v>44212</v>
      </c>
      <c r="B116" t="s">
        <v>19</v>
      </c>
      <c r="C116" t="s">
        <v>22</v>
      </c>
      <c r="D116" t="s">
        <v>12</v>
      </c>
      <c r="E116">
        <v>331</v>
      </c>
      <c r="F116">
        <v>18519118.039999999</v>
      </c>
      <c r="G116">
        <v>3815255.37</v>
      </c>
      <c r="H116">
        <v>14703862.67</v>
      </c>
      <c r="I116">
        <v>4.29</v>
      </c>
      <c r="J116">
        <v>4.76</v>
      </c>
    </row>
    <row r="117" spans="1:10" x14ac:dyDescent="0.25">
      <c r="A117">
        <v>45179</v>
      </c>
      <c r="B117" t="s">
        <v>19</v>
      </c>
      <c r="C117" t="s">
        <v>22</v>
      </c>
      <c r="D117" t="s">
        <v>12</v>
      </c>
      <c r="E117">
        <v>147</v>
      </c>
      <c r="F117">
        <v>5442704.7999999998</v>
      </c>
      <c r="G117">
        <v>2031378.41</v>
      </c>
      <c r="H117">
        <v>3411326.39</v>
      </c>
      <c r="I117">
        <v>0.56000000000000005</v>
      </c>
      <c r="J117">
        <v>3.61</v>
      </c>
    </row>
    <row r="118" spans="1:10" x14ac:dyDescent="0.25">
      <c r="A118">
        <v>45347</v>
      </c>
      <c r="B118" t="s">
        <v>19</v>
      </c>
      <c r="C118" t="s">
        <v>22</v>
      </c>
      <c r="D118" t="s">
        <v>14</v>
      </c>
      <c r="E118">
        <v>246</v>
      </c>
      <c r="F118">
        <v>22136180.120000001</v>
      </c>
      <c r="G118">
        <v>4442125.54</v>
      </c>
      <c r="H118">
        <v>17694054.579999998</v>
      </c>
      <c r="I118">
        <v>3</v>
      </c>
      <c r="J118">
        <v>4.6500000000000004</v>
      </c>
    </row>
    <row r="119" spans="1:10" x14ac:dyDescent="0.25">
      <c r="A119">
        <v>45608</v>
      </c>
      <c r="B119" t="s">
        <v>19</v>
      </c>
      <c r="C119" t="s">
        <v>21</v>
      </c>
      <c r="D119" t="s">
        <v>14</v>
      </c>
      <c r="E119">
        <v>214</v>
      </c>
      <c r="F119">
        <v>16400845.75</v>
      </c>
      <c r="G119">
        <v>5320924.58</v>
      </c>
      <c r="H119">
        <v>11079921.16</v>
      </c>
      <c r="I119">
        <v>1.58</v>
      </c>
      <c r="J119">
        <v>3.81</v>
      </c>
    </row>
    <row r="120" spans="1:10" x14ac:dyDescent="0.25">
      <c r="A120">
        <v>44998</v>
      </c>
      <c r="B120" t="s">
        <v>19</v>
      </c>
      <c r="C120" t="s">
        <v>23</v>
      </c>
      <c r="D120" t="s">
        <v>14</v>
      </c>
      <c r="E120">
        <v>50</v>
      </c>
      <c r="F120">
        <v>4373640.32</v>
      </c>
      <c r="G120">
        <v>1219218.1599999999</v>
      </c>
      <c r="H120">
        <v>3154422.16</v>
      </c>
      <c r="I120">
        <v>1.53</v>
      </c>
      <c r="J120">
        <v>4.51</v>
      </c>
    </row>
    <row r="121" spans="1:10" x14ac:dyDescent="0.25">
      <c r="A121">
        <v>44365</v>
      </c>
      <c r="B121" t="s">
        <v>19</v>
      </c>
      <c r="C121" t="s">
        <v>21</v>
      </c>
      <c r="D121" t="s">
        <v>17</v>
      </c>
      <c r="E121">
        <v>337</v>
      </c>
      <c r="F121">
        <v>12664226.029999999</v>
      </c>
      <c r="G121">
        <v>4385184.5999999996</v>
      </c>
      <c r="H121">
        <v>8279041.4299999997</v>
      </c>
      <c r="I121">
        <v>0.6</v>
      </c>
      <c r="J121">
        <v>4.25</v>
      </c>
    </row>
    <row r="122" spans="1:10" x14ac:dyDescent="0.25">
      <c r="A122">
        <v>45168</v>
      </c>
      <c r="B122" t="s">
        <v>19</v>
      </c>
      <c r="C122" t="s">
        <v>23</v>
      </c>
      <c r="D122" t="s">
        <v>17</v>
      </c>
      <c r="E122">
        <v>487</v>
      </c>
      <c r="F122">
        <v>37731548.119999997</v>
      </c>
      <c r="G122">
        <v>11167304.41</v>
      </c>
      <c r="H122">
        <v>26564243.710000001</v>
      </c>
      <c r="I122">
        <v>4.33</v>
      </c>
      <c r="J122">
        <v>4.33</v>
      </c>
    </row>
    <row r="123" spans="1:10" x14ac:dyDescent="0.25">
      <c r="A123">
        <v>44329</v>
      </c>
      <c r="B123" t="s">
        <v>19</v>
      </c>
      <c r="C123" t="s">
        <v>23</v>
      </c>
      <c r="D123" t="s">
        <v>14</v>
      </c>
      <c r="E123">
        <v>438</v>
      </c>
      <c r="F123">
        <v>17459754.100000001</v>
      </c>
      <c r="G123">
        <v>4218912.6900000004</v>
      </c>
      <c r="H123">
        <v>13240841.41</v>
      </c>
      <c r="I123">
        <v>3.15</v>
      </c>
      <c r="J123">
        <v>4.22</v>
      </c>
    </row>
    <row r="124" spans="1:10" x14ac:dyDescent="0.25">
      <c r="A124">
        <v>44201</v>
      </c>
      <c r="B124" t="s">
        <v>19</v>
      </c>
      <c r="C124" t="s">
        <v>22</v>
      </c>
      <c r="D124" t="s">
        <v>14</v>
      </c>
      <c r="E124">
        <v>456</v>
      </c>
      <c r="F124">
        <v>34898842.369999997</v>
      </c>
      <c r="G124">
        <v>9629919.9000000004</v>
      </c>
      <c r="H124">
        <v>25268922.469999999</v>
      </c>
      <c r="I124">
        <v>3.67</v>
      </c>
      <c r="J124">
        <v>3.82</v>
      </c>
    </row>
    <row r="125" spans="1:10" x14ac:dyDescent="0.25">
      <c r="A125">
        <v>45350</v>
      </c>
      <c r="B125" t="s">
        <v>19</v>
      </c>
      <c r="C125" t="s">
        <v>20</v>
      </c>
      <c r="D125" t="s">
        <v>12</v>
      </c>
      <c r="E125">
        <v>471</v>
      </c>
      <c r="F125">
        <v>32475216.460000001</v>
      </c>
      <c r="G125">
        <v>6621938.7400000002</v>
      </c>
      <c r="H125">
        <v>25853277.719999999</v>
      </c>
      <c r="I125">
        <v>3.24</v>
      </c>
      <c r="J125">
        <v>4.45</v>
      </c>
    </row>
    <row r="126" spans="1:10" x14ac:dyDescent="0.25">
      <c r="A126">
        <v>44622</v>
      </c>
      <c r="B126" t="s">
        <v>19</v>
      </c>
      <c r="C126" t="s">
        <v>22</v>
      </c>
      <c r="D126" t="s">
        <v>14</v>
      </c>
      <c r="E126">
        <v>384</v>
      </c>
      <c r="F126">
        <v>22679470.350000001</v>
      </c>
      <c r="G126">
        <v>4970620.08</v>
      </c>
      <c r="H126">
        <v>17708850.27</v>
      </c>
      <c r="I126">
        <v>2.0699999999999998</v>
      </c>
      <c r="J126">
        <v>4.2699999999999996</v>
      </c>
    </row>
    <row r="127" spans="1:10" x14ac:dyDescent="0.25">
      <c r="A127">
        <v>45027</v>
      </c>
      <c r="B127" t="s">
        <v>19</v>
      </c>
      <c r="C127" t="s">
        <v>24</v>
      </c>
      <c r="D127" t="s">
        <v>17</v>
      </c>
      <c r="E127">
        <v>384</v>
      </c>
      <c r="F127">
        <v>21814983.559999999</v>
      </c>
      <c r="G127">
        <v>6011831.2000000002</v>
      </c>
      <c r="H127">
        <v>15803152.369999999</v>
      </c>
      <c r="I127">
        <v>4.38</v>
      </c>
      <c r="J127">
        <v>4.92</v>
      </c>
    </row>
    <row r="128" spans="1:10" x14ac:dyDescent="0.25">
      <c r="A128">
        <v>44429</v>
      </c>
      <c r="B128" t="s">
        <v>19</v>
      </c>
      <c r="C128" t="s">
        <v>20</v>
      </c>
      <c r="D128" t="s">
        <v>12</v>
      </c>
      <c r="E128">
        <v>437</v>
      </c>
      <c r="F128">
        <v>26335400.530000001</v>
      </c>
      <c r="G128">
        <v>6098797.2699999996</v>
      </c>
      <c r="H128">
        <v>20236603.260000002</v>
      </c>
      <c r="I128">
        <v>3.96</v>
      </c>
      <c r="J128">
        <v>3.6</v>
      </c>
    </row>
    <row r="129" spans="1:10" x14ac:dyDescent="0.25">
      <c r="A129">
        <v>44166</v>
      </c>
      <c r="B129" t="s">
        <v>19</v>
      </c>
      <c r="C129" t="s">
        <v>24</v>
      </c>
      <c r="D129" t="s">
        <v>12</v>
      </c>
      <c r="E129">
        <v>118</v>
      </c>
      <c r="F129">
        <v>10490411.41</v>
      </c>
      <c r="G129">
        <v>3162611.27</v>
      </c>
      <c r="H129">
        <v>7327800.1399999997</v>
      </c>
      <c r="I129">
        <v>1.98</v>
      </c>
      <c r="J129">
        <v>4.45</v>
      </c>
    </row>
    <row r="130" spans="1:10" x14ac:dyDescent="0.25">
      <c r="A130">
        <v>44844</v>
      </c>
      <c r="B130" t="s">
        <v>19</v>
      </c>
      <c r="C130" t="s">
        <v>23</v>
      </c>
      <c r="D130" t="s">
        <v>14</v>
      </c>
      <c r="E130">
        <v>289</v>
      </c>
      <c r="F130">
        <v>15544147.23</v>
      </c>
      <c r="G130">
        <v>4547398.5599999996</v>
      </c>
      <c r="H130">
        <v>10996748.67</v>
      </c>
      <c r="I130">
        <v>2.57</v>
      </c>
      <c r="J130">
        <v>4.38</v>
      </c>
    </row>
    <row r="131" spans="1:10" x14ac:dyDescent="0.25">
      <c r="A131">
        <v>44426</v>
      </c>
      <c r="B131" t="s">
        <v>19</v>
      </c>
      <c r="C131" t="s">
        <v>22</v>
      </c>
      <c r="D131" t="s">
        <v>14</v>
      </c>
      <c r="E131">
        <v>423</v>
      </c>
      <c r="F131">
        <v>31036236.100000001</v>
      </c>
      <c r="G131">
        <v>11296772.369999999</v>
      </c>
      <c r="H131">
        <v>19739463.739999998</v>
      </c>
      <c r="I131">
        <v>3.63</v>
      </c>
      <c r="J131">
        <v>4.12</v>
      </c>
    </row>
    <row r="132" spans="1:10" x14ac:dyDescent="0.25">
      <c r="A132">
        <v>44928</v>
      </c>
      <c r="B132" t="s">
        <v>19</v>
      </c>
      <c r="C132" t="s">
        <v>23</v>
      </c>
      <c r="D132" t="s">
        <v>12</v>
      </c>
      <c r="E132">
        <v>401</v>
      </c>
      <c r="F132">
        <v>24488223.98</v>
      </c>
      <c r="G132">
        <v>6525828.9100000001</v>
      </c>
      <c r="H132">
        <v>17962395.07</v>
      </c>
      <c r="I132">
        <v>1.28</v>
      </c>
      <c r="J132">
        <v>3.79</v>
      </c>
    </row>
    <row r="133" spans="1:10" x14ac:dyDescent="0.25">
      <c r="A133">
        <v>44608</v>
      </c>
      <c r="B133" t="s">
        <v>19</v>
      </c>
      <c r="C133" t="s">
        <v>24</v>
      </c>
      <c r="D133" t="s">
        <v>17</v>
      </c>
      <c r="E133">
        <v>452</v>
      </c>
      <c r="F133">
        <v>36249715.229999997</v>
      </c>
      <c r="G133">
        <v>11998056.689999999</v>
      </c>
      <c r="H133">
        <v>24251658.539999999</v>
      </c>
      <c r="I133">
        <v>2.06</v>
      </c>
      <c r="J133">
        <v>3.55</v>
      </c>
    </row>
    <row r="134" spans="1:10" x14ac:dyDescent="0.25">
      <c r="A134">
        <v>44293</v>
      </c>
      <c r="B134" t="s">
        <v>19</v>
      </c>
      <c r="C134" t="s">
        <v>22</v>
      </c>
      <c r="D134" t="s">
        <v>14</v>
      </c>
      <c r="E134">
        <v>375</v>
      </c>
      <c r="F134">
        <v>15613114.84</v>
      </c>
      <c r="G134">
        <v>4806407.57</v>
      </c>
      <c r="H134">
        <v>10806707.27</v>
      </c>
      <c r="I134">
        <v>1.43</v>
      </c>
      <c r="J134">
        <v>4.05</v>
      </c>
    </row>
    <row r="135" spans="1:10" x14ac:dyDescent="0.25">
      <c r="A135">
        <v>45429</v>
      </c>
      <c r="B135" t="s">
        <v>19</v>
      </c>
      <c r="C135" t="s">
        <v>23</v>
      </c>
      <c r="D135" t="s">
        <v>17</v>
      </c>
      <c r="E135">
        <v>127</v>
      </c>
      <c r="F135">
        <v>6750745.0999999996</v>
      </c>
      <c r="G135">
        <v>2266113.39</v>
      </c>
      <c r="H135">
        <v>4484631.71</v>
      </c>
      <c r="I135">
        <v>0.92</v>
      </c>
      <c r="J135">
        <v>4.22</v>
      </c>
    </row>
    <row r="136" spans="1:10" x14ac:dyDescent="0.25">
      <c r="A136">
        <v>44160</v>
      </c>
      <c r="B136" t="s">
        <v>19</v>
      </c>
      <c r="C136" t="s">
        <v>21</v>
      </c>
      <c r="D136" t="s">
        <v>14</v>
      </c>
      <c r="E136">
        <v>263</v>
      </c>
      <c r="F136">
        <v>10387644.4</v>
      </c>
      <c r="G136">
        <v>2340172.94</v>
      </c>
      <c r="H136">
        <v>8047471.46</v>
      </c>
      <c r="I136">
        <v>4.6399999999999997</v>
      </c>
      <c r="J136">
        <v>3.59</v>
      </c>
    </row>
    <row r="137" spans="1:10" x14ac:dyDescent="0.25">
      <c r="A137">
        <v>44952</v>
      </c>
      <c r="B137" t="s">
        <v>19</v>
      </c>
      <c r="C137" t="s">
        <v>21</v>
      </c>
      <c r="D137" t="s">
        <v>12</v>
      </c>
      <c r="E137">
        <v>75</v>
      </c>
      <c r="F137">
        <v>6206742.0700000003</v>
      </c>
      <c r="G137">
        <v>2377781.77</v>
      </c>
      <c r="H137">
        <v>3828960.29</v>
      </c>
      <c r="I137">
        <v>3.19</v>
      </c>
      <c r="J137">
        <v>4.9800000000000004</v>
      </c>
    </row>
    <row r="138" spans="1:10" x14ac:dyDescent="0.25">
      <c r="A138">
        <v>44620</v>
      </c>
      <c r="B138" t="s">
        <v>19</v>
      </c>
      <c r="C138" t="s">
        <v>23</v>
      </c>
      <c r="D138" t="s">
        <v>17</v>
      </c>
      <c r="E138">
        <v>352</v>
      </c>
      <c r="F138">
        <v>19492339.91</v>
      </c>
      <c r="G138">
        <v>5908038.6200000001</v>
      </c>
      <c r="H138">
        <v>13584301.289999999</v>
      </c>
      <c r="I138">
        <v>3.28</v>
      </c>
      <c r="J138">
        <v>4.05</v>
      </c>
    </row>
    <row r="139" spans="1:10" x14ac:dyDescent="0.25">
      <c r="A139">
        <v>44918</v>
      </c>
      <c r="B139" t="s">
        <v>19</v>
      </c>
      <c r="C139" t="s">
        <v>20</v>
      </c>
      <c r="D139" t="s">
        <v>12</v>
      </c>
      <c r="E139">
        <v>265</v>
      </c>
      <c r="F139">
        <v>19776521.59</v>
      </c>
      <c r="G139">
        <v>7664029.5800000001</v>
      </c>
      <c r="H139">
        <v>12112492.02</v>
      </c>
      <c r="I139">
        <v>1.1599999999999999</v>
      </c>
      <c r="J139">
        <v>3.7</v>
      </c>
    </row>
    <row r="140" spans="1:10" x14ac:dyDescent="0.25">
      <c r="A140">
        <v>44668</v>
      </c>
      <c r="B140" t="s">
        <v>19</v>
      </c>
      <c r="C140" t="s">
        <v>23</v>
      </c>
      <c r="D140" t="s">
        <v>12</v>
      </c>
      <c r="E140">
        <v>52</v>
      </c>
      <c r="F140">
        <v>4380291.5599999996</v>
      </c>
      <c r="G140">
        <v>1303857.3500000001</v>
      </c>
      <c r="H140">
        <v>3076434.21</v>
      </c>
      <c r="I140">
        <v>2.89</v>
      </c>
      <c r="J140">
        <v>3.66</v>
      </c>
    </row>
    <row r="141" spans="1:10" x14ac:dyDescent="0.25">
      <c r="A141">
        <v>44899</v>
      </c>
      <c r="B141" t="s">
        <v>19</v>
      </c>
      <c r="C141" t="s">
        <v>21</v>
      </c>
      <c r="D141" t="s">
        <v>12</v>
      </c>
      <c r="E141">
        <v>343</v>
      </c>
      <c r="F141">
        <v>22052824.73</v>
      </c>
      <c r="G141">
        <v>7751697.9900000002</v>
      </c>
      <c r="H141">
        <v>14301126.74</v>
      </c>
      <c r="I141">
        <v>1.71</v>
      </c>
      <c r="J141">
        <v>4.07</v>
      </c>
    </row>
    <row r="142" spans="1:10" x14ac:dyDescent="0.25">
      <c r="A142">
        <v>44623</v>
      </c>
      <c r="B142" t="s">
        <v>19</v>
      </c>
      <c r="C142" t="s">
        <v>20</v>
      </c>
      <c r="D142" t="s">
        <v>17</v>
      </c>
      <c r="E142">
        <v>251</v>
      </c>
      <c r="F142">
        <v>16570538.1</v>
      </c>
      <c r="G142">
        <v>3842011.87</v>
      </c>
      <c r="H142">
        <v>12728526.23</v>
      </c>
      <c r="I142">
        <v>0.9</v>
      </c>
      <c r="J142">
        <v>4.3</v>
      </c>
    </row>
    <row r="143" spans="1:10" x14ac:dyDescent="0.25">
      <c r="A143">
        <v>44819</v>
      </c>
      <c r="B143" t="s">
        <v>19</v>
      </c>
      <c r="C143" t="s">
        <v>22</v>
      </c>
      <c r="D143" t="s">
        <v>12</v>
      </c>
      <c r="E143">
        <v>74</v>
      </c>
      <c r="F143">
        <v>6214446.0300000003</v>
      </c>
      <c r="G143">
        <v>1748008.76</v>
      </c>
      <c r="H143">
        <v>4466437.2699999996</v>
      </c>
      <c r="I143">
        <v>3.56</v>
      </c>
      <c r="J143">
        <v>4.68</v>
      </c>
    </row>
    <row r="144" spans="1:10" x14ac:dyDescent="0.25">
      <c r="A144">
        <v>43863</v>
      </c>
      <c r="B144" t="s">
        <v>19</v>
      </c>
      <c r="C144" t="s">
        <v>23</v>
      </c>
      <c r="D144" t="s">
        <v>14</v>
      </c>
      <c r="E144">
        <v>158</v>
      </c>
      <c r="F144">
        <v>9697568.4600000009</v>
      </c>
      <c r="G144">
        <v>2745964.49</v>
      </c>
      <c r="H144">
        <v>6951603.9800000004</v>
      </c>
      <c r="I144">
        <v>3.82</v>
      </c>
      <c r="J144">
        <v>4.34</v>
      </c>
    </row>
    <row r="145" spans="1:10" x14ac:dyDescent="0.25">
      <c r="A145">
        <v>44922</v>
      </c>
      <c r="B145" t="s">
        <v>19</v>
      </c>
      <c r="C145" t="s">
        <v>24</v>
      </c>
      <c r="D145" t="s">
        <v>12</v>
      </c>
      <c r="E145">
        <v>473</v>
      </c>
      <c r="F145">
        <v>27784623.100000001</v>
      </c>
      <c r="G145">
        <v>10404895.109999999</v>
      </c>
      <c r="H145">
        <v>17379727.98</v>
      </c>
      <c r="I145">
        <v>1.78</v>
      </c>
      <c r="J145">
        <v>4.04</v>
      </c>
    </row>
    <row r="146" spans="1:10" x14ac:dyDescent="0.25">
      <c r="A146">
        <v>45566</v>
      </c>
      <c r="B146" t="s">
        <v>19</v>
      </c>
      <c r="C146" t="s">
        <v>24</v>
      </c>
      <c r="D146" t="s">
        <v>14</v>
      </c>
      <c r="E146">
        <v>331</v>
      </c>
      <c r="F146">
        <v>22645542.82</v>
      </c>
      <c r="G146">
        <v>7951515.1600000001</v>
      </c>
      <c r="H146">
        <v>14694027.66</v>
      </c>
      <c r="I146">
        <v>2.74</v>
      </c>
      <c r="J146">
        <v>4</v>
      </c>
    </row>
    <row r="147" spans="1:10" x14ac:dyDescent="0.25">
      <c r="A147">
        <v>43977</v>
      </c>
      <c r="B147" t="s">
        <v>19</v>
      </c>
      <c r="C147" t="s">
        <v>20</v>
      </c>
      <c r="D147" t="s">
        <v>14</v>
      </c>
      <c r="E147">
        <v>426</v>
      </c>
      <c r="F147">
        <v>20468223.73</v>
      </c>
      <c r="G147">
        <v>7770628.21</v>
      </c>
      <c r="H147">
        <v>12697595.52</v>
      </c>
      <c r="I147">
        <v>1.19</v>
      </c>
      <c r="J147">
        <v>3.87</v>
      </c>
    </row>
    <row r="148" spans="1:10" x14ac:dyDescent="0.25">
      <c r="A148">
        <v>44511</v>
      </c>
      <c r="B148" t="s">
        <v>19</v>
      </c>
      <c r="C148" t="s">
        <v>23</v>
      </c>
      <c r="D148" t="s">
        <v>12</v>
      </c>
      <c r="E148">
        <v>53</v>
      </c>
      <c r="F148">
        <v>4335133.0599999996</v>
      </c>
      <c r="G148">
        <v>1657852.32</v>
      </c>
      <c r="H148">
        <v>2677280.75</v>
      </c>
      <c r="I148">
        <v>4.13</v>
      </c>
      <c r="J148">
        <v>3.58</v>
      </c>
    </row>
    <row r="149" spans="1:10" x14ac:dyDescent="0.25">
      <c r="A149">
        <v>44697</v>
      </c>
      <c r="B149" t="s">
        <v>19</v>
      </c>
      <c r="C149" t="s">
        <v>23</v>
      </c>
      <c r="D149" t="s">
        <v>14</v>
      </c>
      <c r="E149">
        <v>186</v>
      </c>
      <c r="F149">
        <v>7330791.2199999997</v>
      </c>
      <c r="G149">
        <v>2163299.79</v>
      </c>
      <c r="H149">
        <v>5167491.43</v>
      </c>
      <c r="I149">
        <v>2.35</v>
      </c>
      <c r="J149">
        <v>4.97</v>
      </c>
    </row>
    <row r="150" spans="1:10" x14ac:dyDescent="0.25">
      <c r="A150">
        <v>44738</v>
      </c>
      <c r="B150" t="s">
        <v>19</v>
      </c>
      <c r="C150" t="s">
        <v>24</v>
      </c>
      <c r="D150" t="s">
        <v>14</v>
      </c>
      <c r="E150">
        <v>272</v>
      </c>
      <c r="F150">
        <v>22933289.530000001</v>
      </c>
      <c r="G150">
        <v>6531408.1200000001</v>
      </c>
      <c r="H150">
        <v>16401881.42</v>
      </c>
      <c r="I150">
        <v>4.63</v>
      </c>
      <c r="J150">
        <v>3.51</v>
      </c>
    </row>
    <row r="151" spans="1:10" x14ac:dyDescent="0.25">
      <c r="A151">
        <v>43891</v>
      </c>
      <c r="B151" t="s">
        <v>19</v>
      </c>
      <c r="C151" t="s">
        <v>20</v>
      </c>
      <c r="D151" t="s">
        <v>17</v>
      </c>
      <c r="E151">
        <v>167</v>
      </c>
      <c r="F151">
        <v>8213837.4699999997</v>
      </c>
      <c r="G151">
        <v>3004806.41</v>
      </c>
      <c r="H151">
        <v>5209031.05</v>
      </c>
      <c r="I151">
        <v>3.51</v>
      </c>
      <c r="J151">
        <v>4.8899999999999997</v>
      </c>
    </row>
    <row r="152" spans="1:10" x14ac:dyDescent="0.25">
      <c r="A152">
        <v>45148</v>
      </c>
      <c r="B152" t="s">
        <v>19</v>
      </c>
      <c r="C152" t="s">
        <v>22</v>
      </c>
      <c r="D152" t="s">
        <v>12</v>
      </c>
      <c r="E152">
        <v>384</v>
      </c>
      <c r="F152">
        <v>24739975.780000001</v>
      </c>
      <c r="G152">
        <v>7537679.4100000001</v>
      </c>
      <c r="H152">
        <v>17202296.370000001</v>
      </c>
      <c r="I152">
        <v>4.2699999999999996</v>
      </c>
      <c r="J152">
        <v>3.81</v>
      </c>
    </row>
    <row r="153" spans="1:10" x14ac:dyDescent="0.25">
      <c r="A153">
        <v>45132</v>
      </c>
      <c r="B153" t="s">
        <v>19</v>
      </c>
      <c r="C153" t="s">
        <v>22</v>
      </c>
      <c r="D153" t="s">
        <v>17</v>
      </c>
      <c r="E153">
        <v>459</v>
      </c>
      <c r="F153">
        <v>24236282.32</v>
      </c>
      <c r="G153">
        <v>7632313.4000000004</v>
      </c>
      <c r="H153">
        <v>16603968.92</v>
      </c>
      <c r="I153">
        <v>2.78</v>
      </c>
      <c r="J153">
        <v>3.86</v>
      </c>
    </row>
    <row r="154" spans="1:10" x14ac:dyDescent="0.25">
      <c r="A154">
        <v>45470</v>
      </c>
      <c r="B154" t="s">
        <v>19</v>
      </c>
      <c r="C154" t="s">
        <v>22</v>
      </c>
      <c r="D154" t="s">
        <v>14</v>
      </c>
      <c r="E154">
        <v>96</v>
      </c>
      <c r="F154">
        <v>7094174.9100000001</v>
      </c>
      <c r="G154">
        <v>1748317.55</v>
      </c>
      <c r="H154">
        <v>5345857.3600000003</v>
      </c>
      <c r="I154">
        <v>0.89</v>
      </c>
      <c r="J154">
        <v>4.26</v>
      </c>
    </row>
    <row r="155" spans="1:10" x14ac:dyDescent="0.25">
      <c r="A155">
        <v>45652</v>
      </c>
      <c r="B155" t="s">
        <v>19</v>
      </c>
      <c r="C155" t="s">
        <v>21</v>
      </c>
      <c r="D155" t="s">
        <v>14</v>
      </c>
      <c r="E155">
        <v>405</v>
      </c>
      <c r="F155">
        <v>21317304.829999998</v>
      </c>
      <c r="G155">
        <v>5994924.5300000003</v>
      </c>
      <c r="H155">
        <v>15322380.300000001</v>
      </c>
      <c r="I155">
        <v>2.16</v>
      </c>
      <c r="J155">
        <v>4.18</v>
      </c>
    </row>
    <row r="156" spans="1:10" x14ac:dyDescent="0.25">
      <c r="A156">
        <v>44400</v>
      </c>
      <c r="B156" t="s">
        <v>19</v>
      </c>
      <c r="C156" t="s">
        <v>22</v>
      </c>
      <c r="D156" t="s">
        <v>12</v>
      </c>
      <c r="E156">
        <v>310</v>
      </c>
      <c r="F156">
        <v>11930543.25</v>
      </c>
      <c r="G156">
        <v>2410064.63</v>
      </c>
      <c r="H156">
        <v>9520478.6199999992</v>
      </c>
      <c r="I156">
        <v>1.95</v>
      </c>
      <c r="J156">
        <v>4.71</v>
      </c>
    </row>
    <row r="157" spans="1:10" x14ac:dyDescent="0.25">
      <c r="A157">
        <v>44014</v>
      </c>
      <c r="B157" t="s">
        <v>19</v>
      </c>
      <c r="C157" t="s">
        <v>22</v>
      </c>
      <c r="D157" t="s">
        <v>12</v>
      </c>
      <c r="E157">
        <v>370</v>
      </c>
      <c r="F157">
        <v>15775084.140000001</v>
      </c>
      <c r="G157">
        <v>6301480.7199999997</v>
      </c>
      <c r="H157">
        <v>9473603.4199999999</v>
      </c>
      <c r="I157">
        <v>1.03</v>
      </c>
      <c r="J157">
        <v>4.21</v>
      </c>
    </row>
    <row r="158" spans="1:10" x14ac:dyDescent="0.25">
      <c r="A158">
        <v>45506</v>
      </c>
      <c r="B158" t="s">
        <v>19</v>
      </c>
      <c r="C158" t="s">
        <v>20</v>
      </c>
      <c r="D158" t="s">
        <v>12</v>
      </c>
      <c r="E158">
        <v>87</v>
      </c>
      <c r="F158">
        <v>5015658.7699999996</v>
      </c>
      <c r="G158">
        <v>1656302.67</v>
      </c>
      <c r="H158">
        <v>3359356.1</v>
      </c>
      <c r="I158">
        <v>4.68</v>
      </c>
      <c r="J158">
        <v>4.75</v>
      </c>
    </row>
    <row r="159" spans="1:10" x14ac:dyDescent="0.25">
      <c r="A159">
        <v>44677</v>
      </c>
      <c r="B159" t="s">
        <v>19</v>
      </c>
      <c r="C159" t="s">
        <v>21</v>
      </c>
      <c r="D159" t="s">
        <v>14</v>
      </c>
      <c r="E159">
        <v>285</v>
      </c>
      <c r="F159">
        <v>16378524.24</v>
      </c>
      <c r="G159">
        <v>3495379.95</v>
      </c>
      <c r="H159">
        <v>12883144.289999999</v>
      </c>
      <c r="I159">
        <v>4.96</v>
      </c>
      <c r="J159">
        <v>3.81</v>
      </c>
    </row>
    <row r="160" spans="1:10" x14ac:dyDescent="0.25">
      <c r="A160">
        <v>43984</v>
      </c>
      <c r="B160" t="s">
        <v>19</v>
      </c>
      <c r="C160" t="s">
        <v>24</v>
      </c>
      <c r="D160" t="s">
        <v>12</v>
      </c>
      <c r="E160">
        <v>84</v>
      </c>
      <c r="F160">
        <v>7220196.3399999999</v>
      </c>
      <c r="G160">
        <v>1846064.78</v>
      </c>
      <c r="H160">
        <v>5374131.5599999996</v>
      </c>
      <c r="I160">
        <v>0.72</v>
      </c>
      <c r="J160">
        <v>4.67</v>
      </c>
    </row>
    <row r="161" spans="1:10" x14ac:dyDescent="0.25">
      <c r="A161">
        <v>45526</v>
      </c>
      <c r="B161" t="s">
        <v>19</v>
      </c>
      <c r="C161" t="s">
        <v>21</v>
      </c>
      <c r="D161" t="s">
        <v>14</v>
      </c>
      <c r="E161">
        <v>316</v>
      </c>
      <c r="F161">
        <v>24881745.879999999</v>
      </c>
      <c r="G161">
        <v>8949330.4000000004</v>
      </c>
      <c r="H161">
        <v>15932415.48</v>
      </c>
      <c r="I161">
        <v>1.24</v>
      </c>
      <c r="J161">
        <v>3.75</v>
      </c>
    </row>
    <row r="162" spans="1:10" x14ac:dyDescent="0.25">
      <c r="A162">
        <v>44146</v>
      </c>
      <c r="B162" t="s">
        <v>19</v>
      </c>
      <c r="C162" t="s">
        <v>23</v>
      </c>
      <c r="D162" t="s">
        <v>14</v>
      </c>
      <c r="E162">
        <v>54</v>
      </c>
      <c r="F162">
        <v>2590004.4900000002</v>
      </c>
      <c r="G162">
        <v>707714.29</v>
      </c>
      <c r="H162">
        <v>1882290.2</v>
      </c>
      <c r="I162">
        <v>4.59</v>
      </c>
      <c r="J162">
        <v>3.97</v>
      </c>
    </row>
    <row r="163" spans="1:10" x14ac:dyDescent="0.25">
      <c r="A163">
        <v>44077</v>
      </c>
      <c r="B163" t="s">
        <v>19</v>
      </c>
      <c r="C163" t="s">
        <v>21</v>
      </c>
      <c r="D163" t="s">
        <v>17</v>
      </c>
      <c r="E163">
        <v>91</v>
      </c>
      <c r="F163">
        <v>5149187.76</v>
      </c>
      <c r="G163">
        <v>1218710.3400000001</v>
      </c>
      <c r="H163">
        <v>3930477.43</v>
      </c>
      <c r="I163">
        <v>2.48</v>
      </c>
      <c r="J163">
        <v>4.07</v>
      </c>
    </row>
    <row r="164" spans="1:10" x14ac:dyDescent="0.25">
      <c r="A164">
        <v>44766</v>
      </c>
      <c r="B164" t="s">
        <v>19</v>
      </c>
      <c r="C164" t="s">
        <v>21</v>
      </c>
      <c r="D164" t="s">
        <v>14</v>
      </c>
      <c r="E164">
        <v>228</v>
      </c>
      <c r="F164">
        <v>15806233.359999999</v>
      </c>
      <c r="G164">
        <v>4616112.26</v>
      </c>
      <c r="H164">
        <v>11190121.1</v>
      </c>
      <c r="I164">
        <v>2.4700000000000002</v>
      </c>
      <c r="J164">
        <v>4.37</v>
      </c>
    </row>
    <row r="165" spans="1:10" x14ac:dyDescent="0.25">
      <c r="A165">
        <v>44392</v>
      </c>
      <c r="B165" t="s">
        <v>19</v>
      </c>
      <c r="C165" t="s">
        <v>22</v>
      </c>
      <c r="D165" t="s">
        <v>12</v>
      </c>
      <c r="E165">
        <v>194</v>
      </c>
      <c r="F165">
        <v>16388460.699999999</v>
      </c>
      <c r="G165">
        <v>5297107.04</v>
      </c>
      <c r="H165">
        <v>11091353.66</v>
      </c>
      <c r="I165">
        <v>2.95</v>
      </c>
      <c r="J165">
        <v>4.8600000000000003</v>
      </c>
    </row>
    <row r="166" spans="1:10" x14ac:dyDescent="0.25">
      <c r="A166">
        <v>44383</v>
      </c>
      <c r="B166" t="s">
        <v>19</v>
      </c>
      <c r="C166" t="s">
        <v>22</v>
      </c>
      <c r="D166" t="s">
        <v>17</v>
      </c>
      <c r="E166">
        <v>484</v>
      </c>
      <c r="F166">
        <v>31390648.649999999</v>
      </c>
      <c r="G166">
        <v>9847069.7899999991</v>
      </c>
      <c r="H166">
        <v>21543578.850000001</v>
      </c>
      <c r="I166">
        <v>2</v>
      </c>
      <c r="J166">
        <v>4.5999999999999996</v>
      </c>
    </row>
    <row r="167" spans="1:10" x14ac:dyDescent="0.25">
      <c r="A167">
        <v>44986</v>
      </c>
      <c r="B167" t="s">
        <v>19</v>
      </c>
      <c r="C167" t="s">
        <v>20</v>
      </c>
      <c r="D167" t="s">
        <v>17</v>
      </c>
      <c r="E167">
        <v>91</v>
      </c>
      <c r="F167">
        <v>3882056.72</v>
      </c>
      <c r="G167">
        <v>936332.52</v>
      </c>
      <c r="H167">
        <v>2945724.2</v>
      </c>
      <c r="I167">
        <v>3.29</v>
      </c>
      <c r="J167">
        <v>4.3</v>
      </c>
    </row>
    <row r="168" spans="1:10" x14ac:dyDescent="0.25">
      <c r="A168">
        <v>44501</v>
      </c>
      <c r="B168" t="s">
        <v>19</v>
      </c>
      <c r="C168" t="s">
        <v>23</v>
      </c>
      <c r="D168" t="s">
        <v>14</v>
      </c>
      <c r="E168">
        <v>280</v>
      </c>
      <c r="F168">
        <v>18626523.079999998</v>
      </c>
      <c r="G168">
        <v>3733900.32</v>
      </c>
      <c r="H168">
        <v>14892622.75</v>
      </c>
      <c r="I168">
        <v>3.89</v>
      </c>
      <c r="J168">
        <v>4.5599999999999996</v>
      </c>
    </row>
    <row r="169" spans="1:10" x14ac:dyDescent="0.25">
      <c r="A169">
        <v>44823</v>
      </c>
      <c r="B169" t="s">
        <v>19</v>
      </c>
      <c r="C169" t="s">
        <v>24</v>
      </c>
      <c r="D169" t="s">
        <v>17</v>
      </c>
      <c r="E169">
        <v>460</v>
      </c>
      <c r="F169">
        <v>34921841.200000003</v>
      </c>
      <c r="G169">
        <v>13734533.609999999</v>
      </c>
      <c r="H169">
        <v>21187307.59</v>
      </c>
      <c r="I169">
        <v>3.06</v>
      </c>
      <c r="J169">
        <v>4.6399999999999997</v>
      </c>
    </row>
    <row r="170" spans="1:10" x14ac:dyDescent="0.25">
      <c r="A170">
        <v>44626</v>
      </c>
      <c r="B170" t="s">
        <v>19</v>
      </c>
      <c r="C170" t="s">
        <v>23</v>
      </c>
      <c r="D170" t="s">
        <v>17</v>
      </c>
      <c r="E170">
        <v>172</v>
      </c>
      <c r="F170">
        <v>13158849.859999999</v>
      </c>
      <c r="G170">
        <v>4992688.63</v>
      </c>
      <c r="H170">
        <v>8166161.2400000002</v>
      </c>
      <c r="I170">
        <v>2.91</v>
      </c>
      <c r="J170">
        <v>4.07</v>
      </c>
    </row>
    <row r="171" spans="1:10" x14ac:dyDescent="0.25">
      <c r="A171">
        <v>45606</v>
      </c>
      <c r="B171" t="s">
        <v>19</v>
      </c>
      <c r="C171" t="s">
        <v>23</v>
      </c>
      <c r="D171" t="s">
        <v>17</v>
      </c>
      <c r="E171">
        <v>414</v>
      </c>
      <c r="F171">
        <v>17392916.84</v>
      </c>
      <c r="G171">
        <v>5575169.7800000003</v>
      </c>
      <c r="H171">
        <v>11817747.07</v>
      </c>
      <c r="I171">
        <v>4.09</v>
      </c>
      <c r="J171">
        <v>3.72</v>
      </c>
    </row>
    <row r="172" spans="1:10" x14ac:dyDescent="0.25">
      <c r="A172">
        <v>44592</v>
      </c>
      <c r="B172" t="s">
        <v>19</v>
      </c>
      <c r="C172" t="s">
        <v>23</v>
      </c>
      <c r="D172" t="s">
        <v>17</v>
      </c>
      <c r="E172">
        <v>96</v>
      </c>
      <c r="F172">
        <v>5519283.3399999999</v>
      </c>
      <c r="G172">
        <v>1355666.26</v>
      </c>
      <c r="H172">
        <v>4163617.07</v>
      </c>
      <c r="I172">
        <v>0.55000000000000004</v>
      </c>
      <c r="J172">
        <v>4.4000000000000004</v>
      </c>
    </row>
    <row r="173" spans="1:10" x14ac:dyDescent="0.25">
      <c r="A173">
        <v>45418</v>
      </c>
      <c r="B173" t="s">
        <v>19</v>
      </c>
      <c r="C173" t="s">
        <v>20</v>
      </c>
      <c r="D173" t="s">
        <v>17</v>
      </c>
      <c r="E173">
        <v>469</v>
      </c>
      <c r="F173">
        <v>30414577.02</v>
      </c>
      <c r="G173">
        <v>10634158.43</v>
      </c>
      <c r="H173">
        <v>19780418.579999998</v>
      </c>
      <c r="I173">
        <v>2.06</v>
      </c>
      <c r="J173">
        <v>3.77</v>
      </c>
    </row>
    <row r="174" spans="1:10" x14ac:dyDescent="0.25">
      <c r="A174">
        <v>44869</v>
      </c>
      <c r="B174" t="s">
        <v>19</v>
      </c>
      <c r="C174" t="s">
        <v>23</v>
      </c>
      <c r="D174" t="s">
        <v>17</v>
      </c>
      <c r="E174">
        <v>379</v>
      </c>
      <c r="F174">
        <v>20404918.140000001</v>
      </c>
      <c r="G174">
        <v>7234151.6200000001</v>
      </c>
      <c r="H174">
        <v>13170766.52</v>
      </c>
      <c r="I174">
        <v>2.41</v>
      </c>
      <c r="J174">
        <v>3.93</v>
      </c>
    </row>
    <row r="175" spans="1:10" x14ac:dyDescent="0.25">
      <c r="A175">
        <v>44423</v>
      </c>
      <c r="B175" t="s">
        <v>19</v>
      </c>
      <c r="C175" t="s">
        <v>21</v>
      </c>
      <c r="D175" t="s">
        <v>14</v>
      </c>
      <c r="E175">
        <v>412</v>
      </c>
      <c r="F175">
        <v>17894942.789999999</v>
      </c>
      <c r="G175">
        <v>5059867.26</v>
      </c>
      <c r="H175">
        <v>12835075.539999999</v>
      </c>
      <c r="I175">
        <v>2.78</v>
      </c>
      <c r="J175">
        <v>4.42</v>
      </c>
    </row>
    <row r="176" spans="1:10" x14ac:dyDescent="0.25">
      <c r="A176">
        <v>45033</v>
      </c>
      <c r="B176" t="s">
        <v>19</v>
      </c>
      <c r="C176" t="s">
        <v>20</v>
      </c>
      <c r="D176" t="s">
        <v>17</v>
      </c>
      <c r="E176">
        <v>160</v>
      </c>
      <c r="F176">
        <v>11989641.16</v>
      </c>
      <c r="G176">
        <v>3373973.97</v>
      </c>
      <c r="H176">
        <v>8615667.1899999995</v>
      </c>
      <c r="I176">
        <v>0.96</v>
      </c>
      <c r="J176">
        <v>4.88</v>
      </c>
    </row>
    <row r="177" spans="1:10" x14ac:dyDescent="0.25">
      <c r="A177">
        <v>44271</v>
      </c>
      <c r="B177" t="s">
        <v>19</v>
      </c>
      <c r="C177" t="s">
        <v>24</v>
      </c>
      <c r="D177" t="s">
        <v>12</v>
      </c>
      <c r="E177">
        <v>182</v>
      </c>
      <c r="F177">
        <v>15604218.810000001</v>
      </c>
      <c r="G177">
        <v>4034506.24</v>
      </c>
      <c r="H177">
        <v>11569712.560000001</v>
      </c>
      <c r="I177">
        <v>1.19</v>
      </c>
      <c r="J177">
        <v>4.3600000000000003</v>
      </c>
    </row>
    <row r="178" spans="1:10" x14ac:dyDescent="0.25">
      <c r="A178">
        <v>45288</v>
      </c>
      <c r="B178" t="s">
        <v>19</v>
      </c>
      <c r="C178" t="s">
        <v>23</v>
      </c>
      <c r="D178" t="s">
        <v>14</v>
      </c>
      <c r="E178">
        <v>427</v>
      </c>
      <c r="F178">
        <v>16563622.35</v>
      </c>
      <c r="G178">
        <v>6369305.5599999996</v>
      </c>
      <c r="H178">
        <v>10194316.800000001</v>
      </c>
      <c r="I178">
        <v>0.97</v>
      </c>
      <c r="J178">
        <v>4.76</v>
      </c>
    </row>
    <row r="179" spans="1:10" x14ac:dyDescent="0.25">
      <c r="A179">
        <v>44532</v>
      </c>
      <c r="B179" t="s">
        <v>19</v>
      </c>
      <c r="C179" t="s">
        <v>23</v>
      </c>
      <c r="D179" t="s">
        <v>17</v>
      </c>
      <c r="E179">
        <v>316</v>
      </c>
      <c r="F179">
        <v>18895588.280000001</v>
      </c>
      <c r="G179">
        <v>7130295.4100000001</v>
      </c>
      <c r="H179">
        <v>11765292.859999999</v>
      </c>
      <c r="I179">
        <v>4.93</v>
      </c>
      <c r="J179">
        <v>4.76</v>
      </c>
    </row>
    <row r="180" spans="1:10" x14ac:dyDescent="0.25">
      <c r="A180">
        <v>43847</v>
      </c>
      <c r="B180" t="s">
        <v>19</v>
      </c>
      <c r="C180" t="s">
        <v>21</v>
      </c>
      <c r="D180" t="s">
        <v>14</v>
      </c>
      <c r="E180">
        <v>231</v>
      </c>
      <c r="F180">
        <v>18725320.469999999</v>
      </c>
      <c r="G180">
        <v>6246218.5899999999</v>
      </c>
      <c r="H180">
        <v>12479101.890000001</v>
      </c>
      <c r="I180">
        <v>1.9</v>
      </c>
      <c r="J180">
        <v>3.84</v>
      </c>
    </row>
    <row r="181" spans="1:10" x14ac:dyDescent="0.25">
      <c r="A181">
        <v>44130</v>
      </c>
      <c r="B181" t="s">
        <v>19</v>
      </c>
      <c r="C181" t="s">
        <v>21</v>
      </c>
      <c r="D181" t="s">
        <v>14</v>
      </c>
      <c r="E181">
        <v>448</v>
      </c>
      <c r="F181">
        <v>25511426.620000001</v>
      </c>
      <c r="G181">
        <v>9925161.1400000006</v>
      </c>
      <c r="H181">
        <v>15586265.48</v>
      </c>
      <c r="I181">
        <v>2.0099999999999998</v>
      </c>
      <c r="J181">
        <v>4.7</v>
      </c>
    </row>
    <row r="182" spans="1:10" x14ac:dyDescent="0.25">
      <c r="A182">
        <v>44066</v>
      </c>
      <c r="B182" t="s">
        <v>19</v>
      </c>
      <c r="C182" t="s">
        <v>21</v>
      </c>
      <c r="D182" t="s">
        <v>14</v>
      </c>
      <c r="E182">
        <v>166</v>
      </c>
      <c r="F182">
        <v>11321977.58</v>
      </c>
      <c r="G182">
        <v>4270044.67</v>
      </c>
      <c r="H182">
        <v>7051932.9100000001</v>
      </c>
      <c r="I182">
        <v>2.37</v>
      </c>
      <c r="J182">
        <v>4.8</v>
      </c>
    </row>
    <row r="183" spans="1:10" x14ac:dyDescent="0.25">
      <c r="A183">
        <v>44735</v>
      </c>
      <c r="B183" t="s">
        <v>19</v>
      </c>
      <c r="C183" t="s">
        <v>24</v>
      </c>
      <c r="D183" t="s">
        <v>14</v>
      </c>
      <c r="E183">
        <v>343</v>
      </c>
      <c r="F183">
        <v>18538817.18</v>
      </c>
      <c r="G183">
        <v>6129106.4800000004</v>
      </c>
      <c r="H183">
        <v>12409710.710000001</v>
      </c>
      <c r="I183">
        <v>3.82</v>
      </c>
      <c r="J183">
        <v>4.18</v>
      </c>
    </row>
    <row r="184" spans="1:10" x14ac:dyDescent="0.25">
      <c r="A184">
        <v>44587</v>
      </c>
      <c r="B184" t="s">
        <v>19</v>
      </c>
      <c r="C184" t="s">
        <v>20</v>
      </c>
      <c r="D184" t="s">
        <v>12</v>
      </c>
      <c r="E184">
        <v>476</v>
      </c>
      <c r="F184">
        <v>17519925.829999998</v>
      </c>
      <c r="G184">
        <v>3809709.75</v>
      </c>
      <c r="H184">
        <v>13710216.07</v>
      </c>
      <c r="I184">
        <v>1.62</v>
      </c>
      <c r="J184">
        <v>4.37</v>
      </c>
    </row>
    <row r="185" spans="1:10" x14ac:dyDescent="0.25">
      <c r="A185">
        <v>44302</v>
      </c>
      <c r="B185" t="s">
        <v>19</v>
      </c>
      <c r="C185" t="s">
        <v>21</v>
      </c>
      <c r="D185" t="s">
        <v>14</v>
      </c>
      <c r="E185">
        <v>229</v>
      </c>
      <c r="F185">
        <v>13291366.039999999</v>
      </c>
      <c r="G185">
        <v>2884636.07</v>
      </c>
      <c r="H185">
        <v>10406729.970000001</v>
      </c>
      <c r="I185">
        <v>2.13</v>
      </c>
      <c r="J185">
        <v>4.37</v>
      </c>
    </row>
    <row r="186" spans="1:10" x14ac:dyDescent="0.25">
      <c r="A186">
        <v>44279</v>
      </c>
      <c r="B186" t="s">
        <v>19</v>
      </c>
      <c r="C186" t="s">
        <v>21</v>
      </c>
      <c r="D186" t="s">
        <v>12</v>
      </c>
      <c r="E186">
        <v>199</v>
      </c>
      <c r="F186">
        <v>9373964.0099999998</v>
      </c>
      <c r="G186">
        <v>3350853.2</v>
      </c>
      <c r="H186">
        <v>6023110.8099999996</v>
      </c>
      <c r="I186">
        <v>2.82</v>
      </c>
      <c r="J186">
        <v>4.96</v>
      </c>
    </row>
    <row r="187" spans="1:10" x14ac:dyDescent="0.25">
      <c r="A187">
        <v>44967</v>
      </c>
      <c r="B187" t="s">
        <v>19</v>
      </c>
      <c r="C187" t="s">
        <v>23</v>
      </c>
      <c r="D187" t="s">
        <v>12</v>
      </c>
      <c r="E187">
        <v>410</v>
      </c>
      <c r="F187">
        <v>17702344.510000002</v>
      </c>
      <c r="G187">
        <v>5612973.9900000002</v>
      </c>
      <c r="H187">
        <v>12089370.52</v>
      </c>
      <c r="I187">
        <v>0.88</v>
      </c>
      <c r="J187">
        <v>5</v>
      </c>
    </row>
    <row r="188" spans="1:10" x14ac:dyDescent="0.25">
      <c r="A188">
        <v>44232</v>
      </c>
      <c r="B188" t="s">
        <v>19</v>
      </c>
      <c r="C188" t="s">
        <v>22</v>
      </c>
      <c r="D188" t="s">
        <v>17</v>
      </c>
      <c r="E188">
        <v>98</v>
      </c>
      <c r="F188">
        <v>5044821.96</v>
      </c>
      <c r="G188">
        <v>1705213.46</v>
      </c>
      <c r="H188">
        <v>3339608.5</v>
      </c>
      <c r="I188">
        <v>2.29</v>
      </c>
      <c r="J188">
        <v>4.1399999999999997</v>
      </c>
    </row>
    <row r="189" spans="1:10" x14ac:dyDescent="0.25">
      <c r="A189">
        <v>45368</v>
      </c>
      <c r="B189" t="s">
        <v>19</v>
      </c>
      <c r="C189" t="s">
        <v>21</v>
      </c>
      <c r="D189" t="s">
        <v>17</v>
      </c>
      <c r="E189">
        <v>489</v>
      </c>
      <c r="F189">
        <v>41268170.109999999</v>
      </c>
      <c r="G189">
        <v>14814120.529999999</v>
      </c>
      <c r="H189">
        <v>26454049.579999998</v>
      </c>
      <c r="I189">
        <v>1.36</v>
      </c>
      <c r="J189">
        <v>3.55</v>
      </c>
    </row>
    <row r="190" spans="1:10" x14ac:dyDescent="0.25">
      <c r="A190">
        <v>45517</v>
      </c>
      <c r="B190" t="s">
        <v>19</v>
      </c>
      <c r="C190" t="s">
        <v>23</v>
      </c>
      <c r="D190" t="s">
        <v>17</v>
      </c>
      <c r="E190">
        <v>335</v>
      </c>
      <c r="F190">
        <v>27138706.68</v>
      </c>
      <c r="G190">
        <v>7666936.46</v>
      </c>
      <c r="H190">
        <v>19471770.219999999</v>
      </c>
      <c r="I190">
        <v>1.82</v>
      </c>
      <c r="J190">
        <v>4.57</v>
      </c>
    </row>
    <row r="191" spans="1:10" x14ac:dyDescent="0.25">
      <c r="A191">
        <v>44362</v>
      </c>
      <c r="B191" t="s">
        <v>19</v>
      </c>
      <c r="C191" t="s">
        <v>20</v>
      </c>
      <c r="D191" t="s">
        <v>14</v>
      </c>
      <c r="E191">
        <v>243</v>
      </c>
      <c r="F191">
        <v>15648002.99</v>
      </c>
      <c r="G191">
        <v>4753588.0599999996</v>
      </c>
      <c r="H191">
        <v>10894414.92</v>
      </c>
      <c r="I191">
        <v>2.74</v>
      </c>
      <c r="J191">
        <v>4.6500000000000004</v>
      </c>
    </row>
    <row r="192" spans="1:10" x14ac:dyDescent="0.25">
      <c r="A192">
        <v>45508</v>
      </c>
      <c r="B192" t="s">
        <v>19</v>
      </c>
      <c r="C192" t="s">
        <v>22</v>
      </c>
      <c r="D192" t="s">
        <v>12</v>
      </c>
      <c r="E192">
        <v>181</v>
      </c>
      <c r="F192">
        <v>8146094.54</v>
      </c>
      <c r="G192">
        <v>1854400.39</v>
      </c>
      <c r="H192">
        <v>6291694.1500000004</v>
      </c>
      <c r="I192">
        <v>4.76</v>
      </c>
      <c r="J192">
        <v>4.0599999999999996</v>
      </c>
    </row>
    <row r="193" spans="1:10" x14ac:dyDescent="0.25">
      <c r="A193">
        <v>44531</v>
      </c>
      <c r="B193" t="s">
        <v>19</v>
      </c>
      <c r="C193" t="s">
        <v>20</v>
      </c>
      <c r="D193" t="s">
        <v>17</v>
      </c>
      <c r="E193">
        <v>415</v>
      </c>
      <c r="F193">
        <v>26544153.5</v>
      </c>
      <c r="G193">
        <v>6366616.4299999997</v>
      </c>
      <c r="H193">
        <v>20177537.07</v>
      </c>
      <c r="I193">
        <v>4.91</v>
      </c>
      <c r="J193">
        <v>4.76</v>
      </c>
    </row>
    <row r="194" spans="1:10" x14ac:dyDescent="0.25">
      <c r="A194">
        <v>44003</v>
      </c>
      <c r="B194" t="s">
        <v>19</v>
      </c>
      <c r="C194" t="s">
        <v>20</v>
      </c>
      <c r="D194" t="s">
        <v>12</v>
      </c>
      <c r="E194">
        <v>440</v>
      </c>
      <c r="F194">
        <v>31345959.390000001</v>
      </c>
      <c r="G194">
        <v>12368513.779999999</v>
      </c>
      <c r="H194">
        <v>18977445.609999999</v>
      </c>
      <c r="I194">
        <v>1.5</v>
      </c>
      <c r="J194">
        <v>3.85</v>
      </c>
    </row>
    <row r="195" spans="1:10" x14ac:dyDescent="0.25">
      <c r="A195">
        <v>44204</v>
      </c>
      <c r="B195" t="s">
        <v>19</v>
      </c>
      <c r="C195" t="s">
        <v>24</v>
      </c>
      <c r="D195" t="s">
        <v>17</v>
      </c>
      <c r="E195">
        <v>492</v>
      </c>
      <c r="F195">
        <v>30899043.210000001</v>
      </c>
      <c r="G195">
        <v>8682328.4600000009</v>
      </c>
      <c r="H195">
        <v>22216714.75</v>
      </c>
      <c r="I195">
        <v>2.0299999999999998</v>
      </c>
      <c r="J195">
        <v>4.3499999999999996</v>
      </c>
    </row>
    <row r="196" spans="1:10" x14ac:dyDescent="0.25">
      <c r="A196">
        <v>45605</v>
      </c>
      <c r="B196" t="s">
        <v>19</v>
      </c>
      <c r="C196" t="s">
        <v>23</v>
      </c>
      <c r="D196" t="s">
        <v>14</v>
      </c>
      <c r="E196">
        <v>100</v>
      </c>
      <c r="F196">
        <v>7090103.5899999999</v>
      </c>
      <c r="G196">
        <v>2498293.3199999998</v>
      </c>
      <c r="H196">
        <v>4591810.2699999996</v>
      </c>
      <c r="I196">
        <v>0.95</v>
      </c>
      <c r="J196">
        <v>3.86</v>
      </c>
    </row>
    <row r="197" spans="1:10" x14ac:dyDescent="0.25">
      <c r="A197">
        <v>44910</v>
      </c>
      <c r="B197" t="s">
        <v>19</v>
      </c>
      <c r="C197" t="s">
        <v>20</v>
      </c>
      <c r="D197" t="s">
        <v>17</v>
      </c>
      <c r="E197">
        <v>127</v>
      </c>
      <c r="F197">
        <v>8658333.8499999996</v>
      </c>
      <c r="G197">
        <v>2066137.95</v>
      </c>
      <c r="H197">
        <v>6592195.9000000004</v>
      </c>
      <c r="I197">
        <v>4.83</v>
      </c>
      <c r="J197">
        <v>4.92</v>
      </c>
    </row>
    <row r="198" spans="1:10" x14ac:dyDescent="0.25">
      <c r="A198">
        <v>45131</v>
      </c>
      <c r="B198" t="s">
        <v>19</v>
      </c>
      <c r="C198" t="s">
        <v>21</v>
      </c>
      <c r="D198" t="s">
        <v>14</v>
      </c>
      <c r="E198">
        <v>231</v>
      </c>
      <c r="F198">
        <v>10689325.470000001</v>
      </c>
      <c r="G198">
        <v>3649019.89</v>
      </c>
      <c r="H198">
        <v>7040305.5800000001</v>
      </c>
      <c r="I198">
        <v>4.53</v>
      </c>
      <c r="J198">
        <v>3.52</v>
      </c>
    </row>
    <row r="199" spans="1:10" x14ac:dyDescent="0.25">
      <c r="A199">
        <v>44481</v>
      </c>
      <c r="B199" t="s">
        <v>19</v>
      </c>
      <c r="C199" t="s">
        <v>20</v>
      </c>
      <c r="D199" t="s">
        <v>14</v>
      </c>
      <c r="E199">
        <v>312</v>
      </c>
      <c r="F199">
        <v>23548123.16</v>
      </c>
      <c r="G199">
        <v>5424884.2999999998</v>
      </c>
      <c r="H199">
        <v>18123238.870000001</v>
      </c>
      <c r="I199">
        <v>1.05</v>
      </c>
      <c r="J199">
        <v>4.8099999999999996</v>
      </c>
    </row>
    <row r="200" spans="1:10" x14ac:dyDescent="0.25">
      <c r="A200">
        <v>44512</v>
      </c>
      <c r="B200" t="s">
        <v>19</v>
      </c>
      <c r="C200" t="s">
        <v>20</v>
      </c>
      <c r="D200" t="s">
        <v>17</v>
      </c>
      <c r="E200">
        <v>334</v>
      </c>
      <c r="F200">
        <v>19431568.989999998</v>
      </c>
      <c r="G200">
        <v>4303425.21</v>
      </c>
      <c r="H200">
        <v>15128143.789999999</v>
      </c>
      <c r="I200">
        <v>4.18</v>
      </c>
      <c r="J200">
        <v>4.01</v>
      </c>
    </row>
    <row r="201" spans="1:10" x14ac:dyDescent="0.25">
      <c r="A201">
        <v>45562</v>
      </c>
      <c r="B201" t="s">
        <v>19</v>
      </c>
      <c r="C201" t="s">
        <v>24</v>
      </c>
      <c r="D201" t="s">
        <v>17</v>
      </c>
      <c r="E201">
        <v>283</v>
      </c>
      <c r="F201">
        <v>22747795.609999999</v>
      </c>
      <c r="G201">
        <v>7447358.8899999997</v>
      </c>
      <c r="H201">
        <v>15300436.720000001</v>
      </c>
      <c r="I201">
        <v>0.65</v>
      </c>
      <c r="J201">
        <v>4.75</v>
      </c>
    </row>
    <row r="202" spans="1:10" x14ac:dyDescent="0.25">
      <c r="A202">
        <v>45324</v>
      </c>
      <c r="B202" t="s">
        <v>19</v>
      </c>
      <c r="C202" t="s">
        <v>20</v>
      </c>
      <c r="D202" t="s">
        <v>17</v>
      </c>
      <c r="E202">
        <v>342</v>
      </c>
      <c r="F202">
        <v>19671033.18</v>
      </c>
      <c r="G202">
        <v>5696545.5899999999</v>
      </c>
      <c r="H202">
        <v>13974487.59</v>
      </c>
      <c r="I202">
        <v>2.46</v>
      </c>
      <c r="J202">
        <v>3.94</v>
      </c>
    </row>
    <row r="203" spans="1:10" x14ac:dyDescent="0.25">
      <c r="A203">
        <v>45605</v>
      </c>
      <c r="B203" t="s">
        <v>19</v>
      </c>
      <c r="C203" t="s">
        <v>20</v>
      </c>
      <c r="D203" t="s">
        <v>12</v>
      </c>
      <c r="E203">
        <v>391</v>
      </c>
      <c r="F203">
        <v>30453712.449999999</v>
      </c>
      <c r="G203">
        <v>11485691.189999999</v>
      </c>
      <c r="H203">
        <v>18968021.260000002</v>
      </c>
      <c r="I203">
        <v>3.05</v>
      </c>
      <c r="J203">
        <v>4.9800000000000004</v>
      </c>
    </row>
    <row r="204" spans="1:10" x14ac:dyDescent="0.25">
      <c r="A204">
        <v>45612</v>
      </c>
      <c r="B204" t="s">
        <v>19</v>
      </c>
      <c r="C204" t="s">
        <v>23</v>
      </c>
      <c r="D204" t="s">
        <v>12</v>
      </c>
      <c r="E204">
        <v>264</v>
      </c>
      <c r="F204">
        <v>20853898.32</v>
      </c>
      <c r="G204">
        <v>6568087.4900000002</v>
      </c>
      <c r="H204">
        <v>14285810.83</v>
      </c>
      <c r="I204">
        <v>0.6</v>
      </c>
      <c r="J204">
        <v>3.9</v>
      </c>
    </row>
    <row r="205" spans="1:10" x14ac:dyDescent="0.25">
      <c r="A205">
        <v>45145</v>
      </c>
      <c r="B205" t="s">
        <v>19</v>
      </c>
      <c r="C205" t="s">
        <v>21</v>
      </c>
      <c r="D205" t="s">
        <v>17</v>
      </c>
      <c r="E205">
        <v>89</v>
      </c>
      <c r="F205">
        <v>6535850.4500000002</v>
      </c>
      <c r="G205">
        <v>2088138.8</v>
      </c>
      <c r="H205">
        <v>4447711.6500000004</v>
      </c>
      <c r="I205">
        <v>1.48</v>
      </c>
      <c r="J205">
        <v>4.47</v>
      </c>
    </row>
    <row r="206" spans="1:10" x14ac:dyDescent="0.25">
      <c r="A206">
        <v>44424</v>
      </c>
      <c r="B206" t="s">
        <v>19</v>
      </c>
      <c r="C206" t="s">
        <v>20</v>
      </c>
      <c r="D206" t="s">
        <v>12</v>
      </c>
      <c r="E206">
        <v>53</v>
      </c>
      <c r="F206">
        <v>2240585.16</v>
      </c>
      <c r="G206">
        <v>492672.28</v>
      </c>
      <c r="H206">
        <v>1747912.88</v>
      </c>
      <c r="I206">
        <v>3.61</v>
      </c>
      <c r="J206">
        <v>4.5199999999999996</v>
      </c>
    </row>
    <row r="207" spans="1:10" x14ac:dyDescent="0.25">
      <c r="A207">
        <v>45036</v>
      </c>
      <c r="B207" t="s">
        <v>19</v>
      </c>
      <c r="C207" t="s">
        <v>23</v>
      </c>
      <c r="D207" t="s">
        <v>14</v>
      </c>
      <c r="E207">
        <v>375</v>
      </c>
      <c r="F207">
        <v>31982412.890000001</v>
      </c>
      <c r="G207">
        <v>12039772.4</v>
      </c>
      <c r="H207">
        <v>19942640.48</v>
      </c>
      <c r="I207">
        <v>3.09</v>
      </c>
      <c r="J207">
        <v>3.91</v>
      </c>
    </row>
    <row r="208" spans="1:10" x14ac:dyDescent="0.25">
      <c r="A208">
        <v>45325</v>
      </c>
      <c r="B208" t="s">
        <v>19</v>
      </c>
      <c r="C208" t="s">
        <v>21</v>
      </c>
      <c r="D208" t="s">
        <v>12</v>
      </c>
      <c r="E208">
        <v>66</v>
      </c>
      <c r="F208">
        <v>3781050.56</v>
      </c>
      <c r="G208">
        <v>1136232.24</v>
      </c>
      <c r="H208">
        <v>2644818.3199999998</v>
      </c>
      <c r="I208">
        <v>3.74</v>
      </c>
      <c r="J208">
        <v>3.66</v>
      </c>
    </row>
    <row r="209" spans="1:10" x14ac:dyDescent="0.25">
      <c r="A209">
        <v>43909</v>
      </c>
      <c r="B209" t="s">
        <v>19</v>
      </c>
      <c r="C209" t="s">
        <v>21</v>
      </c>
      <c r="D209" t="s">
        <v>12</v>
      </c>
      <c r="E209">
        <v>391</v>
      </c>
      <c r="F209">
        <v>16628725.470000001</v>
      </c>
      <c r="G209">
        <v>3658257.61</v>
      </c>
      <c r="H209">
        <v>12970467.869999999</v>
      </c>
      <c r="I209">
        <v>4.43</v>
      </c>
      <c r="J209">
        <v>4.4000000000000004</v>
      </c>
    </row>
    <row r="210" spans="1:10" x14ac:dyDescent="0.25">
      <c r="A210">
        <v>44929</v>
      </c>
      <c r="B210" t="s">
        <v>19</v>
      </c>
      <c r="C210" t="s">
        <v>21</v>
      </c>
      <c r="D210" t="s">
        <v>12</v>
      </c>
      <c r="E210">
        <v>317</v>
      </c>
      <c r="F210">
        <v>22133064.73</v>
      </c>
      <c r="G210">
        <v>6665266.8700000001</v>
      </c>
      <c r="H210">
        <v>15467797.869999999</v>
      </c>
      <c r="I210">
        <v>3.08</v>
      </c>
      <c r="J210">
        <v>4.76</v>
      </c>
    </row>
    <row r="211" spans="1:10" x14ac:dyDescent="0.25">
      <c r="A211">
        <v>45155</v>
      </c>
      <c r="B211" t="s">
        <v>19</v>
      </c>
      <c r="C211" t="s">
        <v>24</v>
      </c>
      <c r="D211" t="s">
        <v>12</v>
      </c>
      <c r="E211">
        <v>239</v>
      </c>
      <c r="F211">
        <v>15186173.24</v>
      </c>
      <c r="G211">
        <v>5931822.6299999999</v>
      </c>
      <c r="H211">
        <v>9254350.5999999996</v>
      </c>
      <c r="I211">
        <v>1.25</v>
      </c>
      <c r="J211">
        <v>4.6100000000000003</v>
      </c>
    </row>
    <row r="212" spans="1:10" x14ac:dyDescent="0.25">
      <c r="A212">
        <v>44607</v>
      </c>
      <c r="B212" t="s">
        <v>19</v>
      </c>
      <c r="C212" t="s">
        <v>20</v>
      </c>
      <c r="D212" t="s">
        <v>12</v>
      </c>
      <c r="E212">
        <v>356</v>
      </c>
      <c r="F212">
        <v>14228797.689999999</v>
      </c>
      <c r="G212">
        <v>3497478.52</v>
      </c>
      <c r="H212">
        <v>10731319.16</v>
      </c>
      <c r="I212">
        <v>0.81</v>
      </c>
      <c r="J212">
        <v>4.76</v>
      </c>
    </row>
    <row r="213" spans="1:10" x14ac:dyDescent="0.25">
      <c r="A213">
        <v>44114</v>
      </c>
      <c r="B213" t="s">
        <v>19</v>
      </c>
      <c r="C213" t="s">
        <v>20</v>
      </c>
      <c r="D213" t="s">
        <v>14</v>
      </c>
      <c r="E213">
        <v>60</v>
      </c>
      <c r="F213">
        <v>3273719.96</v>
      </c>
      <c r="G213">
        <v>838697</v>
      </c>
      <c r="H213">
        <v>2435022.9700000002</v>
      </c>
      <c r="I213">
        <v>1.84</v>
      </c>
      <c r="J213">
        <v>4.3499999999999996</v>
      </c>
    </row>
    <row r="214" spans="1:10" x14ac:dyDescent="0.25">
      <c r="A214">
        <v>44962</v>
      </c>
      <c r="B214" t="s">
        <v>19</v>
      </c>
      <c r="C214" t="s">
        <v>21</v>
      </c>
      <c r="D214" t="s">
        <v>17</v>
      </c>
      <c r="E214">
        <v>147</v>
      </c>
      <c r="F214">
        <v>8351910.1799999997</v>
      </c>
      <c r="G214">
        <v>1747074.39</v>
      </c>
      <c r="H214">
        <v>6604835.79</v>
      </c>
      <c r="I214">
        <v>1.1100000000000001</v>
      </c>
      <c r="J214">
        <v>4.2300000000000004</v>
      </c>
    </row>
    <row r="215" spans="1:10" x14ac:dyDescent="0.25">
      <c r="A215">
        <v>44135</v>
      </c>
      <c r="B215" t="s">
        <v>19</v>
      </c>
      <c r="C215" t="s">
        <v>21</v>
      </c>
      <c r="D215" t="s">
        <v>17</v>
      </c>
      <c r="E215">
        <v>299</v>
      </c>
      <c r="F215">
        <v>10977806.66</v>
      </c>
      <c r="G215">
        <v>3815305.87</v>
      </c>
      <c r="H215">
        <v>7162500.79</v>
      </c>
      <c r="I215">
        <v>3.18</v>
      </c>
      <c r="J215">
        <v>3.58</v>
      </c>
    </row>
    <row r="216" spans="1:10" x14ac:dyDescent="0.25">
      <c r="A216">
        <v>45633</v>
      </c>
      <c r="B216" t="s">
        <v>19</v>
      </c>
      <c r="C216" t="s">
        <v>20</v>
      </c>
      <c r="D216" t="s">
        <v>17</v>
      </c>
      <c r="E216">
        <v>495</v>
      </c>
      <c r="F216">
        <v>43331308.609999999</v>
      </c>
      <c r="G216">
        <v>15992094.189999999</v>
      </c>
      <c r="H216">
        <v>27339214.420000002</v>
      </c>
      <c r="I216">
        <v>3.3</v>
      </c>
      <c r="J216">
        <v>4.21</v>
      </c>
    </row>
    <row r="217" spans="1:10" x14ac:dyDescent="0.25">
      <c r="A217">
        <v>45358</v>
      </c>
      <c r="B217" t="s">
        <v>19</v>
      </c>
      <c r="C217" t="s">
        <v>21</v>
      </c>
      <c r="D217" t="s">
        <v>17</v>
      </c>
      <c r="E217">
        <v>122</v>
      </c>
      <c r="F217">
        <v>4774174.5199999996</v>
      </c>
      <c r="G217">
        <v>1214369.77</v>
      </c>
      <c r="H217">
        <v>3559804.75</v>
      </c>
      <c r="I217">
        <v>2.73</v>
      </c>
      <c r="J217">
        <v>4.53</v>
      </c>
    </row>
    <row r="218" spans="1:10" x14ac:dyDescent="0.25">
      <c r="A218">
        <v>44335</v>
      </c>
      <c r="B218" t="s">
        <v>19</v>
      </c>
      <c r="C218" t="s">
        <v>24</v>
      </c>
      <c r="D218" t="s">
        <v>17</v>
      </c>
      <c r="E218">
        <v>91</v>
      </c>
      <c r="F218">
        <v>5485705.9699999997</v>
      </c>
      <c r="G218">
        <v>2110972.7200000002</v>
      </c>
      <c r="H218">
        <v>3374733.26</v>
      </c>
      <c r="I218">
        <v>0.85</v>
      </c>
      <c r="J218">
        <v>3.5</v>
      </c>
    </row>
    <row r="219" spans="1:10" x14ac:dyDescent="0.25">
      <c r="A219">
        <v>44868</v>
      </c>
      <c r="B219" t="s">
        <v>19</v>
      </c>
      <c r="C219" t="s">
        <v>24</v>
      </c>
      <c r="D219" t="s">
        <v>12</v>
      </c>
      <c r="E219">
        <v>484</v>
      </c>
      <c r="F219">
        <v>24184503.550000001</v>
      </c>
      <c r="G219">
        <v>6818914.29</v>
      </c>
      <c r="H219">
        <v>17365589.260000002</v>
      </c>
      <c r="I219">
        <v>2.12</v>
      </c>
      <c r="J219">
        <v>3.64</v>
      </c>
    </row>
    <row r="220" spans="1:10" x14ac:dyDescent="0.25">
      <c r="A220">
        <v>44186</v>
      </c>
      <c r="B220" t="s">
        <v>19</v>
      </c>
      <c r="C220" t="s">
        <v>21</v>
      </c>
      <c r="D220" t="s">
        <v>14</v>
      </c>
      <c r="E220">
        <v>354</v>
      </c>
      <c r="F220">
        <v>15053858.74</v>
      </c>
      <c r="G220">
        <v>3160595.72</v>
      </c>
      <c r="H220">
        <v>11893263.029999999</v>
      </c>
      <c r="I220">
        <v>2.5099999999999998</v>
      </c>
      <c r="J220">
        <v>3.78</v>
      </c>
    </row>
    <row r="221" spans="1:10" x14ac:dyDescent="0.25">
      <c r="A221">
        <v>45327</v>
      </c>
      <c r="B221" t="s">
        <v>19</v>
      </c>
      <c r="C221" t="s">
        <v>23</v>
      </c>
      <c r="D221" t="s">
        <v>12</v>
      </c>
      <c r="E221">
        <v>367</v>
      </c>
      <c r="F221">
        <v>32185677.460000001</v>
      </c>
      <c r="G221">
        <v>7992396.2599999998</v>
      </c>
      <c r="H221">
        <v>24193281.199999999</v>
      </c>
      <c r="I221">
        <v>3.38</v>
      </c>
      <c r="J221">
        <v>4.6399999999999997</v>
      </c>
    </row>
    <row r="222" spans="1:10" x14ac:dyDescent="0.25">
      <c r="A222">
        <v>43977</v>
      </c>
      <c r="B222" t="s">
        <v>19</v>
      </c>
      <c r="C222" t="s">
        <v>20</v>
      </c>
      <c r="D222" t="s">
        <v>17</v>
      </c>
      <c r="E222">
        <v>423</v>
      </c>
      <c r="F222">
        <v>29630192.699999999</v>
      </c>
      <c r="G222">
        <v>6041141.1699999999</v>
      </c>
      <c r="H222">
        <v>23589051.530000001</v>
      </c>
      <c r="I222">
        <v>4.57</v>
      </c>
      <c r="J222">
        <v>4.47</v>
      </c>
    </row>
    <row r="223" spans="1:10" x14ac:dyDescent="0.25">
      <c r="A223">
        <v>44865</v>
      </c>
      <c r="B223" t="s">
        <v>19</v>
      </c>
      <c r="C223" t="s">
        <v>23</v>
      </c>
      <c r="D223" t="s">
        <v>12</v>
      </c>
      <c r="E223">
        <v>108</v>
      </c>
      <c r="F223">
        <v>9646747.9700000007</v>
      </c>
      <c r="G223">
        <v>2037278.68</v>
      </c>
      <c r="H223">
        <v>7609469.2800000003</v>
      </c>
      <c r="I223">
        <v>0.68</v>
      </c>
      <c r="J223">
        <v>4.5599999999999996</v>
      </c>
    </row>
    <row r="224" spans="1:10" x14ac:dyDescent="0.25">
      <c r="A224">
        <v>44428</v>
      </c>
      <c r="B224" t="s">
        <v>19</v>
      </c>
      <c r="C224" t="s">
        <v>22</v>
      </c>
      <c r="D224" t="s">
        <v>14</v>
      </c>
      <c r="E224">
        <v>248</v>
      </c>
      <c r="F224">
        <v>22311181.73</v>
      </c>
      <c r="G224">
        <v>6444332.3600000003</v>
      </c>
      <c r="H224">
        <v>15866849.369999999</v>
      </c>
      <c r="I224">
        <v>2.63</v>
      </c>
      <c r="J224">
        <v>3.97</v>
      </c>
    </row>
    <row r="225" spans="1:10" x14ac:dyDescent="0.25">
      <c r="A225">
        <v>45604</v>
      </c>
      <c r="B225" t="s">
        <v>19</v>
      </c>
      <c r="C225" t="s">
        <v>23</v>
      </c>
      <c r="D225" t="s">
        <v>17</v>
      </c>
      <c r="E225">
        <v>384</v>
      </c>
      <c r="F225">
        <v>28169516.039999999</v>
      </c>
      <c r="G225">
        <v>9592570.8900000006</v>
      </c>
      <c r="H225">
        <v>18576945.149999999</v>
      </c>
      <c r="I225">
        <v>4.66</v>
      </c>
      <c r="J225">
        <v>4.96</v>
      </c>
    </row>
    <row r="226" spans="1:10" x14ac:dyDescent="0.25">
      <c r="A226">
        <v>44860</v>
      </c>
      <c r="B226" t="s">
        <v>19</v>
      </c>
      <c r="C226" t="s">
        <v>22</v>
      </c>
      <c r="D226" t="s">
        <v>12</v>
      </c>
      <c r="E226">
        <v>264</v>
      </c>
      <c r="F226">
        <v>20788363.489999998</v>
      </c>
      <c r="G226">
        <v>5217610.87</v>
      </c>
      <c r="H226">
        <v>15570752.619999999</v>
      </c>
      <c r="I226">
        <v>0.75</v>
      </c>
      <c r="J226">
        <v>4.18</v>
      </c>
    </row>
    <row r="227" spans="1:10" x14ac:dyDescent="0.25">
      <c r="A227">
        <v>43906</v>
      </c>
      <c r="B227" t="s">
        <v>19</v>
      </c>
      <c r="C227" t="s">
        <v>20</v>
      </c>
      <c r="D227" t="s">
        <v>14</v>
      </c>
      <c r="E227">
        <v>492</v>
      </c>
      <c r="F227">
        <v>39650452.729999997</v>
      </c>
      <c r="G227">
        <v>15566707.199999999</v>
      </c>
      <c r="H227">
        <v>24083745.530000001</v>
      </c>
      <c r="I227">
        <v>3.18</v>
      </c>
      <c r="J227">
        <v>3.85</v>
      </c>
    </row>
    <row r="228" spans="1:10" x14ac:dyDescent="0.25">
      <c r="A228">
        <v>44569</v>
      </c>
      <c r="B228" t="s">
        <v>19</v>
      </c>
      <c r="C228" t="s">
        <v>24</v>
      </c>
      <c r="D228" t="s">
        <v>17</v>
      </c>
      <c r="E228">
        <v>237</v>
      </c>
      <c r="F228">
        <v>14565641.66</v>
      </c>
      <c r="G228">
        <v>3248142.88</v>
      </c>
      <c r="H228">
        <v>11317498.779999999</v>
      </c>
      <c r="I228">
        <v>2.89</v>
      </c>
      <c r="J228">
        <v>4.16</v>
      </c>
    </row>
    <row r="229" spans="1:10" x14ac:dyDescent="0.25">
      <c r="A229">
        <v>44722</v>
      </c>
      <c r="B229" t="s">
        <v>19</v>
      </c>
      <c r="C229" t="s">
        <v>22</v>
      </c>
      <c r="D229" t="s">
        <v>17</v>
      </c>
      <c r="E229">
        <v>413</v>
      </c>
      <c r="F229">
        <v>27457696.559999999</v>
      </c>
      <c r="G229">
        <v>6568007.4299999997</v>
      </c>
      <c r="H229">
        <v>20889689.120000001</v>
      </c>
      <c r="I229">
        <v>2.92</v>
      </c>
      <c r="J229">
        <v>4.49</v>
      </c>
    </row>
    <row r="230" spans="1:10" x14ac:dyDescent="0.25">
      <c r="A230">
        <v>44328</v>
      </c>
      <c r="B230" t="s">
        <v>19</v>
      </c>
      <c r="C230" t="s">
        <v>23</v>
      </c>
      <c r="D230" t="s">
        <v>12</v>
      </c>
      <c r="E230">
        <v>446</v>
      </c>
      <c r="F230">
        <v>30963115.460000001</v>
      </c>
      <c r="G230">
        <v>6898719.9199999999</v>
      </c>
      <c r="H230">
        <v>24064395.539999999</v>
      </c>
      <c r="I230">
        <v>3.27</v>
      </c>
      <c r="J230">
        <v>3.85</v>
      </c>
    </row>
    <row r="231" spans="1:10" x14ac:dyDescent="0.25">
      <c r="A231">
        <v>44622</v>
      </c>
      <c r="B231" t="s">
        <v>19</v>
      </c>
      <c r="C231" t="s">
        <v>22</v>
      </c>
      <c r="D231" t="s">
        <v>17</v>
      </c>
      <c r="E231">
        <v>360</v>
      </c>
      <c r="F231">
        <v>21746468.440000001</v>
      </c>
      <c r="G231">
        <v>4391302.1500000004</v>
      </c>
      <c r="H231">
        <v>17355166.289999999</v>
      </c>
      <c r="I231">
        <v>0.5</v>
      </c>
      <c r="J231">
        <v>3.78</v>
      </c>
    </row>
    <row r="232" spans="1:10" x14ac:dyDescent="0.25">
      <c r="A232">
        <v>44914</v>
      </c>
      <c r="B232" t="s">
        <v>19</v>
      </c>
      <c r="C232" t="s">
        <v>20</v>
      </c>
      <c r="D232" t="s">
        <v>14</v>
      </c>
      <c r="E232">
        <v>323</v>
      </c>
      <c r="F232">
        <v>27987537.66</v>
      </c>
      <c r="G232">
        <v>6723819.8899999997</v>
      </c>
      <c r="H232">
        <v>21263717.780000001</v>
      </c>
      <c r="I232">
        <v>4.99</v>
      </c>
      <c r="J232">
        <v>4.03</v>
      </c>
    </row>
    <row r="233" spans="1:10" x14ac:dyDescent="0.25">
      <c r="A233">
        <v>44741</v>
      </c>
      <c r="B233" t="s">
        <v>19</v>
      </c>
      <c r="C233" t="s">
        <v>21</v>
      </c>
      <c r="D233" t="s">
        <v>14</v>
      </c>
      <c r="E233">
        <v>495</v>
      </c>
      <c r="F233">
        <v>19735594.350000001</v>
      </c>
      <c r="G233">
        <v>7745838.8099999996</v>
      </c>
      <c r="H233">
        <v>11989755.550000001</v>
      </c>
      <c r="I233">
        <v>2.66</v>
      </c>
      <c r="J233">
        <v>4.37</v>
      </c>
    </row>
    <row r="234" spans="1:10" x14ac:dyDescent="0.25">
      <c r="A234">
        <v>45244</v>
      </c>
      <c r="B234" t="s">
        <v>19</v>
      </c>
      <c r="C234" t="s">
        <v>21</v>
      </c>
      <c r="D234" t="s">
        <v>17</v>
      </c>
      <c r="E234">
        <v>285</v>
      </c>
      <c r="F234">
        <v>25400508.379999999</v>
      </c>
      <c r="G234">
        <v>6257296.29</v>
      </c>
      <c r="H234">
        <v>19143212.09</v>
      </c>
      <c r="I234">
        <v>2.38</v>
      </c>
      <c r="J234">
        <v>4.13</v>
      </c>
    </row>
    <row r="235" spans="1:10" x14ac:dyDescent="0.25">
      <c r="A235">
        <v>45557</v>
      </c>
      <c r="B235" t="s">
        <v>19</v>
      </c>
      <c r="C235" t="s">
        <v>24</v>
      </c>
      <c r="D235" t="s">
        <v>12</v>
      </c>
      <c r="E235">
        <v>438</v>
      </c>
      <c r="F235">
        <v>32970427.84</v>
      </c>
      <c r="G235">
        <v>13166104.939999999</v>
      </c>
      <c r="H235">
        <v>19804322.899999999</v>
      </c>
      <c r="I235">
        <v>2.6</v>
      </c>
      <c r="J235">
        <v>3.95</v>
      </c>
    </row>
    <row r="236" spans="1:10" x14ac:dyDescent="0.25">
      <c r="A236">
        <v>44191</v>
      </c>
      <c r="B236" t="s">
        <v>19</v>
      </c>
      <c r="C236" t="s">
        <v>23</v>
      </c>
      <c r="D236" t="s">
        <v>17</v>
      </c>
      <c r="E236">
        <v>373</v>
      </c>
      <c r="F236">
        <v>27734576.260000002</v>
      </c>
      <c r="G236">
        <v>7826095.3899999997</v>
      </c>
      <c r="H236">
        <v>19908480.870000001</v>
      </c>
      <c r="I236">
        <v>1.75</v>
      </c>
      <c r="J236">
        <v>4.87</v>
      </c>
    </row>
    <row r="237" spans="1:10" x14ac:dyDescent="0.25">
      <c r="A237">
        <v>45456</v>
      </c>
      <c r="B237" t="s">
        <v>19</v>
      </c>
      <c r="C237" t="s">
        <v>21</v>
      </c>
      <c r="D237" t="s">
        <v>14</v>
      </c>
      <c r="E237">
        <v>122</v>
      </c>
      <c r="F237">
        <v>5004527.59</v>
      </c>
      <c r="G237">
        <v>1609826.27</v>
      </c>
      <c r="H237">
        <v>3394701.32</v>
      </c>
      <c r="I237">
        <v>1.06</v>
      </c>
      <c r="J237">
        <v>4.93</v>
      </c>
    </row>
    <row r="238" spans="1:10" x14ac:dyDescent="0.25">
      <c r="A238">
        <v>45636</v>
      </c>
      <c r="B238" t="s">
        <v>19</v>
      </c>
      <c r="C238" t="s">
        <v>24</v>
      </c>
      <c r="D238" t="s">
        <v>17</v>
      </c>
      <c r="E238">
        <v>342</v>
      </c>
      <c r="F238">
        <v>26761149.719999999</v>
      </c>
      <c r="G238">
        <v>10225911.640000001</v>
      </c>
      <c r="H238">
        <v>16535238.08</v>
      </c>
      <c r="I238">
        <v>2.38</v>
      </c>
      <c r="J238">
        <v>4.82</v>
      </c>
    </row>
    <row r="239" spans="1:10" x14ac:dyDescent="0.25">
      <c r="A239">
        <v>44844</v>
      </c>
      <c r="B239" t="s">
        <v>19</v>
      </c>
      <c r="C239" t="s">
        <v>23</v>
      </c>
      <c r="D239" t="s">
        <v>17</v>
      </c>
      <c r="E239">
        <v>351</v>
      </c>
      <c r="F239">
        <v>23883414.010000002</v>
      </c>
      <c r="G239">
        <v>5236562.87</v>
      </c>
      <c r="H239">
        <v>18646851.140000001</v>
      </c>
      <c r="I239">
        <v>4.95</v>
      </c>
      <c r="J239">
        <v>4.62</v>
      </c>
    </row>
    <row r="240" spans="1:10" x14ac:dyDescent="0.25">
      <c r="A240">
        <v>44239</v>
      </c>
      <c r="B240" t="s">
        <v>19</v>
      </c>
      <c r="C240" t="s">
        <v>23</v>
      </c>
      <c r="D240" t="s">
        <v>14</v>
      </c>
      <c r="E240">
        <v>309</v>
      </c>
      <c r="F240">
        <v>14752260.57</v>
      </c>
      <c r="G240">
        <v>3119419.27</v>
      </c>
      <c r="H240">
        <v>11632841.289999999</v>
      </c>
      <c r="I240">
        <v>3.42</v>
      </c>
      <c r="J240">
        <v>4.41</v>
      </c>
    </row>
    <row r="241" spans="1:10" x14ac:dyDescent="0.25">
      <c r="A241">
        <v>44997</v>
      </c>
      <c r="B241" t="s">
        <v>19</v>
      </c>
      <c r="C241" t="s">
        <v>23</v>
      </c>
      <c r="D241" t="s">
        <v>12</v>
      </c>
      <c r="E241">
        <v>415</v>
      </c>
      <c r="F241">
        <v>19790038.449999999</v>
      </c>
      <c r="G241">
        <v>7217316.0700000003</v>
      </c>
      <c r="H241">
        <v>12572722.380000001</v>
      </c>
      <c r="I241">
        <v>1.49</v>
      </c>
      <c r="J241">
        <v>3.78</v>
      </c>
    </row>
    <row r="242" spans="1:10" x14ac:dyDescent="0.25">
      <c r="A242">
        <v>44222</v>
      </c>
      <c r="B242" t="s">
        <v>19</v>
      </c>
      <c r="C242" t="s">
        <v>21</v>
      </c>
      <c r="D242" t="s">
        <v>12</v>
      </c>
      <c r="E242">
        <v>308</v>
      </c>
      <c r="F242">
        <v>24775924.489999998</v>
      </c>
      <c r="G242">
        <v>5942407.9299999997</v>
      </c>
      <c r="H242">
        <v>18833516.550000001</v>
      </c>
      <c r="I242">
        <v>3.33</v>
      </c>
      <c r="J242">
        <v>3.82</v>
      </c>
    </row>
    <row r="243" spans="1:10" x14ac:dyDescent="0.25">
      <c r="A243">
        <v>44735</v>
      </c>
      <c r="B243" t="s">
        <v>19</v>
      </c>
      <c r="C243" t="s">
        <v>23</v>
      </c>
      <c r="D243" t="s">
        <v>17</v>
      </c>
      <c r="E243">
        <v>58</v>
      </c>
      <c r="F243">
        <v>4989529.78</v>
      </c>
      <c r="G243">
        <v>1002987.47</v>
      </c>
      <c r="H243">
        <v>3986542.31</v>
      </c>
      <c r="I243">
        <v>1.28</v>
      </c>
      <c r="J243">
        <v>4.09</v>
      </c>
    </row>
    <row r="244" spans="1:10" x14ac:dyDescent="0.25">
      <c r="A244">
        <v>45628</v>
      </c>
      <c r="B244" t="s">
        <v>19</v>
      </c>
      <c r="C244" t="s">
        <v>20</v>
      </c>
      <c r="D244" t="s">
        <v>12</v>
      </c>
      <c r="E244">
        <v>227</v>
      </c>
      <c r="F244">
        <v>14077461.470000001</v>
      </c>
      <c r="G244">
        <v>2825808.89</v>
      </c>
      <c r="H244">
        <v>11251652.58</v>
      </c>
      <c r="I244">
        <v>4.54</v>
      </c>
      <c r="J244">
        <v>4.2</v>
      </c>
    </row>
    <row r="245" spans="1:10" x14ac:dyDescent="0.25">
      <c r="A245">
        <v>45140</v>
      </c>
      <c r="B245" t="s">
        <v>19</v>
      </c>
      <c r="C245" t="s">
        <v>23</v>
      </c>
      <c r="D245" t="s">
        <v>14</v>
      </c>
      <c r="E245">
        <v>318</v>
      </c>
      <c r="F245">
        <v>15044570.08</v>
      </c>
      <c r="G245">
        <v>4402118.17</v>
      </c>
      <c r="H245">
        <v>10642451.92</v>
      </c>
      <c r="I245">
        <v>3.17</v>
      </c>
      <c r="J245">
        <v>4.37</v>
      </c>
    </row>
    <row r="246" spans="1:10" x14ac:dyDescent="0.25">
      <c r="A246">
        <v>44191</v>
      </c>
      <c r="B246" t="s">
        <v>19</v>
      </c>
      <c r="C246" t="s">
        <v>24</v>
      </c>
      <c r="D246" t="s">
        <v>14</v>
      </c>
      <c r="E246">
        <v>147</v>
      </c>
      <c r="F246">
        <v>8843338.5099999998</v>
      </c>
      <c r="G246">
        <v>2845486.07</v>
      </c>
      <c r="H246">
        <v>5997852.4400000004</v>
      </c>
      <c r="I246">
        <v>1.73</v>
      </c>
      <c r="J246">
        <v>4.22</v>
      </c>
    </row>
    <row r="247" spans="1:10" x14ac:dyDescent="0.25">
      <c r="A247">
        <v>45567</v>
      </c>
      <c r="B247" t="s">
        <v>19</v>
      </c>
      <c r="C247" t="s">
        <v>20</v>
      </c>
      <c r="D247" t="s">
        <v>14</v>
      </c>
      <c r="E247">
        <v>244</v>
      </c>
      <c r="F247">
        <v>21364843.109999999</v>
      </c>
      <c r="G247">
        <v>4862092.99</v>
      </c>
      <c r="H247">
        <v>16502750.119999999</v>
      </c>
      <c r="I247">
        <v>4.1399999999999997</v>
      </c>
      <c r="J247">
        <v>4.4800000000000004</v>
      </c>
    </row>
    <row r="248" spans="1:10" x14ac:dyDescent="0.25">
      <c r="A248">
        <v>45493</v>
      </c>
      <c r="B248" t="s">
        <v>19</v>
      </c>
      <c r="C248" t="s">
        <v>23</v>
      </c>
      <c r="D248" t="s">
        <v>14</v>
      </c>
      <c r="E248">
        <v>310</v>
      </c>
      <c r="F248">
        <v>23385375.760000002</v>
      </c>
      <c r="G248">
        <v>8038063.6299999999</v>
      </c>
      <c r="H248">
        <v>15347312.130000001</v>
      </c>
      <c r="I248">
        <v>1.64</v>
      </c>
      <c r="J248">
        <v>3.51</v>
      </c>
    </row>
    <row r="249" spans="1:10" x14ac:dyDescent="0.25">
      <c r="A249">
        <v>45265</v>
      </c>
      <c r="B249" t="s">
        <v>19</v>
      </c>
      <c r="C249" t="s">
        <v>21</v>
      </c>
      <c r="D249" t="s">
        <v>17</v>
      </c>
      <c r="E249">
        <v>300</v>
      </c>
      <c r="F249">
        <v>22436431.879999999</v>
      </c>
      <c r="G249">
        <v>6749436.3200000003</v>
      </c>
      <c r="H249">
        <v>15686995.560000001</v>
      </c>
      <c r="I249">
        <v>0.86</v>
      </c>
      <c r="J249">
        <v>3.83</v>
      </c>
    </row>
    <row r="250" spans="1:10" x14ac:dyDescent="0.25">
      <c r="A250">
        <v>45125</v>
      </c>
      <c r="B250" t="s">
        <v>19</v>
      </c>
      <c r="C250" t="s">
        <v>24</v>
      </c>
      <c r="D250" t="s">
        <v>14</v>
      </c>
      <c r="E250">
        <v>333</v>
      </c>
      <c r="F250">
        <v>13049336.689999999</v>
      </c>
      <c r="G250">
        <v>2998197.55</v>
      </c>
      <c r="H250">
        <v>10051139.140000001</v>
      </c>
      <c r="I250">
        <v>2.73</v>
      </c>
      <c r="J250">
        <v>4.22</v>
      </c>
    </row>
    <row r="251" spans="1:10" x14ac:dyDescent="0.25">
      <c r="A251">
        <v>45546</v>
      </c>
      <c r="B251" t="s">
        <v>19</v>
      </c>
      <c r="C251" t="s">
        <v>21</v>
      </c>
      <c r="D251" t="s">
        <v>17</v>
      </c>
      <c r="E251">
        <v>398</v>
      </c>
      <c r="F251">
        <v>33773585.32</v>
      </c>
      <c r="G251">
        <v>9650336.3200000003</v>
      </c>
      <c r="H251">
        <v>24123249</v>
      </c>
      <c r="I251">
        <v>3.48</v>
      </c>
      <c r="J251">
        <v>4.32</v>
      </c>
    </row>
    <row r="252" spans="1:10" x14ac:dyDescent="0.25">
      <c r="A252">
        <v>43864</v>
      </c>
      <c r="B252" t="s">
        <v>19</v>
      </c>
      <c r="C252" t="s">
        <v>20</v>
      </c>
      <c r="D252" t="s">
        <v>14</v>
      </c>
      <c r="E252">
        <v>286</v>
      </c>
      <c r="F252">
        <v>21554403.030000001</v>
      </c>
      <c r="G252">
        <v>6374670.2400000002</v>
      </c>
      <c r="H252">
        <v>15179732.789999999</v>
      </c>
      <c r="I252">
        <v>4.41</v>
      </c>
      <c r="J252">
        <v>3.87</v>
      </c>
    </row>
    <row r="253" spans="1:10" x14ac:dyDescent="0.25">
      <c r="A253">
        <v>45612</v>
      </c>
      <c r="B253" t="s">
        <v>19</v>
      </c>
      <c r="C253" t="s">
        <v>21</v>
      </c>
      <c r="D253" t="s">
        <v>17</v>
      </c>
      <c r="E253">
        <v>108</v>
      </c>
      <c r="F253">
        <v>8931727.5500000007</v>
      </c>
      <c r="G253">
        <v>2307310</v>
      </c>
      <c r="H253">
        <v>6624417.5599999996</v>
      </c>
      <c r="I253">
        <v>4.2699999999999996</v>
      </c>
      <c r="J253">
        <v>4.55</v>
      </c>
    </row>
    <row r="254" spans="1:10" x14ac:dyDescent="0.25">
      <c r="A254">
        <v>45649</v>
      </c>
      <c r="B254" t="s">
        <v>19</v>
      </c>
      <c r="C254" t="s">
        <v>23</v>
      </c>
      <c r="D254" t="s">
        <v>14</v>
      </c>
      <c r="E254">
        <v>219</v>
      </c>
      <c r="F254">
        <v>8939771.6600000001</v>
      </c>
      <c r="G254">
        <v>2326145.15</v>
      </c>
      <c r="H254">
        <v>6613626.5099999998</v>
      </c>
      <c r="I254">
        <v>1.35</v>
      </c>
      <c r="J254">
        <v>4.82</v>
      </c>
    </row>
    <row r="255" spans="1:10" x14ac:dyDescent="0.25">
      <c r="A255">
        <v>43860</v>
      </c>
      <c r="B255" t="s">
        <v>19</v>
      </c>
      <c r="C255" t="s">
        <v>23</v>
      </c>
      <c r="D255" t="s">
        <v>12</v>
      </c>
      <c r="E255">
        <v>94</v>
      </c>
      <c r="F255">
        <v>7797431.04</v>
      </c>
      <c r="G255">
        <v>3073361.68</v>
      </c>
      <c r="H255">
        <v>4724069.3600000003</v>
      </c>
      <c r="I255">
        <v>4.22</v>
      </c>
      <c r="J255">
        <v>3.69</v>
      </c>
    </row>
    <row r="256" spans="1:10" x14ac:dyDescent="0.25">
      <c r="A256">
        <v>45198</v>
      </c>
      <c r="B256" t="s">
        <v>19</v>
      </c>
      <c r="C256" t="s">
        <v>23</v>
      </c>
      <c r="D256" t="s">
        <v>17</v>
      </c>
      <c r="E256">
        <v>412</v>
      </c>
      <c r="F256">
        <v>19600646.16</v>
      </c>
      <c r="G256">
        <v>4278031.9000000004</v>
      </c>
      <c r="H256">
        <v>15322614.26</v>
      </c>
      <c r="I256">
        <v>0.51</v>
      </c>
      <c r="J256">
        <v>4.33</v>
      </c>
    </row>
    <row r="257" spans="1:10" x14ac:dyDescent="0.25">
      <c r="A257">
        <v>43925</v>
      </c>
      <c r="B257" t="s">
        <v>19</v>
      </c>
      <c r="C257" t="s">
        <v>24</v>
      </c>
      <c r="D257" t="s">
        <v>12</v>
      </c>
      <c r="E257">
        <v>126</v>
      </c>
      <c r="F257">
        <v>7926751.3899999997</v>
      </c>
      <c r="G257">
        <v>3160576.71</v>
      </c>
      <c r="H257">
        <v>4766174.68</v>
      </c>
      <c r="I257">
        <v>1.79</v>
      </c>
      <c r="J257">
        <v>4.43</v>
      </c>
    </row>
    <row r="258" spans="1:10" x14ac:dyDescent="0.25">
      <c r="A258">
        <v>45383</v>
      </c>
      <c r="B258" t="s">
        <v>19</v>
      </c>
      <c r="C258" t="s">
        <v>21</v>
      </c>
      <c r="D258" t="s">
        <v>14</v>
      </c>
      <c r="E258">
        <v>162</v>
      </c>
      <c r="F258">
        <v>10658212.82</v>
      </c>
      <c r="G258">
        <v>4016347.43</v>
      </c>
      <c r="H258">
        <v>6641865.3899999997</v>
      </c>
      <c r="I258">
        <v>2.2000000000000002</v>
      </c>
      <c r="J258">
        <v>3.51</v>
      </c>
    </row>
    <row r="259" spans="1:10" x14ac:dyDescent="0.25">
      <c r="A259">
        <v>44008</v>
      </c>
      <c r="B259" t="s">
        <v>19</v>
      </c>
      <c r="C259" t="s">
        <v>22</v>
      </c>
      <c r="D259" t="s">
        <v>12</v>
      </c>
      <c r="E259">
        <v>414</v>
      </c>
      <c r="F259">
        <v>32247079.649999999</v>
      </c>
      <c r="G259">
        <v>12208869.220000001</v>
      </c>
      <c r="H259">
        <v>20038210.420000002</v>
      </c>
      <c r="I259">
        <v>3.92</v>
      </c>
      <c r="J259">
        <v>4.3099999999999996</v>
      </c>
    </row>
    <row r="260" spans="1:10" x14ac:dyDescent="0.25">
      <c r="A260">
        <v>45334</v>
      </c>
      <c r="B260" t="s">
        <v>19</v>
      </c>
      <c r="C260" t="s">
        <v>21</v>
      </c>
      <c r="D260" t="s">
        <v>17</v>
      </c>
      <c r="E260">
        <v>273</v>
      </c>
      <c r="F260">
        <v>22169424.359999999</v>
      </c>
      <c r="G260">
        <v>7129016.4199999999</v>
      </c>
      <c r="H260">
        <v>15040407.939999999</v>
      </c>
      <c r="I260">
        <v>1.31</v>
      </c>
      <c r="J260">
        <v>4.63</v>
      </c>
    </row>
    <row r="261" spans="1:10" x14ac:dyDescent="0.25">
      <c r="A261">
        <v>44869</v>
      </c>
      <c r="B261" t="s">
        <v>19</v>
      </c>
      <c r="C261" t="s">
        <v>24</v>
      </c>
      <c r="D261" t="s">
        <v>14</v>
      </c>
      <c r="E261">
        <v>327</v>
      </c>
      <c r="F261">
        <v>28301054.34</v>
      </c>
      <c r="G261">
        <v>7426843.5</v>
      </c>
      <c r="H261">
        <v>20874210.850000001</v>
      </c>
      <c r="I261">
        <v>0.81</v>
      </c>
      <c r="J261">
        <v>3.95</v>
      </c>
    </row>
    <row r="262" spans="1:10" x14ac:dyDescent="0.25">
      <c r="A262">
        <v>43862</v>
      </c>
      <c r="B262" t="s">
        <v>19</v>
      </c>
      <c r="C262" t="s">
        <v>20</v>
      </c>
      <c r="D262" t="s">
        <v>17</v>
      </c>
      <c r="E262">
        <v>66</v>
      </c>
      <c r="F262">
        <v>5108672.9800000004</v>
      </c>
      <c r="G262">
        <v>1319496.6599999999</v>
      </c>
      <c r="H262">
        <v>3789176.32</v>
      </c>
      <c r="I262">
        <v>2.63</v>
      </c>
      <c r="J262">
        <v>3.59</v>
      </c>
    </row>
    <row r="263" spans="1:10" x14ac:dyDescent="0.25">
      <c r="A263">
        <v>44462</v>
      </c>
      <c r="B263" t="s">
        <v>19</v>
      </c>
      <c r="C263" t="s">
        <v>21</v>
      </c>
      <c r="D263" t="s">
        <v>17</v>
      </c>
      <c r="E263">
        <v>169</v>
      </c>
      <c r="F263">
        <v>6340172.2000000002</v>
      </c>
      <c r="G263">
        <v>1430930.2</v>
      </c>
      <c r="H263">
        <v>4909242.01</v>
      </c>
      <c r="I263">
        <v>4.88</v>
      </c>
      <c r="J263">
        <v>4.95</v>
      </c>
    </row>
    <row r="264" spans="1:10" x14ac:dyDescent="0.25">
      <c r="A264">
        <v>44564</v>
      </c>
      <c r="B264" t="s">
        <v>19</v>
      </c>
      <c r="C264" t="s">
        <v>24</v>
      </c>
      <c r="D264" t="s">
        <v>12</v>
      </c>
      <c r="E264">
        <v>213</v>
      </c>
      <c r="F264">
        <v>15041325.23</v>
      </c>
      <c r="G264">
        <v>4228429.8099999996</v>
      </c>
      <c r="H264">
        <v>10812895.43</v>
      </c>
      <c r="I264">
        <v>2.23</v>
      </c>
      <c r="J264">
        <v>3.6</v>
      </c>
    </row>
    <row r="265" spans="1:10" x14ac:dyDescent="0.25">
      <c r="A265">
        <v>44568</v>
      </c>
      <c r="B265" t="s">
        <v>19</v>
      </c>
      <c r="C265" t="s">
        <v>24</v>
      </c>
      <c r="D265" t="s">
        <v>12</v>
      </c>
      <c r="E265">
        <v>82</v>
      </c>
      <c r="F265">
        <v>4329482.09</v>
      </c>
      <c r="G265">
        <v>1308678.45</v>
      </c>
      <c r="H265">
        <v>3020803.64</v>
      </c>
      <c r="I265">
        <v>3.97</v>
      </c>
      <c r="J265">
        <v>4.5199999999999996</v>
      </c>
    </row>
    <row r="266" spans="1:10" x14ac:dyDescent="0.25">
      <c r="A266">
        <v>45574</v>
      </c>
      <c r="B266" t="s">
        <v>19</v>
      </c>
      <c r="C266" t="s">
        <v>22</v>
      </c>
      <c r="D266" t="s">
        <v>12</v>
      </c>
      <c r="E266">
        <v>75</v>
      </c>
      <c r="F266">
        <v>3280620.42</v>
      </c>
      <c r="G266">
        <v>1004828.17</v>
      </c>
      <c r="H266">
        <v>2275792.25</v>
      </c>
      <c r="I266">
        <v>4.75</v>
      </c>
      <c r="J266">
        <v>3.65</v>
      </c>
    </row>
    <row r="267" spans="1:10" x14ac:dyDescent="0.25">
      <c r="A267">
        <v>44164</v>
      </c>
      <c r="B267" t="s">
        <v>19</v>
      </c>
      <c r="C267" t="s">
        <v>20</v>
      </c>
      <c r="D267" t="s">
        <v>14</v>
      </c>
      <c r="E267">
        <v>88</v>
      </c>
      <c r="F267">
        <v>5630796.6299999999</v>
      </c>
      <c r="G267">
        <v>1322200.28</v>
      </c>
      <c r="H267">
        <v>4308596.3499999996</v>
      </c>
      <c r="I267">
        <v>1.84</v>
      </c>
      <c r="J267">
        <v>4.76</v>
      </c>
    </row>
    <row r="268" spans="1:10" x14ac:dyDescent="0.25">
      <c r="A268">
        <v>45414</v>
      </c>
      <c r="B268" t="s">
        <v>19</v>
      </c>
      <c r="C268" t="s">
        <v>22</v>
      </c>
      <c r="D268" t="s">
        <v>17</v>
      </c>
      <c r="E268">
        <v>224</v>
      </c>
      <c r="F268">
        <v>16223751.4</v>
      </c>
      <c r="G268">
        <v>4365775.1100000003</v>
      </c>
      <c r="H268">
        <v>11857976.289999999</v>
      </c>
      <c r="I268">
        <v>1.73</v>
      </c>
      <c r="J268">
        <v>4.93</v>
      </c>
    </row>
    <row r="269" spans="1:10" x14ac:dyDescent="0.25">
      <c r="A269">
        <v>43861</v>
      </c>
      <c r="B269" t="s">
        <v>19</v>
      </c>
      <c r="C269" t="s">
        <v>22</v>
      </c>
      <c r="D269" t="s">
        <v>12</v>
      </c>
      <c r="E269">
        <v>285</v>
      </c>
      <c r="F269">
        <v>10465663.77</v>
      </c>
      <c r="G269">
        <v>2655620.1800000002</v>
      </c>
      <c r="H269">
        <v>7810043.5899999999</v>
      </c>
      <c r="I269">
        <v>4.59</v>
      </c>
      <c r="J269">
        <v>4.79</v>
      </c>
    </row>
    <row r="270" spans="1:10" x14ac:dyDescent="0.25">
      <c r="A270">
        <v>45334</v>
      </c>
      <c r="B270" t="s">
        <v>19</v>
      </c>
      <c r="C270" t="s">
        <v>21</v>
      </c>
      <c r="D270" t="s">
        <v>17</v>
      </c>
      <c r="E270">
        <v>133</v>
      </c>
      <c r="F270">
        <v>7563403.0199999996</v>
      </c>
      <c r="G270">
        <v>2610561.19</v>
      </c>
      <c r="H270">
        <v>4952841.83</v>
      </c>
      <c r="I270">
        <v>4.93</v>
      </c>
      <c r="J270">
        <v>4.1100000000000003</v>
      </c>
    </row>
    <row r="271" spans="1:10" x14ac:dyDescent="0.25">
      <c r="A271">
        <v>44482</v>
      </c>
      <c r="B271" t="s">
        <v>19</v>
      </c>
      <c r="C271" t="s">
        <v>23</v>
      </c>
      <c r="D271" t="s">
        <v>14</v>
      </c>
      <c r="E271">
        <v>429</v>
      </c>
      <c r="F271">
        <v>32107752.960000001</v>
      </c>
      <c r="G271">
        <v>8053671.0800000001</v>
      </c>
      <c r="H271">
        <v>24054081.879999999</v>
      </c>
      <c r="I271">
        <v>1.4</v>
      </c>
      <c r="J271">
        <v>4.8</v>
      </c>
    </row>
    <row r="272" spans="1:10" x14ac:dyDescent="0.25">
      <c r="A272">
        <v>44891</v>
      </c>
      <c r="B272" t="s">
        <v>19</v>
      </c>
      <c r="C272" t="s">
        <v>22</v>
      </c>
      <c r="D272" t="s">
        <v>17</v>
      </c>
      <c r="E272">
        <v>329</v>
      </c>
      <c r="F272">
        <v>18183484.190000001</v>
      </c>
      <c r="G272">
        <v>4129984.76</v>
      </c>
      <c r="H272">
        <v>14053499.43</v>
      </c>
      <c r="I272">
        <v>2.63</v>
      </c>
      <c r="J272">
        <v>4.95</v>
      </c>
    </row>
    <row r="273" spans="1:10" x14ac:dyDescent="0.25">
      <c r="A273">
        <v>45613</v>
      </c>
      <c r="B273" t="s">
        <v>19</v>
      </c>
      <c r="C273" t="s">
        <v>22</v>
      </c>
      <c r="D273" t="s">
        <v>17</v>
      </c>
      <c r="E273">
        <v>479</v>
      </c>
      <c r="F273">
        <v>22131509.41</v>
      </c>
      <c r="G273">
        <v>8449082.2100000009</v>
      </c>
      <c r="H273">
        <v>13682427.199999999</v>
      </c>
      <c r="I273">
        <v>1.19</v>
      </c>
      <c r="J273">
        <v>4.18</v>
      </c>
    </row>
    <row r="274" spans="1:10" x14ac:dyDescent="0.25">
      <c r="A274">
        <v>45414</v>
      </c>
      <c r="B274" t="s">
        <v>19</v>
      </c>
      <c r="C274" t="s">
        <v>20</v>
      </c>
      <c r="D274" t="s">
        <v>12</v>
      </c>
      <c r="E274">
        <v>99</v>
      </c>
      <c r="F274">
        <v>7608775.6299999999</v>
      </c>
      <c r="G274">
        <v>2090556.27</v>
      </c>
      <c r="H274">
        <v>5518219.3600000003</v>
      </c>
      <c r="I274">
        <v>1.0900000000000001</v>
      </c>
      <c r="J274">
        <v>3.55</v>
      </c>
    </row>
    <row r="275" spans="1:10" x14ac:dyDescent="0.25">
      <c r="A275">
        <v>45274</v>
      </c>
      <c r="B275" t="s">
        <v>19</v>
      </c>
      <c r="C275" t="s">
        <v>22</v>
      </c>
      <c r="D275" t="s">
        <v>12</v>
      </c>
      <c r="E275">
        <v>365</v>
      </c>
      <c r="F275">
        <v>32197788.620000001</v>
      </c>
      <c r="G275">
        <v>11684842.32</v>
      </c>
      <c r="H275">
        <v>20512946.300000001</v>
      </c>
      <c r="I275">
        <v>2.58</v>
      </c>
      <c r="J275">
        <v>3.5</v>
      </c>
    </row>
    <row r="276" spans="1:10" x14ac:dyDescent="0.25">
      <c r="A276">
        <v>45238</v>
      </c>
      <c r="B276" t="s">
        <v>19</v>
      </c>
      <c r="C276" t="s">
        <v>21</v>
      </c>
      <c r="D276" t="s">
        <v>14</v>
      </c>
      <c r="E276">
        <v>322</v>
      </c>
      <c r="F276">
        <v>22025397.199999999</v>
      </c>
      <c r="G276">
        <v>7719725.71</v>
      </c>
      <c r="H276">
        <v>14305671.49</v>
      </c>
      <c r="I276">
        <v>3.01</v>
      </c>
      <c r="J276">
        <v>3.84</v>
      </c>
    </row>
    <row r="277" spans="1:10" x14ac:dyDescent="0.25">
      <c r="A277">
        <v>45199</v>
      </c>
      <c r="B277" t="s">
        <v>19</v>
      </c>
      <c r="C277" t="s">
        <v>24</v>
      </c>
      <c r="D277" t="s">
        <v>17</v>
      </c>
      <c r="E277">
        <v>493</v>
      </c>
      <c r="F277">
        <v>18996025.329999998</v>
      </c>
      <c r="G277">
        <v>5387381.4299999997</v>
      </c>
      <c r="H277">
        <v>13608643.9</v>
      </c>
      <c r="I277">
        <v>1.71</v>
      </c>
      <c r="J277">
        <v>4.7</v>
      </c>
    </row>
    <row r="278" spans="1:10" x14ac:dyDescent="0.25">
      <c r="A278">
        <v>45177</v>
      </c>
      <c r="B278" t="s">
        <v>19</v>
      </c>
      <c r="C278" t="s">
        <v>22</v>
      </c>
      <c r="D278" t="s">
        <v>14</v>
      </c>
      <c r="E278">
        <v>444</v>
      </c>
      <c r="F278">
        <v>39577861.369999997</v>
      </c>
      <c r="G278">
        <v>14647128.16</v>
      </c>
      <c r="H278">
        <v>24930733.210000001</v>
      </c>
      <c r="I278">
        <v>2.59</v>
      </c>
      <c r="J278">
        <v>4.5199999999999996</v>
      </c>
    </row>
    <row r="279" spans="1:10" x14ac:dyDescent="0.25">
      <c r="A279">
        <v>44448</v>
      </c>
      <c r="B279" t="s">
        <v>19</v>
      </c>
      <c r="C279" t="s">
        <v>22</v>
      </c>
      <c r="D279" t="s">
        <v>14</v>
      </c>
      <c r="E279">
        <v>387</v>
      </c>
      <c r="F279">
        <v>23760498.100000001</v>
      </c>
      <c r="G279">
        <v>6652841.8200000003</v>
      </c>
      <c r="H279">
        <v>17107656.280000001</v>
      </c>
      <c r="I279">
        <v>1.81</v>
      </c>
      <c r="J279">
        <v>4.54</v>
      </c>
    </row>
    <row r="280" spans="1:10" x14ac:dyDescent="0.25">
      <c r="A280">
        <v>44147</v>
      </c>
      <c r="B280" t="s">
        <v>19</v>
      </c>
      <c r="C280" t="s">
        <v>23</v>
      </c>
      <c r="D280" t="s">
        <v>12</v>
      </c>
      <c r="E280">
        <v>338</v>
      </c>
      <c r="F280">
        <v>29539738.18</v>
      </c>
      <c r="G280">
        <v>6452550.21</v>
      </c>
      <c r="H280">
        <v>23087187.969999999</v>
      </c>
      <c r="I280">
        <v>3.76</v>
      </c>
      <c r="J280">
        <v>4.62</v>
      </c>
    </row>
    <row r="281" spans="1:10" x14ac:dyDescent="0.25">
      <c r="A281">
        <v>44276</v>
      </c>
      <c r="B281" t="s">
        <v>19</v>
      </c>
      <c r="C281" t="s">
        <v>20</v>
      </c>
      <c r="D281" t="s">
        <v>14</v>
      </c>
      <c r="E281">
        <v>90</v>
      </c>
      <c r="F281">
        <v>4348122.83</v>
      </c>
      <c r="G281">
        <v>881223.1</v>
      </c>
      <c r="H281">
        <v>3466899.73</v>
      </c>
      <c r="I281">
        <v>1.1399999999999999</v>
      </c>
      <c r="J281">
        <v>4.25</v>
      </c>
    </row>
    <row r="282" spans="1:10" x14ac:dyDescent="0.25">
      <c r="A282">
        <v>44009</v>
      </c>
      <c r="B282" t="s">
        <v>19</v>
      </c>
      <c r="C282" t="s">
        <v>24</v>
      </c>
      <c r="D282" t="s">
        <v>12</v>
      </c>
      <c r="E282">
        <v>135</v>
      </c>
      <c r="F282">
        <v>6286845.6299999999</v>
      </c>
      <c r="G282">
        <v>2079667.7</v>
      </c>
      <c r="H282">
        <v>4207177.93</v>
      </c>
      <c r="I282">
        <v>3.99</v>
      </c>
      <c r="J282">
        <v>4.91</v>
      </c>
    </row>
    <row r="283" spans="1:10" x14ac:dyDescent="0.25">
      <c r="A283">
        <v>44480</v>
      </c>
      <c r="B283" t="s">
        <v>19</v>
      </c>
      <c r="C283" t="s">
        <v>21</v>
      </c>
      <c r="D283" t="s">
        <v>14</v>
      </c>
      <c r="E283">
        <v>402</v>
      </c>
      <c r="F283">
        <v>25516604.440000001</v>
      </c>
      <c r="G283">
        <v>9758230.8300000001</v>
      </c>
      <c r="H283">
        <v>15758373.6</v>
      </c>
      <c r="I283">
        <v>2.08</v>
      </c>
      <c r="J283">
        <v>3.55</v>
      </c>
    </row>
    <row r="284" spans="1:10" x14ac:dyDescent="0.25">
      <c r="A284">
        <v>44415</v>
      </c>
      <c r="B284" t="s">
        <v>19</v>
      </c>
      <c r="C284" t="s">
        <v>22</v>
      </c>
      <c r="D284" t="s">
        <v>17</v>
      </c>
      <c r="E284">
        <v>165</v>
      </c>
      <c r="F284">
        <v>9022047.2599999998</v>
      </c>
      <c r="G284">
        <v>3027628.18</v>
      </c>
      <c r="H284">
        <v>5994419.0800000001</v>
      </c>
      <c r="I284">
        <v>4.9000000000000004</v>
      </c>
      <c r="J284">
        <v>3.8</v>
      </c>
    </row>
    <row r="285" spans="1:10" x14ac:dyDescent="0.25">
      <c r="A285">
        <v>45589</v>
      </c>
      <c r="B285" t="s">
        <v>19</v>
      </c>
      <c r="C285" t="s">
        <v>20</v>
      </c>
      <c r="D285" t="s">
        <v>17</v>
      </c>
      <c r="E285">
        <v>171</v>
      </c>
      <c r="F285">
        <v>13514517.91</v>
      </c>
      <c r="G285">
        <v>4864820.3499999996</v>
      </c>
      <c r="H285">
        <v>8649697.5500000007</v>
      </c>
      <c r="I285">
        <v>1.25</v>
      </c>
      <c r="J285">
        <v>3.66</v>
      </c>
    </row>
    <row r="286" spans="1:10" x14ac:dyDescent="0.25">
      <c r="A286">
        <v>45183</v>
      </c>
      <c r="B286" t="s">
        <v>19</v>
      </c>
      <c r="C286" t="s">
        <v>23</v>
      </c>
      <c r="D286" t="s">
        <v>14</v>
      </c>
      <c r="E286">
        <v>366</v>
      </c>
      <c r="F286">
        <v>27031356.370000001</v>
      </c>
      <c r="G286">
        <v>10641779.279999999</v>
      </c>
      <c r="H286">
        <v>16389577.09</v>
      </c>
      <c r="I286">
        <v>4.71</v>
      </c>
      <c r="J286">
        <v>3.58</v>
      </c>
    </row>
    <row r="287" spans="1:10" x14ac:dyDescent="0.25">
      <c r="A287">
        <v>45615</v>
      </c>
      <c r="B287" t="s">
        <v>19</v>
      </c>
      <c r="C287" t="s">
        <v>22</v>
      </c>
      <c r="D287" t="s">
        <v>12</v>
      </c>
      <c r="E287">
        <v>465</v>
      </c>
      <c r="F287">
        <v>23917727.789999999</v>
      </c>
      <c r="G287">
        <v>5093510.63</v>
      </c>
      <c r="H287">
        <v>18824217.170000002</v>
      </c>
      <c r="I287">
        <v>4.76</v>
      </c>
      <c r="J287">
        <v>4.4400000000000004</v>
      </c>
    </row>
    <row r="288" spans="1:10" x14ac:dyDescent="0.25">
      <c r="A288">
        <v>45155</v>
      </c>
      <c r="B288" t="s">
        <v>19</v>
      </c>
      <c r="C288" t="s">
        <v>20</v>
      </c>
      <c r="D288" t="s">
        <v>12</v>
      </c>
      <c r="E288">
        <v>133</v>
      </c>
      <c r="F288">
        <v>7138078.1600000001</v>
      </c>
      <c r="G288">
        <v>1691974.19</v>
      </c>
      <c r="H288">
        <v>5446103.96</v>
      </c>
      <c r="I288">
        <v>0.86</v>
      </c>
      <c r="J288">
        <v>4.84</v>
      </c>
    </row>
    <row r="289" spans="1:10" x14ac:dyDescent="0.25">
      <c r="A289">
        <v>44633</v>
      </c>
      <c r="B289" t="s">
        <v>19</v>
      </c>
      <c r="C289" t="s">
        <v>21</v>
      </c>
      <c r="D289" t="s">
        <v>17</v>
      </c>
      <c r="E289">
        <v>437</v>
      </c>
      <c r="F289">
        <v>29655332.359999999</v>
      </c>
      <c r="G289">
        <v>7213169.9699999997</v>
      </c>
      <c r="H289">
        <v>22442162.390000001</v>
      </c>
      <c r="I289">
        <v>2.66</v>
      </c>
      <c r="J289">
        <v>3.56</v>
      </c>
    </row>
    <row r="290" spans="1:10" x14ac:dyDescent="0.25">
      <c r="A290">
        <v>44324</v>
      </c>
      <c r="B290" t="s">
        <v>19</v>
      </c>
      <c r="C290" t="s">
        <v>21</v>
      </c>
      <c r="D290" t="s">
        <v>14</v>
      </c>
      <c r="E290">
        <v>237</v>
      </c>
      <c r="F290">
        <v>17831269.420000002</v>
      </c>
      <c r="G290">
        <v>6841394.5300000003</v>
      </c>
      <c r="H290">
        <v>10989874.890000001</v>
      </c>
      <c r="I290">
        <v>0.77</v>
      </c>
      <c r="J290">
        <v>3.87</v>
      </c>
    </row>
    <row r="291" spans="1:10" x14ac:dyDescent="0.25">
      <c r="A291">
        <v>43852</v>
      </c>
      <c r="B291" t="s">
        <v>19</v>
      </c>
      <c r="C291" t="s">
        <v>20</v>
      </c>
      <c r="D291" t="s">
        <v>14</v>
      </c>
      <c r="E291">
        <v>446</v>
      </c>
      <c r="F291">
        <v>27366712.120000001</v>
      </c>
      <c r="G291">
        <v>7576517.9199999999</v>
      </c>
      <c r="H291">
        <v>19790194.199999999</v>
      </c>
      <c r="I291">
        <v>1.98</v>
      </c>
      <c r="J291">
        <v>4.21</v>
      </c>
    </row>
    <row r="292" spans="1:10" x14ac:dyDescent="0.25">
      <c r="A292">
        <v>44767</v>
      </c>
      <c r="B292" t="s">
        <v>19</v>
      </c>
      <c r="C292" t="s">
        <v>23</v>
      </c>
      <c r="D292" t="s">
        <v>14</v>
      </c>
      <c r="E292">
        <v>222</v>
      </c>
      <c r="F292">
        <v>9993659.75</v>
      </c>
      <c r="G292">
        <v>2419068.2599999998</v>
      </c>
      <c r="H292">
        <v>7574591.4900000002</v>
      </c>
      <c r="I292">
        <v>3.46</v>
      </c>
      <c r="J292">
        <v>4.25</v>
      </c>
    </row>
    <row r="293" spans="1:10" x14ac:dyDescent="0.25">
      <c r="A293">
        <v>44770</v>
      </c>
      <c r="B293" t="s">
        <v>19</v>
      </c>
      <c r="C293" t="s">
        <v>23</v>
      </c>
      <c r="D293" t="s">
        <v>17</v>
      </c>
      <c r="E293">
        <v>131</v>
      </c>
      <c r="F293">
        <v>4735304.51</v>
      </c>
      <c r="G293">
        <v>1275441.94</v>
      </c>
      <c r="H293">
        <v>3459862.57</v>
      </c>
      <c r="I293">
        <v>2</v>
      </c>
      <c r="J293">
        <v>4.3099999999999996</v>
      </c>
    </row>
    <row r="294" spans="1:10" x14ac:dyDescent="0.25">
      <c r="A294">
        <v>45129</v>
      </c>
      <c r="B294" t="s">
        <v>19</v>
      </c>
      <c r="C294" t="s">
        <v>21</v>
      </c>
      <c r="D294" t="s">
        <v>17</v>
      </c>
      <c r="E294">
        <v>108</v>
      </c>
      <c r="F294">
        <v>7642934.5800000001</v>
      </c>
      <c r="G294">
        <v>2752155.85</v>
      </c>
      <c r="H294">
        <v>4890778.7300000004</v>
      </c>
      <c r="I294">
        <v>3.56</v>
      </c>
      <c r="J294">
        <v>3.61</v>
      </c>
    </row>
    <row r="295" spans="1:10" x14ac:dyDescent="0.25">
      <c r="A295">
        <v>45509</v>
      </c>
      <c r="B295" t="s">
        <v>19</v>
      </c>
      <c r="C295" t="s">
        <v>24</v>
      </c>
      <c r="D295" t="s">
        <v>17</v>
      </c>
      <c r="E295">
        <v>496</v>
      </c>
      <c r="F295">
        <v>22913615.489999998</v>
      </c>
      <c r="G295">
        <v>5313885.54</v>
      </c>
      <c r="H295">
        <v>17599729.949999999</v>
      </c>
      <c r="I295">
        <v>1.28</v>
      </c>
      <c r="J295">
        <v>4.9400000000000004</v>
      </c>
    </row>
    <row r="296" spans="1:10" x14ac:dyDescent="0.25">
      <c r="A296">
        <v>43935</v>
      </c>
      <c r="B296" t="s">
        <v>19</v>
      </c>
      <c r="C296" t="s">
        <v>20</v>
      </c>
      <c r="D296" t="s">
        <v>12</v>
      </c>
      <c r="E296">
        <v>491</v>
      </c>
      <c r="F296">
        <v>37241789.609999999</v>
      </c>
      <c r="G296">
        <v>11727489.189999999</v>
      </c>
      <c r="H296">
        <v>25514300.41</v>
      </c>
      <c r="I296">
        <v>2.06</v>
      </c>
      <c r="J296">
        <v>4.0599999999999996</v>
      </c>
    </row>
    <row r="297" spans="1:10" x14ac:dyDescent="0.25">
      <c r="A297">
        <v>44093</v>
      </c>
      <c r="B297" t="s">
        <v>19</v>
      </c>
      <c r="C297" t="s">
        <v>24</v>
      </c>
      <c r="D297" t="s">
        <v>14</v>
      </c>
      <c r="E297">
        <v>69</v>
      </c>
      <c r="F297">
        <v>4330886.33</v>
      </c>
      <c r="G297">
        <v>1261759.97</v>
      </c>
      <c r="H297">
        <v>3069126.36</v>
      </c>
      <c r="I297">
        <v>2.81</v>
      </c>
      <c r="J297">
        <v>4.38</v>
      </c>
    </row>
    <row r="298" spans="1:10" x14ac:dyDescent="0.25">
      <c r="A298">
        <v>43839</v>
      </c>
      <c r="B298" t="s">
        <v>19</v>
      </c>
      <c r="C298" t="s">
        <v>20</v>
      </c>
      <c r="D298" t="s">
        <v>12</v>
      </c>
      <c r="E298">
        <v>299</v>
      </c>
      <c r="F298">
        <v>22391862.23</v>
      </c>
      <c r="G298">
        <v>6777260.1100000003</v>
      </c>
      <c r="H298">
        <v>15614602.109999999</v>
      </c>
      <c r="I298">
        <v>4.43</v>
      </c>
      <c r="J298">
        <v>4.8499999999999996</v>
      </c>
    </row>
    <row r="299" spans="1:10" x14ac:dyDescent="0.25">
      <c r="A299">
        <v>45570</v>
      </c>
      <c r="B299" t="s">
        <v>19</v>
      </c>
      <c r="C299" t="s">
        <v>20</v>
      </c>
      <c r="D299" t="s">
        <v>14</v>
      </c>
      <c r="E299">
        <v>311</v>
      </c>
      <c r="F299">
        <v>22088934.739999998</v>
      </c>
      <c r="G299">
        <v>4452540.28</v>
      </c>
      <c r="H299">
        <v>17636394.460000001</v>
      </c>
      <c r="I299">
        <v>1.78</v>
      </c>
      <c r="J299">
        <v>4.04</v>
      </c>
    </row>
    <row r="300" spans="1:10" x14ac:dyDescent="0.25">
      <c r="A300">
        <v>44635</v>
      </c>
      <c r="B300" t="s">
        <v>19</v>
      </c>
      <c r="C300" t="s">
        <v>22</v>
      </c>
      <c r="D300" t="s">
        <v>17</v>
      </c>
      <c r="E300">
        <v>180</v>
      </c>
      <c r="F300">
        <v>12467369.18</v>
      </c>
      <c r="G300">
        <v>3412168.79</v>
      </c>
      <c r="H300">
        <v>9055200.3900000006</v>
      </c>
      <c r="I300">
        <v>3.8</v>
      </c>
      <c r="J300">
        <v>3.7</v>
      </c>
    </row>
    <row r="301" spans="1:10" x14ac:dyDescent="0.25">
      <c r="A301">
        <v>43897</v>
      </c>
      <c r="B301" t="s">
        <v>19</v>
      </c>
      <c r="C301" t="s">
        <v>24</v>
      </c>
      <c r="D301" t="s">
        <v>12</v>
      </c>
      <c r="E301">
        <v>57</v>
      </c>
      <c r="F301">
        <v>3265647.42</v>
      </c>
      <c r="G301">
        <v>913169.47</v>
      </c>
      <c r="H301">
        <v>2352477.9500000002</v>
      </c>
      <c r="I301">
        <v>3.35</v>
      </c>
      <c r="J301">
        <v>4.0599999999999996</v>
      </c>
    </row>
    <row r="302" spans="1:10" x14ac:dyDescent="0.25">
      <c r="A302">
        <v>44864</v>
      </c>
      <c r="B302" t="s">
        <v>19</v>
      </c>
      <c r="C302" t="s">
        <v>20</v>
      </c>
      <c r="D302" t="s">
        <v>14</v>
      </c>
      <c r="E302">
        <v>51</v>
      </c>
      <c r="F302">
        <v>2292640.35</v>
      </c>
      <c r="G302">
        <v>525296.59</v>
      </c>
      <c r="H302">
        <v>1767343.76</v>
      </c>
      <c r="I302">
        <v>2.72</v>
      </c>
      <c r="J302">
        <v>3.87</v>
      </c>
    </row>
    <row r="303" spans="1:10" x14ac:dyDescent="0.25">
      <c r="A303">
        <v>45322</v>
      </c>
      <c r="B303" t="s">
        <v>19</v>
      </c>
      <c r="C303" t="s">
        <v>24</v>
      </c>
      <c r="D303" t="s">
        <v>12</v>
      </c>
      <c r="E303">
        <v>365</v>
      </c>
      <c r="F303">
        <v>20905792.539999999</v>
      </c>
      <c r="G303">
        <v>5883231.2000000002</v>
      </c>
      <c r="H303">
        <v>15022561.34</v>
      </c>
      <c r="I303">
        <v>3.11</v>
      </c>
      <c r="J303">
        <v>4.49</v>
      </c>
    </row>
    <row r="304" spans="1:10" x14ac:dyDescent="0.25">
      <c r="A304">
        <v>44000</v>
      </c>
      <c r="B304" t="s">
        <v>19</v>
      </c>
      <c r="C304" t="s">
        <v>21</v>
      </c>
      <c r="D304" t="s">
        <v>17</v>
      </c>
      <c r="E304">
        <v>280</v>
      </c>
      <c r="F304">
        <v>12318267.640000001</v>
      </c>
      <c r="G304">
        <v>3963817.65</v>
      </c>
      <c r="H304">
        <v>8354449.9900000002</v>
      </c>
      <c r="I304">
        <v>4.8600000000000003</v>
      </c>
      <c r="J304">
        <v>3.89</v>
      </c>
    </row>
    <row r="305" spans="1:10" x14ac:dyDescent="0.25">
      <c r="A305">
        <v>45199</v>
      </c>
      <c r="B305" t="s">
        <v>19</v>
      </c>
      <c r="C305" t="s">
        <v>20</v>
      </c>
      <c r="D305" t="s">
        <v>12</v>
      </c>
      <c r="E305">
        <v>278</v>
      </c>
      <c r="F305">
        <v>9868074.8800000008</v>
      </c>
      <c r="G305">
        <v>2785929.97</v>
      </c>
      <c r="H305">
        <v>7082144.9100000001</v>
      </c>
      <c r="I305">
        <v>3.19</v>
      </c>
      <c r="J305">
        <v>4.09</v>
      </c>
    </row>
    <row r="306" spans="1:10" x14ac:dyDescent="0.25">
      <c r="A306">
        <v>44578</v>
      </c>
      <c r="B306" t="s">
        <v>19</v>
      </c>
      <c r="C306" t="s">
        <v>20</v>
      </c>
      <c r="D306" t="s">
        <v>17</v>
      </c>
      <c r="E306">
        <v>456</v>
      </c>
      <c r="F306">
        <v>27341041.699999999</v>
      </c>
      <c r="G306">
        <v>9645643.5700000003</v>
      </c>
      <c r="H306">
        <v>17695398.129999999</v>
      </c>
      <c r="I306">
        <v>0.83</v>
      </c>
      <c r="J306">
        <v>3.75</v>
      </c>
    </row>
    <row r="307" spans="1:10" x14ac:dyDescent="0.25">
      <c r="A307">
        <v>44381</v>
      </c>
      <c r="B307" t="s">
        <v>19</v>
      </c>
      <c r="C307" t="s">
        <v>24</v>
      </c>
      <c r="D307" t="s">
        <v>12</v>
      </c>
      <c r="E307">
        <v>142</v>
      </c>
      <c r="F307">
        <v>7601994.8099999996</v>
      </c>
      <c r="G307">
        <v>1780564.51</v>
      </c>
      <c r="H307">
        <v>5821430.29</v>
      </c>
      <c r="I307">
        <v>2.44</v>
      </c>
      <c r="J307">
        <v>3.87</v>
      </c>
    </row>
    <row r="308" spans="1:10" x14ac:dyDescent="0.25">
      <c r="A308">
        <v>44940</v>
      </c>
      <c r="B308" t="s">
        <v>19</v>
      </c>
      <c r="C308" t="s">
        <v>20</v>
      </c>
      <c r="D308" t="s">
        <v>17</v>
      </c>
      <c r="E308">
        <v>220</v>
      </c>
      <c r="F308">
        <v>19177858.59</v>
      </c>
      <c r="G308">
        <v>6702555.0199999996</v>
      </c>
      <c r="H308">
        <v>12475303.58</v>
      </c>
      <c r="I308">
        <v>2.12</v>
      </c>
      <c r="J308">
        <v>4.07</v>
      </c>
    </row>
    <row r="309" spans="1:10" x14ac:dyDescent="0.25">
      <c r="A309">
        <v>44773</v>
      </c>
      <c r="B309" t="s">
        <v>19</v>
      </c>
      <c r="C309" t="s">
        <v>23</v>
      </c>
      <c r="D309" t="s">
        <v>14</v>
      </c>
      <c r="E309">
        <v>156</v>
      </c>
      <c r="F309">
        <v>11778329.289999999</v>
      </c>
      <c r="G309">
        <v>3147630.05</v>
      </c>
      <c r="H309">
        <v>8630699.2400000002</v>
      </c>
      <c r="I309">
        <v>2.64</v>
      </c>
      <c r="J309">
        <v>4.7699999999999996</v>
      </c>
    </row>
    <row r="310" spans="1:10" x14ac:dyDescent="0.25">
      <c r="A310">
        <v>45440</v>
      </c>
      <c r="B310" t="s">
        <v>19</v>
      </c>
      <c r="C310" t="s">
        <v>22</v>
      </c>
      <c r="D310" t="s">
        <v>14</v>
      </c>
      <c r="E310">
        <v>93</v>
      </c>
      <c r="F310">
        <v>5538175.6299999999</v>
      </c>
      <c r="G310">
        <v>1258034.06</v>
      </c>
      <c r="H310">
        <v>4280141.57</v>
      </c>
      <c r="I310">
        <v>3.01</v>
      </c>
      <c r="J310">
        <v>4.3099999999999996</v>
      </c>
    </row>
    <row r="311" spans="1:10" x14ac:dyDescent="0.25">
      <c r="A311">
        <v>45279</v>
      </c>
      <c r="B311" t="s">
        <v>19</v>
      </c>
      <c r="C311" t="s">
        <v>20</v>
      </c>
      <c r="D311" t="s">
        <v>12</v>
      </c>
      <c r="E311">
        <v>453</v>
      </c>
      <c r="F311">
        <v>22575811.57</v>
      </c>
      <c r="G311">
        <v>8772568.2100000009</v>
      </c>
      <c r="H311">
        <v>13803243.359999999</v>
      </c>
      <c r="I311">
        <v>2.89</v>
      </c>
      <c r="J311">
        <v>4.9000000000000004</v>
      </c>
    </row>
    <row r="312" spans="1:10" x14ac:dyDescent="0.25">
      <c r="A312">
        <v>44240</v>
      </c>
      <c r="B312" t="s">
        <v>19</v>
      </c>
      <c r="C312" t="s">
        <v>21</v>
      </c>
      <c r="D312" t="s">
        <v>14</v>
      </c>
      <c r="E312">
        <v>334</v>
      </c>
      <c r="F312">
        <v>23446854.5</v>
      </c>
      <c r="G312">
        <v>8325034.6399999997</v>
      </c>
      <c r="H312">
        <v>15121819.859999999</v>
      </c>
      <c r="I312">
        <v>1.31</v>
      </c>
      <c r="J312">
        <v>3.63</v>
      </c>
    </row>
    <row r="313" spans="1:10" x14ac:dyDescent="0.25">
      <c r="A313">
        <v>43943</v>
      </c>
      <c r="B313" t="s">
        <v>19</v>
      </c>
      <c r="C313" t="s">
        <v>21</v>
      </c>
      <c r="D313" t="s">
        <v>14</v>
      </c>
      <c r="E313">
        <v>210</v>
      </c>
      <c r="F313">
        <v>13208562.039999999</v>
      </c>
      <c r="G313">
        <v>5173601.28</v>
      </c>
      <c r="H313">
        <v>8034960.7599999998</v>
      </c>
      <c r="I313">
        <v>1.17</v>
      </c>
      <c r="J313">
        <v>4.9800000000000004</v>
      </c>
    </row>
    <row r="314" spans="1:10" x14ac:dyDescent="0.25">
      <c r="A314">
        <v>45270</v>
      </c>
      <c r="B314" t="s">
        <v>19</v>
      </c>
      <c r="C314" t="s">
        <v>22</v>
      </c>
      <c r="D314" t="s">
        <v>12</v>
      </c>
      <c r="E314">
        <v>265</v>
      </c>
      <c r="F314">
        <v>19272979.75</v>
      </c>
      <c r="G314">
        <v>7642199.8300000001</v>
      </c>
      <c r="H314">
        <v>11630779.92</v>
      </c>
      <c r="I314">
        <v>1.95</v>
      </c>
      <c r="J314">
        <v>4.96</v>
      </c>
    </row>
    <row r="315" spans="1:10" x14ac:dyDescent="0.25">
      <c r="A315">
        <v>45381</v>
      </c>
      <c r="B315" t="s">
        <v>19</v>
      </c>
      <c r="C315" t="s">
        <v>23</v>
      </c>
      <c r="D315" t="s">
        <v>12</v>
      </c>
      <c r="E315">
        <v>88</v>
      </c>
      <c r="F315">
        <v>5280940.9000000004</v>
      </c>
      <c r="G315">
        <v>1567809.93</v>
      </c>
      <c r="H315">
        <v>3713130.97</v>
      </c>
      <c r="I315">
        <v>2.7</v>
      </c>
      <c r="J315">
        <v>4.5</v>
      </c>
    </row>
    <row r="316" spans="1:10" x14ac:dyDescent="0.25">
      <c r="A316">
        <v>43967</v>
      </c>
      <c r="B316" t="s">
        <v>19</v>
      </c>
      <c r="C316" t="s">
        <v>24</v>
      </c>
      <c r="D316" t="s">
        <v>17</v>
      </c>
      <c r="E316">
        <v>389</v>
      </c>
      <c r="F316">
        <v>16305239.65</v>
      </c>
      <c r="G316">
        <v>6089307.0099999998</v>
      </c>
      <c r="H316">
        <v>10215932.630000001</v>
      </c>
      <c r="I316">
        <v>1.1499999999999999</v>
      </c>
      <c r="J316">
        <v>4.91</v>
      </c>
    </row>
    <row r="317" spans="1:10" x14ac:dyDescent="0.25">
      <c r="A317">
        <v>44470</v>
      </c>
      <c r="B317" t="s">
        <v>19</v>
      </c>
      <c r="C317" t="s">
        <v>24</v>
      </c>
      <c r="D317" t="s">
        <v>12</v>
      </c>
      <c r="E317">
        <v>429</v>
      </c>
      <c r="F317">
        <v>30904638.260000002</v>
      </c>
      <c r="G317">
        <v>6366899.1200000001</v>
      </c>
      <c r="H317">
        <v>24537739.149999999</v>
      </c>
      <c r="I317">
        <v>0.92</v>
      </c>
      <c r="J317">
        <v>4.51</v>
      </c>
    </row>
    <row r="318" spans="1:10" x14ac:dyDescent="0.25">
      <c r="A318">
        <v>45172</v>
      </c>
      <c r="B318" t="s">
        <v>19</v>
      </c>
      <c r="C318" t="s">
        <v>23</v>
      </c>
      <c r="D318" t="s">
        <v>12</v>
      </c>
      <c r="E318">
        <v>401</v>
      </c>
      <c r="F318">
        <v>19208249.32</v>
      </c>
      <c r="G318">
        <v>3982458.5</v>
      </c>
      <c r="H318">
        <v>15225790.82</v>
      </c>
      <c r="I318">
        <v>1.65</v>
      </c>
      <c r="J318">
        <v>4.49</v>
      </c>
    </row>
    <row r="319" spans="1:10" x14ac:dyDescent="0.25">
      <c r="A319">
        <v>45553</v>
      </c>
      <c r="B319" t="s">
        <v>19</v>
      </c>
      <c r="C319" t="s">
        <v>24</v>
      </c>
      <c r="D319" t="s">
        <v>17</v>
      </c>
      <c r="E319">
        <v>168</v>
      </c>
      <c r="F319">
        <v>14608235.390000001</v>
      </c>
      <c r="G319">
        <v>3847084.55</v>
      </c>
      <c r="H319">
        <v>10761150.84</v>
      </c>
      <c r="I319">
        <v>2.74</v>
      </c>
      <c r="J319">
        <v>4.43</v>
      </c>
    </row>
    <row r="320" spans="1:10" x14ac:dyDescent="0.25">
      <c r="A320">
        <v>45453</v>
      </c>
      <c r="B320" t="s">
        <v>19</v>
      </c>
      <c r="C320" t="s">
        <v>22</v>
      </c>
      <c r="D320" t="s">
        <v>12</v>
      </c>
      <c r="E320">
        <v>185</v>
      </c>
      <c r="F320">
        <v>15272394.91</v>
      </c>
      <c r="G320">
        <v>3761531.72</v>
      </c>
      <c r="H320">
        <v>11510863.189999999</v>
      </c>
      <c r="I320">
        <v>1.01</v>
      </c>
      <c r="J320">
        <v>4.6900000000000004</v>
      </c>
    </row>
    <row r="321" spans="1:10" x14ac:dyDescent="0.25">
      <c r="A321">
        <v>44604</v>
      </c>
      <c r="B321" t="s">
        <v>19</v>
      </c>
      <c r="C321" t="s">
        <v>23</v>
      </c>
      <c r="D321" t="s">
        <v>12</v>
      </c>
      <c r="E321">
        <v>338</v>
      </c>
      <c r="F321">
        <v>22995331.399999999</v>
      </c>
      <c r="G321">
        <v>4870984.43</v>
      </c>
      <c r="H321">
        <v>18124346.960000001</v>
      </c>
      <c r="I321">
        <v>4.22</v>
      </c>
      <c r="J321">
        <v>4.5</v>
      </c>
    </row>
    <row r="322" spans="1:10" x14ac:dyDescent="0.25">
      <c r="A322">
        <v>44720</v>
      </c>
      <c r="B322" t="s">
        <v>19</v>
      </c>
      <c r="C322" t="s">
        <v>23</v>
      </c>
      <c r="D322" t="s">
        <v>12</v>
      </c>
      <c r="E322">
        <v>410</v>
      </c>
      <c r="F322">
        <v>16753672.83</v>
      </c>
      <c r="G322">
        <v>4497204.13</v>
      </c>
      <c r="H322">
        <v>12256468.699999999</v>
      </c>
      <c r="I322">
        <v>5</v>
      </c>
      <c r="J322">
        <v>3.57</v>
      </c>
    </row>
    <row r="323" spans="1:10" x14ac:dyDescent="0.25">
      <c r="A323">
        <v>44367</v>
      </c>
      <c r="B323" t="s">
        <v>19</v>
      </c>
      <c r="C323" t="s">
        <v>23</v>
      </c>
      <c r="D323" t="s">
        <v>17</v>
      </c>
      <c r="E323">
        <v>122</v>
      </c>
      <c r="F323">
        <v>10083803.460000001</v>
      </c>
      <c r="G323">
        <v>2030198.49</v>
      </c>
      <c r="H323">
        <v>8053604.96</v>
      </c>
      <c r="I323">
        <v>3.89</v>
      </c>
      <c r="J323">
        <v>3.64</v>
      </c>
    </row>
    <row r="324" spans="1:10" x14ac:dyDescent="0.25">
      <c r="A324">
        <v>44092</v>
      </c>
      <c r="B324" t="s">
        <v>19</v>
      </c>
      <c r="C324" t="s">
        <v>22</v>
      </c>
      <c r="D324" t="s">
        <v>17</v>
      </c>
      <c r="E324">
        <v>208</v>
      </c>
      <c r="F324">
        <v>15727858.949999999</v>
      </c>
      <c r="G324">
        <v>3527709.81</v>
      </c>
      <c r="H324">
        <v>12200149.140000001</v>
      </c>
      <c r="I324">
        <v>2.3199999999999998</v>
      </c>
      <c r="J324">
        <v>3.99</v>
      </c>
    </row>
    <row r="325" spans="1:10" x14ac:dyDescent="0.25">
      <c r="A325">
        <v>44322</v>
      </c>
      <c r="B325" t="s">
        <v>19</v>
      </c>
      <c r="C325" t="s">
        <v>22</v>
      </c>
      <c r="D325" t="s">
        <v>12</v>
      </c>
      <c r="E325">
        <v>151</v>
      </c>
      <c r="F325">
        <v>8924021.3399999999</v>
      </c>
      <c r="G325">
        <v>1960829.43</v>
      </c>
      <c r="H325">
        <v>6963191.9100000001</v>
      </c>
      <c r="I325">
        <v>4.45</v>
      </c>
      <c r="J325">
        <v>3.98</v>
      </c>
    </row>
    <row r="326" spans="1:10" x14ac:dyDescent="0.25">
      <c r="A326">
        <v>45292</v>
      </c>
      <c r="B326" t="s">
        <v>19</v>
      </c>
      <c r="C326" t="s">
        <v>20</v>
      </c>
      <c r="D326" t="s">
        <v>17</v>
      </c>
      <c r="E326">
        <v>414</v>
      </c>
      <c r="F326">
        <v>33112085.100000001</v>
      </c>
      <c r="G326">
        <v>12448759.550000001</v>
      </c>
      <c r="H326">
        <v>20663325.559999999</v>
      </c>
      <c r="I326">
        <v>2.95</v>
      </c>
      <c r="J326">
        <v>3.51</v>
      </c>
    </row>
    <row r="327" spans="1:10" x14ac:dyDescent="0.25">
      <c r="A327">
        <v>45316</v>
      </c>
      <c r="B327" t="s">
        <v>19</v>
      </c>
      <c r="C327" t="s">
        <v>22</v>
      </c>
      <c r="D327" t="s">
        <v>12</v>
      </c>
      <c r="E327">
        <v>192</v>
      </c>
      <c r="F327">
        <v>13375004.380000001</v>
      </c>
      <c r="G327">
        <v>3718701.14</v>
      </c>
      <c r="H327">
        <v>9656303.2400000002</v>
      </c>
      <c r="I327">
        <v>3.04</v>
      </c>
      <c r="J327">
        <v>4.07</v>
      </c>
    </row>
    <row r="328" spans="1:10" x14ac:dyDescent="0.25">
      <c r="A328">
        <v>44617</v>
      </c>
      <c r="B328" t="s">
        <v>19</v>
      </c>
      <c r="C328" t="s">
        <v>23</v>
      </c>
      <c r="D328" t="s">
        <v>12</v>
      </c>
      <c r="E328">
        <v>142</v>
      </c>
      <c r="F328">
        <v>8474297.1899999995</v>
      </c>
      <c r="G328">
        <v>2987114.96</v>
      </c>
      <c r="H328">
        <v>5487182.2300000004</v>
      </c>
      <c r="I328">
        <v>2.1800000000000002</v>
      </c>
      <c r="J328">
        <v>3.84</v>
      </c>
    </row>
    <row r="329" spans="1:10" x14ac:dyDescent="0.25">
      <c r="A329">
        <v>44707</v>
      </c>
      <c r="B329" t="s">
        <v>19</v>
      </c>
      <c r="C329" t="s">
        <v>21</v>
      </c>
      <c r="D329" t="s">
        <v>14</v>
      </c>
      <c r="E329">
        <v>316</v>
      </c>
      <c r="F329">
        <v>21547936.550000001</v>
      </c>
      <c r="G329">
        <v>5739453.2199999997</v>
      </c>
      <c r="H329">
        <v>15808483.33</v>
      </c>
      <c r="I329">
        <v>3.29</v>
      </c>
      <c r="J329">
        <v>4.2</v>
      </c>
    </row>
    <row r="330" spans="1:10" x14ac:dyDescent="0.25">
      <c r="A330">
        <v>45016</v>
      </c>
      <c r="B330" t="s">
        <v>19</v>
      </c>
      <c r="C330" t="s">
        <v>24</v>
      </c>
      <c r="D330" t="s">
        <v>17</v>
      </c>
      <c r="E330">
        <v>52</v>
      </c>
      <c r="F330">
        <v>3371160.08</v>
      </c>
      <c r="G330">
        <v>706946.72</v>
      </c>
      <c r="H330">
        <v>2664213.36</v>
      </c>
      <c r="I330">
        <v>4.3099999999999996</v>
      </c>
      <c r="J330">
        <v>4.87</v>
      </c>
    </row>
    <row r="331" spans="1:10" x14ac:dyDescent="0.25">
      <c r="A331">
        <v>44781</v>
      </c>
      <c r="B331" t="s">
        <v>19</v>
      </c>
      <c r="C331" t="s">
        <v>22</v>
      </c>
      <c r="D331" t="s">
        <v>17</v>
      </c>
      <c r="E331">
        <v>270</v>
      </c>
      <c r="F331">
        <v>14517530.24</v>
      </c>
      <c r="G331">
        <v>4703111.82</v>
      </c>
      <c r="H331">
        <v>9814418.4199999999</v>
      </c>
      <c r="I331">
        <v>2.29</v>
      </c>
      <c r="J331">
        <v>4.37</v>
      </c>
    </row>
    <row r="332" spans="1:10" x14ac:dyDescent="0.25">
      <c r="A332">
        <v>44374</v>
      </c>
      <c r="B332" t="s">
        <v>19</v>
      </c>
      <c r="C332" t="s">
        <v>22</v>
      </c>
      <c r="D332" t="s">
        <v>12</v>
      </c>
      <c r="E332">
        <v>349</v>
      </c>
      <c r="F332">
        <v>21365169.640000001</v>
      </c>
      <c r="G332">
        <v>6860931.4500000002</v>
      </c>
      <c r="H332">
        <v>14504238.199999999</v>
      </c>
      <c r="I332">
        <v>2.97</v>
      </c>
      <c r="J332">
        <v>4.62</v>
      </c>
    </row>
    <row r="333" spans="1:10" x14ac:dyDescent="0.25">
      <c r="A333">
        <v>44069</v>
      </c>
      <c r="B333" t="s">
        <v>19</v>
      </c>
      <c r="C333" t="s">
        <v>22</v>
      </c>
      <c r="D333" t="s">
        <v>17</v>
      </c>
      <c r="E333">
        <v>413</v>
      </c>
      <c r="F333">
        <v>36159720.75</v>
      </c>
      <c r="G333">
        <v>14332031.279999999</v>
      </c>
      <c r="H333">
        <v>21827689.469999999</v>
      </c>
      <c r="I333">
        <v>1.38</v>
      </c>
      <c r="J333">
        <v>3.51</v>
      </c>
    </row>
    <row r="334" spans="1:10" x14ac:dyDescent="0.25">
      <c r="A334">
        <v>44471</v>
      </c>
      <c r="B334" t="s">
        <v>19</v>
      </c>
      <c r="C334" t="s">
        <v>21</v>
      </c>
      <c r="D334" t="s">
        <v>12</v>
      </c>
      <c r="E334">
        <v>352</v>
      </c>
      <c r="F334">
        <v>13699986.029999999</v>
      </c>
      <c r="G334">
        <v>2864228.6</v>
      </c>
      <c r="H334">
        <v>10835757.43</v>
      </c>
      <c r="I334">
        <v>3.45</v>
      </c>
      <c r="J334">
        <v>4.07</v>
      </c>
    </row>
    <row r="335" spans="1:10" x14ac:dyDescent="0.25">
      <c r="A335">
        <v>44143</v>
      </c>
      <c r="B335" t="s">
        <v>19</v>
      </c>
      <c r="C335" t="s">
        <v>21</v>
      </c>
      <c r="D335" t="s">
        <v>12</v>
      </c>
      <c r="E335">
        <v>373</v>
      </c>
      <c r="F335">
        <v>32224955.09</v>
      </c>
      <c r="G335">
        <v>10623776.970000001</v>
      </c>
      <c r="H335">
        <v>21601178.109999999</v>
      </c>
      <c r="I335">
        <v>0.96</v>
      </c>
      <c r="J335">
        <v>4.2300000000000004</v>
      </c>
    </row>
    <row r="336" spans="1:10" x14ac:dyDescent="0.25">
      <c r="A336">
        <v>44681</v>
      </c>
      <c r="B336" t="s">
        <v>19</v>
      </c>
      <c r="C336" t="s">
        <v>23</v>
      </c>
      <c r="D336" t="s">
        <v>12</v>
      </c>
      <c r="E336">
        <v>422</v>
      </c>
      <c r="F336">
        <v>21381900.050000001</v>
      </c>
      <c r="G336">
        <v>7238671.3600000003</v>
      </c>
      <c r="H336">
        <v>14143228.699999999</v>
      </c>
      <c r="I336">
        <v>4.1100000000000003</v>
      </c>
      <c r="J336">
        <v>4.3099999999999996</v>
      </c>
    </row>
    <row r="337" spans="1:10" x14ac:dyDescent="0.25">
      <c r="A337">
        <v>44982</v>
      </c>
      <c r="B337" t="s">
        <v>19</v>
      </c>
      <c r="C337" t="s">
        <v>23</v>
      </c>
      <c r="D337" t="s">
        <v>12</v>
      </c>
      <c r="E337">
        <v>193</v>
      </c>
      <c r="F337">
        <v>7706383.5899999999</v>
      </c>
      <c r="G337">
        <v>1976478.11</v>
      </c>
      <c r="H337">
        <v>5729905.4800000004</v>
      </c>
      <c r="I337">
        <v>2.2999999999999998</v>
      </c>
      <c r="J337">
        <v>4.97</v>
      </c>
    </row>
    <row r="338" spans="1:10" x14ac:dyDescent="0.25">
      <c r="A338">
        <v>44939</v>
      </c>
      <c r="B338" t="s">
        <v>19</v>
      </c>
      <c r="C338" t="s">
        <v>24</v>
      </c>
      <c r="D338" t="s">
        <v>14</v>
      </c>
      <c r="E338">
        <v>139</v>
      </c>
      <c r="F338">
        <v>5796819.1799999997</v>
      </c>
      <c r="G338">
        <v>2108709.67</v>
      </c>
      <c r="H338">
        <v>3688109.52</v>
      </c>
      <c r="I338">
        <v>3.57</v>
      </c>
      <c r="J338">
        <v>3.77</v>
      </c>
    </row>
    <row r="339" spans="1:10" x14ac:dyDescent="0.25">
      <c r="A339">
        <v>44230</v>
      </c>
      <c r="B339" t="s">
        <v>19</v>
      </c>
      <c r="C339" t="s">
        <v>22</v>
      </c>
      <c r="D339" t="s">
        <v>12</v>
      </c>
      <c r="E339">
        <v>446</v>
      </c>
      <c r="F339">
        <v>20137873.23</v>
      </c>
      <c r="G339">
        <v>6865893.9400000004</v>
      </c>
      <c r="H339">
        <v>13271979.289999999</v>
      </c>
      <c r="I339">
        <v>4.07</v>
      </c>
      <c r="J339">
        <v>3.78</v>
      </c>
    </row>
    <row r="340" spans="1:10" x14ac:dyDescent="0.25">
      <c r="A340">
        <v>45165</v>
      </c>
      <c r="B340" t="s">
        <v>19</v>
      </c>
      <c r="C340" t="s">
        <v>24</v>
      </c>
      <c r="D340" t="s">
        <v>17</v>
      </c>
      <c r="E340">
        <v>489</v>
      </c>
      <c r="F340">
        <v>43012918.310000002</v>
      </c>
      <c r="G340">
        <v>13045425.439999999</v>
      </c>
      <c r="H340">
        <v>29967492.870000001</v>
      </c>
      <c r="I340">
        <v>4.13</v>
      </c>
      <c r="J340">
        <v>4.33</v>
      </c>
    </row>
    <row r="341" spans="1:10" x14ac:dyDescent="0.25">
      <c r="A341">
        <v>44821</v>
      </c>
      <c r="B341" t="s">
        <v>19</v>
      </c>
      <c r="C341" t="s">
        <v>20</v>
      </c>
      <c r="D341" t="s">
        <v>14</v>
      </c>
      <c r="E341">
        <v>425</v>
      </c>
      <c r="F341">
        <v>27181918.66</v>
      </c>
      <c r="G341">
        <v>10262237.949999999</v>
      </c>
      <c r="H341">
        <v>16919680.710000001</v>
      </c>
      <c r="I341">
        <v>0.51</v>
      </c>
      <c r="J341">
        <v>4.46</v>
      </c>
    </row>
    <row r="342" spans="1:10" x14ac:dyDescent="0.25">
      <c r="A342">
        <v>45519</v>
      </c>
      <c r="B342" t="s">
        <v>19</v>
      </c>
      <c r="C342" t="s">
        <v>23</v>
      </c>
      <c r="D342" t="s">
        <v>12</v>
      </c>
      <c r="E342">
        <v>326</v>
      </c>
      <c r="F342">
        <v>27263821.890000001</v>
      </c>
      <c r="G342">
        <v>9661863.5</v>
      </c>
      <c r="H342">
        <v>17601958.390000001</v>
      </c>
      <c r="I342">
        <v>1.45</v>
      </c>
      <c r="J342">
        <v>4.42</v>
      </c>
    </row>
    <row r="343" spans="1:10" x14ac:dyDescent="0.25">
      <c r="A343">
        <v>44493</v>
      </c>
      <c r="B343" t="s">
        <v>19</v>
      </c>
      <c r="C343" t="s">
        <v>22</v>
      </c>
      <c r="D343" t="s">
        <v>17</v>
      </c>
      <c r="E343">
        <v>427</v>
      </c>
      <c r="F343">
        <v>23417742.609999999</v>
      </c>
      <c r="G343">
        <v>5124312.0999999996</v>
      </c>
      <c r="H343">
        <v>18293430.510000002</v>
      </c>
      <c r="I343">
        <v>3.96</v>
      </c>
      <c r="J343">
        <v>4.33</v>
      </c>
    </row>
    <row r="344" spans="1:10" x14ac:dyDescent="0.25">
      <c r="A344">
        <v>44125</v>
      </c>
      <c r="B344" t="s">
        <v>19</v>
      </c>
      <c r="C344" t="s">
        <v>20</v>
      </c>
      <c r="D344" t="s">
        <v>14</v>
      </c>
      <c r="E344">
        <v>396</v>
      </c>
      <c r="F344">
        <v>30859845.719999999</v>
      </c>
      <c r="G344">
        <v>10647843.92</v>
      </c>
      <c r="H344">
        <v>20212001.809999999</v>
      </c>
      <c r="I344">
        <v>4.2</v>
      </c>
      <c r="J344">
        <v>4.1399999999999997</v>
      </c>
    </row>
    <row r="345" spans="1:10" x14ac:dyDescent="0.25">
      <c r="A345">
        <v>44400</v>
      </c>
      <c r="B345" t="s">
        <v>19</v>
      </c>
      <c r="C345" t="s">
        <v>20</v>
      </c>
      <c r="D345" t="s">
        <v>12</v>
      </c>
      <c r="E345">
        <v>251</v>
      </c>
      <c r="F345">
        <v>19960561.32</v>
      </c>
      <c r="G345">
        <v>4923647.17</v>
      </c>
      <c r="H345">
        <v>15036914.15</v>
      </c>
      <c r="I345">
        <v>1.17</v>
      </c>
      <c r="J345">
        <v>4.1399999999999997</v>
      </c>
    </row>
    <row r="346" spans="1:10" x14ac:dyDescent="0.25">
      <c r="A346">
        <v>44158</v>
      </c>
      <c r="B346" t="s">
        <v>19</v>
      </c>
      <c r="C346" t="s">
        <v>20</v>
      </c>
      <c r="D346" t="s">
        <v>14</v>
      </c>
      <c r="E346">
        <v>118</v>
      </c>
      <c r="F346">
        <v>5220412.21</v>
      </c>
      <c r="G346">
        <v>1318807.94</v>
      </c>
      <c r="H346">
        <v>3901604.26</v>
      </c>
      <c r="I346">
        <v>4.38</v>
      </c>
      <c r="J346">
        <v>3.83</v>
      </c>
    </row>
    <row r="347" spans="1:10" x14ac:dyDescent="0.25">
      <c r="A347">
        <v>44723</v>
      </c>
      <c r="B347" t="s">
        <v>19</v>
      </c>
      <c r="C347" t="s">
        <v>23</v>
      </c>
      <c r="D347" t="s">
        <v>12</v>
      </c>
      <c r="E347">
        <v>199</v>
      </c>
      <c r="F347">
        <v>7223724.3200000003</v>
      </c>
      <c r="G347">
        <v>1962004.7</v>
      </c>
      <c r="H347">
        <v>5261719.62</v>
      </c>
      <c r="I347">
        <v>3.23</v>
      </c>
      <c r="J347">
        <v>4.32</v>
      </c>
    </row>
    <row r="348" spans="1:10" x14ac:dyDescent="0.25">
      <c r="A348">
        <v>44173</v>
      </c>
      <c r="B348" t="s">
        <v>19</v>
      </c>
      <c r="C348" t="s">
        <v>23</v>
      </c>
      <c r="D348" t="s">
        <v>14</v>
      </c>
      <c r="E348">
        <v>187</v>
      </c>
      <c r="F348">
        <v>9187050.3699999992</v>
      </c>
      <c r="G348">
        <v>2513548.5299999998</v>
      </c>
      <c r="H348">
        <v>6673501.8499999996</v>
      </c>
      <c r="I348">
        <v>0.76</v>
      </c>
      <c r="J348">
        <v>3.71</v>
      </c>
    </row>
    <row r="349" spans="1:10" x14ac:dyDescent="0.25">
      <c r="A349">
        <v>43842</v>
      </c>
      <c r="B349" t="s">
        <v>19</v>
      </c>
      <c r="C349" t="s">
        <v>24</v>
      </c>
      <c r="D349" t="s">
        <v>12</v>
      </c>
      <c r="E349">
        <v>369</v>
      </c>
      <c r="F349">
        <v>15684044.779999999</v>
      </c>
      <c r="G349">
        <v>4093082.25</v>
      </c>
      <c r="H349">
        <v>11590962.529999999</v>
      </c>
      <c r="I349">
        <v>2.3199999999999998</v>
      </c>
      <c r="J349">
        <v>4.1399999999999997</v>
      </c>
    </row>
    <row r="350" spans="1:10" x14ac:dyDescent="0.25">
      <c r="A350">
        <v>44763</v>
      </c>
      <c r="B350" t="s">
        <v>19</v>
      </c>
      <c r="C350" t="s">
        <v>24</v>
      </c>
      <c r="D350" t="s">
        <v>12</v>
      </c>
      <c r="E350">
        <v>216</v>
      </c>
      <c r="F350">
        <v>16167260.189999999</v>
      </c>
      <c r="G350">
        <v>6415747.3399999999</v>
      </c>
      <c r="H350">
        <v>9751512.8599999994</v>
      </c>
      <c r="I350">
        <v>2.0299999999999998</v>
      </c>
      <c r="J350">
        <v>4.7300000000000004</v>
      </c>
    </row>
    <row r="351" spans="1:10" x14ac:dyDescent="0.25">
      <c r="A351">
        <v>44245</v>
      </c>
      <c r="B351" t="s">
        <v>19</v>
      </c>
      <c r="C351" t="s">
        <v>24</v>
      </c>
      <c r="D351" t="s">
        <v>14</v>
      </c>
      <c r="E351">
        <v>117</v>
      </c>
      <c r="F351">
        <v>8756120.2899999991</v>
      </c>
      <c r="G351">
        <v>2489563.0299999998</v>
      </c>
      <c r="H351">
        <v>6266557.2599999998</v>
      </c>
      <c r="I351">
        <v>1.73</v>
      </c>
      <c r="J351">
        <v>3.62</v>
      </c>
    </row>
    <row r="352" spans="1:10" x14ac:dyDescent="0.25">
      <c r="A352">
        <v>44063</v>
      </c>
      <c r="B352" t="s">
        <v>19</v>
      </c>
      <c r="C352" t="s">
        <v>20</v>
      </c>
      <c r="D352" t="s">
        <v>17</v>
      </c>
      <c r="E352">
        <v>281</v>
      </c>
      <c r="F352">
        <v>19807954.440000001</v>
      </c>
      <c r="G352">
        <v>5563061.1200000001</v>
      </c>
      <c r="H352">
        <v>14244893.32</v>
      </c>
      <c r="I352">
        <v>2.31</v>
      </c>
      <c r="J352">
        <v>4.05</v>
      </c>
    </row>
    <row r="353" spans="1:10" x14ac:dyDescent="0.25">
      <c r="A353">
        <v>43924</v>
      </c>
      <c r="B353" t="s">
        <v>19</v>
      </c>
      <c r="C353" t="s">
        <v>22</v>
      </c>
      <c r="D353" t="s">
        <v>12</v>
      </c>
      <c r="E353">
        <v>119</v>
      </c>
      <c r="F353">
        <v>6488450.8200000003</v>
      </c>
      <c r="G353">
        <v>2505289.69</v>
      </c>
      <c r="H353">
        <v>3983161.13</v>
      </c>
      <c r="I353">
        <v>2.84</v>
      </c>
      <c r="J353">
        <v>3.6</v>
      </c>
    </row>
    <row r="354" spans="1:10" x14ac:dyDescent="0.25">
      <c r="A354">
        <v>44851</v>
      </c>
      <c r="B354" t="s">
        <v>19</v>
      </c>
      <c r="C354" t="s">
        <v>23</v>
      </c>
      <c r="D354" t="s">
        <v>17</v>
      </c>
      <c r="E354">
        <v>54</v>
      </c>
      <c r="F354">
        <v>2097696.87</v>
      </c>
      <c r="G354">
        <v>570502.97</v>
      </c>
      <c r="H354">
        <v>1527193.9</v>
      </c>
      <c r="I354">
        <v>1.72</v>
      </c>
      <c r="J354">
        <v>4.3899999999999997</v>
      </c>
    </row>
    <row r="355" spans="1:10" x14ac:dyDescent="0.25">
      <c r="A355">
        <v>44215</v>
      </c>
      <c r="B355" t="s">
        <v>19</v>
      </c>
      <c r="C355" t="s">
        <v>21</v>
      </c>
      <c r="D355" t="s">
        <v>17</v>
      </c>
      <c r="E355">
        <v>116</v>
      </c>
      <c r="F355">
        <v>7460270.6799999997</v>
      </c>
      <c r="G355">
        <v>2500184.75</v>
      </c>
      <c r="H355">
        <v>4960085.92</v>
      </c>
      <c r="I355">
        <v>2</v>
      </c>
      <c r="J355">
        <v>4.5</v>
      </c>
    </row>
    <row r="356" spans="1:10" x14ac:dyDescent="0.25">
      <c r="A356">
        <v>45216</v>
      </c>
      <c r="B356" t="s">
        <v>19</v>
      </c>
      <c r="C356" t="s">
        <v>24</v>
      </c>
      <c r="D356" t="s">
        <v>17</v>
      </c>
      <c r="E356">
        <v>264</v>
      </c>
      <c r="F356">
        <v>14735477.67</v>
      </c>
      <c r="G356">
        <v>4824559.63</v>
      </c>
      <c r="H356">
        <v>9910918.0399999991</v>
      </c>
      <c r="I356">
        <v>4.9800000000000004</v>
      </c>
      <c r="J356">
        <v>4.17</v>
      </c>
    </row>
    <row r="357" spans="1:10" x14ac:dyDescent="0.25">
      <c r="A357">
        <v>44220</v>
      </c>
      <c r="B357" t="s">
        <v>19</v>
      </c>
      <c r="C357" t="s">
        <v>22</v>
      </c>
      <c r="D357" t="s">
        <v>12</v>
      </c>
      <c r="E357">
        <v>165</v>
      </c>
      <c r="F357">
        <v>6320791.7599999998</v>
      </c>
      <c r="G357">
        <v>1817484.49</v>
      </c>
      <c r="H357">
        <v>4503307.2699999996</v>
      </c>
      <c r="I357">
        <v>4.8099999999999996</v>
      </c>
      <c r="J357">
        <v>3.76</v>
      </c>
    </row>
    <row r="358" spans="1:10" x14ac:dyDescent="0.25">
      <c r="A358">
        <v>43975</v>
      </c>
      <c r="B358" t="s">
        <v>19</v>
      </c>
      <c r="C358" t="s">
        <v>23</v>
      </c>
      <c r="D358" t="s">
        <v>17</v>
      </c>
      <c r="E358">
        <v>336</v>
      </c>
      <c r="F358">
        <v>25709402.91</v>
      </c>
      <c r="G358">
        <v>9407183.9600000009</v>
      </c>
      <c r="H358">
        <v>16302218.949999999</v>
      </c>
      <c r="I358">
        <v>2.34</v>
      </c>
      <c r="J358">
        <v>4.13</v>
      </c>
    </row>
    <row r="359" spans="1:10" x14ac:dyDescent="0.25">
      <c r="A359">
        <v>44913</v>
      </c>
      <c r="B359" t="s">
        <v>19</v>
      </c>
      <c r="C359" t="s">
        <v>24</v>
      </c>
      <c r="D359" t="s">
        <v>12</v>
      </c>
      <c r="E359">
        <v>104</v>
      </c>
      <c r="F359">
        <v>7965254.2400000002</v>
      </c>
      <c r="G359">
        <v>2632402.58</v>
      </c>
      <c r="H359">
        <v>5332851.66</v>
      </c>
      <c r="I359">
        <v>3.49</v>
      </c>
      <c r="J359">
        <v>4.6900000000000004</v>
      </c>
    </row>
    <row r="360" spans="1:10" x14ac:dyDescent="0.25">
      <c r="A360">
        <v>44313</v>
      </c>
      <c r="B360" t="s">
        <v>19</v>
      </c>
      <c r="C360" t="s">
        <v>23</v>
      </c>
      <c r="D360" t="s">
        <v>12</v>
      </c>
      <c r="E360">
        <v>193</v>
      </c>
      <c r="F360">
        <v>10815516.460000001</v>
      </c>
      <c r="G360">
        <v>4067004.08</v>
      </c>
      <c r="H360">
        <v>6748512.3899999997</v>
      </c>
      <c r="I360">
        <v>4.88</v>
      </c>
      <c r="J360">
        <v>3.53</v>
      </c>
    </row>
    <row r="361" spans="1:10" x14ac:dyDescent="0.25">
      <c r="A361">
        <v>45285</v>
      </c>
      <c r="B361" t="s">
        <v>19</v>
      </c>
      <c r="C361" t="s">
        <v>21</v>
      </c>
      <c r="D361" t="s">
        <v>12</v>
      </c>
      <c r="E361">
        <v>409</v>
      </c>
      <c r="F361">
        <v>31604652.609999999</v>
      </c>
      <c r="G361">
        <v>11101723.869999999</v>
      </c>
      <c r="H361">
        <v>20502928.739999998</v>
      </c>
      <c r="I361">
        <v>3.52</v>
      </c>
      <c r="J361">
        <v>3.64</v>
      </c>
    </row>
    <row r="362" spans="1:10" x14ac:dyDescent="0.25">
      <c r="A362">
        <v>44117</v>
      </c>
      <c r="B362" t="s">
        <v>19</v>
      </c>
      <c r="C362" t="s">
        <v>21</v>
      </c>
      <c r="D362" t="s">
        <v>17</v>
      </c>
      <c r="E362">
        <v>455</v>
      </c>
      <c r="F362">
        <v>18155338.91</v>
      </c>
      <c r="G362">
        <v>4519697.47</v>
      </c>
      <c r="H362">
        <v>13635641.439999999</v>
      </c>
      <c r="I362">
        <v>1.07</v>
      </c>
      <c r="J362">
        <v>4.74</v>
      </c>
    </row>
    <row r="363" spans="1:10" x14ac:dyDescent="0.25">
      <c r="A363">
        <v>45562</v>
      </c>
      <c r="B363" t="s">
        <v>19</v>
      </c>
      <c r="C363" t="s">
        <v>21</v>
      </c>
      <c r="D363" t="s">
        <v>14</v>
      </c>
      <c r="E363">
        <v>87</v>
      </c>
      <c r="F363">
        <v>3807269.74</v>
      </c>
      <c r="G363">
        <v>1474853.27</v>
      </c>
      <c r="H363">
        <v>2332416.4700000002</v>
      </c>
      <c r="I363">
        <v>1.03</v>
      </c>
      <c r="J363">
        <v>3.84</v>
      </c>
    </row>
    <row r="364" spans="1:10" x14ac:dyDescent="0.25">
      <c r="A364">
        <v>44673</v>
      </c>
      <c r="B364" t="s">
        <v>19</v>
      </c>
      <c r="C364" t="s">
        <v>20</v>
      </c>
      <c r="D364" t="s">
        <v>12</v>
      </c>
      <c r="E364">
        <v>286</v>
      </c>
      <c r="F364">
        <v>15674945.689999999</v>
      </c>
      <c r="G364">
        <v>5995219.2199999997</v>
      </c>
      <c r="H364">
        <v>9679726.4700000007</v>
      </c>
      <c r="I364">
        <v>4.72</v>
      </c>
      <c r="J364">
        <v>4.33</v>
      </c>
    </row>
    <row r="365" spans="1:10" x14ac:dyDescent="0.25">
      <c r="A365">
        <v>44983</v>
      </c>
      <c r="B365" t="s">
        <v>19</v>
      </c>
      <c r="C365" t="s">
        <v>24</v>
      </c>
      <c r="D365" t="s">
        <v>17</v>
      </c>
      <c r="E365">
        <v>380</v>
      </c>
      <c r="F365">
        <v>30548479.66</v>
      </c>
      <c r="G365">
        <v>10510488.289999999</v>
      </c>
      <c r="H365">
        <v>20037991.370000001</v>
      </c>
      <c r="I365">
        <v>4.74</v>
      </c>
      <c r="J365">
        <v>4.8099999999999996</v>
      </c>
    </row>
    <row r="366" spans="1:10" x14ac:dyDescent="0.25">
      <c r="A366">
        <v>43888</v>
      </c>
      <c r="B366" t="s">
        <v>19</v>
      </c>
      <c r="C366" t="s">
        <v>24</v>
      </c>
      <c r="D366" t="s">
        <v>14</v>
      </c>
      <c r="E366">
        <v>311</v>
      </c>
      <c r="F366">
        <v>26611199.699999999</v>
      </c>
      <c r="G366">
        <v>7999520.9800000004</v>
      </c>
      <c r="H366">
        <v>18611678.719999999</v>
      </c>
      <c r="I366">
        <v>4.96</v>
      </c>
      <c r="J366">
        <v>4.78</v>
      </c>
    </row>
    <row r="367" spans="1:10" x14ac:dyDescent="0.25">
      <c r="A367">
        <v>44837</v>
      </c>
      <c r="B367" t="s">
        <v>19</v>
      </c>
      <c r="C367" t="s">
        <v>22</v>
      </c>
      <c r="D367" t="s">
        <v>17</v>
      </c>
      <c r="E367">
        <v>61</v>
      </c>
      <c r="F367">
        <v>5257146.95</v>
      </c>
      <c r="G367">
        <v>1980507.73</v>
      </c>
      <c r="H367">
        <v>3276639.22</v>
      </c>
      <c r="I367">
        <v>4.18</v>
      </c>
      <c r="J367">
        <v>4.07</v>
      </c>
    </row>
    <row r="368" spans="1:10" x14ac:dyDescent="0.25">
      <c r="A368">
        <v>44524</v>
      </c>
      <c r="B368" t="s">
        <v>19</v>
      </c>
      <c r="C368" t="s">
        <v>23</v>
      </c>
      <c r="D368" t="s">
        <v>12</v>
      </c>
      <c r="E368">
        <v>265</v>
      </c>
      <c r="F368">
        <v>17035913.379999999</v>
      </c>
      <c r="G368">
        <v>4356348.58</v>
      </c>
      <c r="H368">
        <v>12679564.800000001</v>
      </c>
      <c r="I368">
        <v>1.1399999999999999</v>
      </c>
      <c r="J368">
        <v>3.82</v>
      </c>
    </row>
    <row r="369" spans="1:10" x14ac:dyDescent="0.25">
      <c r="A369">
        <v>44600</v>
      </c>
      <c r="B369" t="s">
        <v>19</v>
      </c>
      <c r="C369" t="s">
        <v>24</v>
      </c>
      <c r="D369" t="s">
        <v>17</v>
      </c>
      <c r="E369">
        <v>63</v>
      </c>
      <c r="F369">
        <v>2485385.3199999998</v>
      </c>
      <c r="G369">
        <v>793841.92</v>
      </c>
      <c r="H369">
        <v>1691543.39</v>
      </c>
      <c r="I369">
        <v>1.28</v>
      </c>
      <c r="J369">
        <v>4.54</v>
      </c>
    </row>
    <row r="370" spans="1:10" x14ac:dyDescent="0.25">
      <c r="A370">
        <v>45333</v>
      </c>
      <c r="B370" t="s">
        <v>19</v>
      </c>
      <c r="C370" t="s">
        <v>24</v>
      </c>
      <c r="D370" t="s">
        <v>12</v>
      </c>
      <c r="E370">
        <v>255</v>
      </c>
      <c r="F370">
        <v>22607933.07</v>
      </c>
      <c r="G370">
        <v>6144962.46</v>
      </c>
      <c r="H370">
        <v>16462970.6</v>
      </c>
      <c r="I370">
        <v>4.2</v>
      </c>
      <c r="J370">
        <v>3.7</v>
      </c>
    </row>
    <row r="371" spans="1:10" x14ac:dyDescent="0.25">
      <c r="A371">
        <v>44114</v>
      </c>
      <c r="B371" t="s">
        <v>19</v>
      </c>
      <c r="C371" t="s">
        <v>20</v>
      </c>
      <c r="D371" t="s">
        <v>17</v>
      </c>
      <c r="E371">
        <v>359</v>
      </c>
      <c r="F371">
        <v>18759553.260000002</v>
      </c>
      <c r="G371">
        <v>5228771.7</v>
      </c>
      <c r="H371">
        <v>13530781.560000001</v>
      </c>
      <c r="I371">
        <v>1.1299999999999999</v>
      </c>
      <c r="J371">
        <v>4.8499999999999996</v>
      </c>
    </row>
    <row r="372" spans="1:10" x14ac:dyDescent="0.25">
      <c r="A372">
        <v>44193</v>
      </c>
      <c r="B372" t="s">
        <v>19</v>
      </c>
      <c r="C372" t="s">
        <v>21</v>
      </c>
      <c r="D372" t="s">
        <v>14</v>
      </c>
      <c r="E372">
        <v>287</v>
      </c>
      <c r="F372">
        <v>12804827.73</v>
      </c>
      <c r="G372">
        <v>3834876.69</v>
      </c>
      <c r="H372">
        <v>8969951.0500000007</v>
      </c>
      <c r="I372">
        <v>2.29</v>
      </c>
      <c r="J372">
        <v>3.72</v>
      </c>
    </row>
    <row r="373" spans="1:10" x14ac:dyDescent="0.25">
      <c r="A373">
        <v>45651</v>
      </c>
      <c r="B373" t="s">
        <v>19</v>
      </c>
      <c r="C373" t="s">
        <v>20</v>
      </c>
      <c r="D373" t="s">
        <v>17</v>
      </c>
      <c r="E373">
        <v>166</v>
      </c>
      <c r="F373">
        <v>6921686.25</v>
      </c>
      <c r="G373">
        <v>2106637.33</v>
      </c>
      <c r="H373">
        <v>4815048.92</v>
      </c>
      <c r="I373">
        <v>2.78</v>
      </c>
      <c r="J373">
        <v>3.85</v>
      </c>
    </row>
    <row r="374" spans="1:10" x14ac:dyDescent="0.25">
      <c r="A374">
        <v>45080</v>
      </c>
      <c r="B374" t="s">
        <v>19</v>
      </c>
      <c r="C374" t="s">
        <v>23</v>
      </c>
      <c r="D374" t="s">
        <v>12</v>
      </c>
      <c r="E374">
        <v>222</v>
      </c>
      <c r="F374">
        <v>14479755.630000001</v>
      </c>
      <c r="G374">
        <v>2994928.48</v>
      </c>
      <c r="H374">
        <v>11484827.16</v>
      </c>
      <c r="I374">
        <v>2.4500000000000002</v>
      </c>
      <c r="J374">
        <v>3.97</v>
      </c>
    </row>
    <row r="375" spans="1:10" x14ac:dyDescent="0.25">
      <c r="A375">
        <v>44975</v>
      </c>
      <c r="B375" t="s">
        <v>19</v>
      </c>
      <c r="C375" t="s">
        <v>20</v>
      </c>
      <c r="D375" t="s">
        <v>14</v>
      </c>
      <c r="E375">
        <v>383</v>
      </c>
      <c r="F375">
        <v>31860155.879999999</v>
      </c>
      <c r="G375">
        <v>10974213.970000001</v>
      </c>
      <c r="H375">
        <v>20885941.91</v>
      </c>
      <c r="I375">
        <v>4.33</v>
      </c>
      <c r="J375">
        <v>3.5</v>
      </c>
    </row>
    <row r="376" spans="1:10" x14ac:dyDescent="0.25">
      <c r="A376">
        <v>44045</v>
      </c>
      <c r="B376" t="s">
        <v>19</v>
      </c>
      <c r="C376" t="s">
        <v>21</v>
      </c>
      <c r="D376" t="s">
        <v>14</v>
      </c>
      <c r="E376">
        <v>92</v>
      </c>
      <c r="F376">
        <v>6355115.0499999998</v>
      </c>
      <c r="G376">
        <v>1715625.47</v>
      </c>
      <c r="H376">
        <v>4639489.58</v>
      </c>
      <c r="I376">
        <v>1.18</v>
      </c>
      <c r="J376">
        <v>3.59</v>
      </c>
    </row>
    <row r="377" spans="1:10" x14ac:dyDescent="0.25">
      <c r="A377">
        <v>44413</v>
      </c>
      <c r="B377" t="s">
        <v>19</v>
      </c>
      <c r="C377" t="s">
        <v>20</v>
      </c>
      <c r="D377" t="s">
        <v>12</v>
      </c>
      <c r="E377">
        <v>467</v>
      </c>
      <c r="F377">
        <v>28154973.879999999</v>
      </c>
      <c r="G377">
        <v>10934469.529999999</v>
      </c>
      <c r="H377">
        <v>17220504.359999999</v>
      </c>
      <c r="I377">
        <v>4.9800000000000004</v>
      </c>
      <c r="J377">
        <v>3.59</v>
      </c>
    </row>
    <row r="378" spans="1:10" x14ac:dyDescent="0.25">
      <c r="A378">
        <v>44181</v>
      </c>
      <c r="B378" t="s">
        <v>19</v>
      </c>
      <c r="C378" t="s">
        <v>22</v>
      </c>
      <c r="D378" t="s">
        <v>14</v>
      </c>
      <c r="E378">
        <v>105</v>
      </c>
      <c r="F378">
        <v>5392225.4000000004</v>
      </c>
      <c r="G378">
        <v>1692795.15</v>
      </c>
      <c r="H378">
        <v>3699430.25</v>
      </c>
      <c r="I378">
        <v>1.27</v>
      </c>
      <c r="J378">
        <v>3.61</v>
      </c>
    </row>
    <row r="379" spans="1:10" x14ac:dyDescent="0.25">
      <c r="A379">
        <v>43940</v>
      </c>
      <c r="B379" t="s">
        <v>19</v>
      </c>
      <c r="C379" t="s">
        <v>21</v>
      </c>
      <c r="D379" t="s">
        <v>12</v>
      </c>
      <c r="E379">
        <v>205</v>
      </c>
      <c r="F379">
        <v>10594427.289999999</v>
      </c>
      <c r="G379">
        <v>4023666.42</v>
      </c>
      <c r="H379">
        <v>6570760.8700000001</v>
      </c>
      <c r="I379">
        <v>3.61</v>
      </c>
      <c r="J379">
        <v>3.59</v>
      </c>
    </row>
    <row r="380" spans="1:10" x14ac:dyDescent="0.25">
      <c r="A380">
        <v>44790</v>
      </c>
      <c r="B380" t="s">
        <v>19</v>
      </c>
      <c r="C380" t="s">
        <v>23</v>
      </c>
      <c r="D380" t="s">
        <v>12</v>
      </c>
      <c r="E380">
        <v>309</v>
      </c>
      <c r="F380">
        <v>21576057.690000001</v>
      </c>
      <c r="G380">
        <v>7642694.4400000004</v>
      </c>
      <c r="H380">
        <v>13933363.26</v>
      </c>
      <c r="I380">
        <v>1.55</v>
      </c>
      <c r="J380">
        <v>3.83</v>
      </c>
    </row>
    <row r="381" spans="1:10" x14ac:dyDescent="0.25">
      <c r="A381">
        <v>44132</v>
      </c>
      <c r="B381" t="s">
        <v>19</v>
      </c>
      <c r="C381" t="s">
        <v>21</v>
      </c>
      <c r="D381" t="s">
        <v>17</v>
      </c>
      <c r="E381">
        <v>270</v>
      </c>
      <c r="F381">
        <v>18714853.170000002</v>
      </c>
      <c r="G381">
        <v>5513240.5499999998</v>
      </c>
      <c r="H381">
        <v>13201612.619999999</v>
      </c>
      <c r="I381">
        <v>2.42</v>
      </c>
      <c r="J381">
        <v>3.7</v>
      </c>
    </row>
    <row r="382" spans="1:10" x14ac:dyDescent="0.25">
      <c r="A382">
        <v>44563</v>
      </c>
      <c r="B382" t="s">
        <v>19</v>
      </c>
      <c r="C382" t="s">
        <v>21</v>
      </c>
      <c r="D382" t="s">
        <v>14</v>
      </c>
      <c r="E382">
        <v>165</v>
      </c>
      <c r="F382">
        <v>9448545.7400000002</v>
      </c>
      <c r="G382">
        <v>2543405.2799999998</v>
      </c>
      <c r="H382">
        <v>6905140.46</v>
      </c>
      <c r="I382">
        <v>2.09</v>
      </c>
      <c r="J382">
        <v>4.29</v>
      </c>
    </row>
    <row r="383" spans="1:10" x14ac:dyDescent="0.25">
      <c r="A383">
        <v>43942</v>
      </c>
      <c r="B383" t="s">
        <v>19</v>
      </c>
      <c r="C383" t="s">
        <v>23</v>
      </c>
      <c r="D383" t="s">
        <v>14</v>
      </c>
      <c r="E383">
        <v>63</v>
      </c>
      <c r="F383">
        <v>2817913.96</v>
      </c>
      <c r="G383">
        <v>909014.65</v>
      </c>
      <c r="H383">
        <v>1908899.3</v>
      </c>
      <c r="I383">
        <v>4.84</v>
      </c>
      <c r="J383">
        <v>3.87</v>
      </c>
    </row>
    <row r="384" spans="1:10" x14ac:dyDescent="0.25">
      <c r="A384">
        <v>44150</v>
      </c>
      <c r="B384" t="s">
        <v>19</v>
      </c>
      <c r="C384" t="s">
        <v>23</v>
      </c>
      <c r="D384" t="s">
        <v>17</v>
      </c>
      <c r="E384">
        <v>111</v>
      </c>
      <c r="F384">
        <v>6823606.0499999998</v>
      </c>
      <c r="G384">
        <v>2703250.31</v>
      </c>
      <c r="H384">
        <v>4120355.73</v>
      </c>
      <c r="I384">
        <v>1.67</v>
      </c>
      <c r="J384">
        <v>4.6399999999999997</v>
      </c>
    </row>
    <row r="385" spans="1:10" x14ac:dyDescent="0.25">
      <c r="A385">
        <v>45560</v>
      </c>
      <c r="B385" t="s">
        <v>19</v>
      </c>
      <c r="C385" t="s">
        <v>24</v>
      </c>
      <c r="D385" t="s">
        <v>17</v>
      </c>
      <c r="E385">
        <v>363</v>
      </c>
      <c r="F385">
        <v>16492257.640000001</v>
      </c>
      <c r="G385">
        <v>4555332.4400000004</v>
      </c>
      <c r="H385">
        <v>11936925.199999999</v>
      </c>
      <c r="I385">
        <v>1.96</v>
      </c>
      <c r="J385">
        <v>4.75</v>
      </c>
    </row>
    <row r="386" spans="1:10" x14ac:dyDescent="0.25">
      <c r="A386">
        <v>45578</v>
      </c>
      <c r="B386" t="s">
        <v>19</v>
      </c>
      <c r="C386" t="s">
        <v>20</v>
      </c>
      <c r="D386" t="s">
        <v>12</v>
      </c>
      <c r="E386">
        <v>262</v>
      </c>
      <c r="F386">
        <v>12035518.960000001</v>
      </c>
      <c r="G386">
        <v>4658668.53</v>
      </c>
      <c r="H386">
        <v>7376850.4299999997</v>
      </c>
      <c r="I386">
        <v>0.69</v>
      </c>
      <c r="J386">
        <v>4.0599999999999996</v>
      </c>
    </row>
    <row r="387" spans="1:10" x14ac:dyDescent="0.25">
      <c r="A387">
        <v>44928</v>
      </c>
      <c r="B387" t="s">
        <v>19</v>
      </c>
      <c r="C387" t="s">
        <v>22</v>
      </c>
      <c r="D387" t="s">
        <v>12</v>
      </c>
      <c r="E387">
        <v>237</v>
      </c>
      <c r="F387">
        <v>16716784.76</v>
      </c>
      <c r="G387">
        <v>5017262.66</v>
      </c>
      <c r="H387">
        <v>11699522.1</v>
      </c>
      <c r="I387">
        <v>1.7</v>
      </c>
      <c r="J387">
        <v>3.72</v>
      </c>
    </row>
    <row r="388" spans="1:10" x14ac:dyDescent="0.25">
      <c r="A388">
        <v>44596</v>
      </c>
      <c r="B388" t="s">
        <v>19</v>
      </c>
      <c r="C388" t="s">
        <v>21</v>
      </c>
      <c r="D388" t="s">
        <v>14</v>
      </c>
      <c r="E388">
        <v>245</v>
      </c>
      <c r="F388">
        <v>20226298.780000001</v>
      </c>
      <c r="G388">
        <v>7105587.8899999997</v>
      </c>
      <c r="H388">
        <v>13120710.9</v>
      </c>
      <c r="I388">
        <v>3.43</v>
      </c>
      <c r="J388">
        <v>4.72</v>
      </c>
    </row>
    <row r="389" spans="1:10" x14ac:dyDescent="0.25">
      <c r="A389">
        <v>45625</v>
      </c>
      <c r="B389" t="s">
        <v>19</v>
      </c>
      <c r="C389" t="s">
        <v>24</v>
      </c>
      <c r="D389" t="s">
        <v>17</v>
      </c>
      <c r="E389">
        <v>270</v>
      </c>
      <c r="F389">
        <v>15307972.74</v>
      </c>
      <c r="G389">
        <v>4716549.37</v>
      </c>
      <c r="H389">
        <v>10591423.359999999</v>
      </c>
      <c r="I389">
        <v>4.03</v>
      </c>
      <c r="J389">
        <v>4.84</v>
      </c>
    </row>
    <row r="390" spans="1:10" x14ac:dyDescent="0.25">
      <c r="A390">
        <v>45629</v>
      </c>
      <c r="B390" t="s">
        <v>19</v>
      </c>
      <c r="C390" t="s">
        <v>23</v>
      </c>
      <c r="D390" t="s">
        <v>17</v>
      </c>
      <c r="E390">
        <v>154</v>
      </c>
      <c r="F390">
        <v>6255206.5199999996</v>
      </c>
      <c r="G390">
        <v>1678031.53</v>
      </c>
      <c r="H390">
        <v>4577174.99</v>
      </c>
      <c r="I390">
        <v>4.74</v>
      </c>
      <c r="J390">
        <v>4.71</v>
      </c>
    </row>
    <row r="391" spans="1:10" x14ac:dyDescent="0.25">
      <c r="A391">
        <v>44811</v>
      </c>
      <c r="B391" t="s">
        <v>19</v>
      </c>
      <c r="C391" t="s">
        <v>24</v>
      </c>
      <c r="D391" t="s">
        <v>14</v>
      </c>
      <c r="E391">
        <v>97</v>
      </c>
      <c r="F391">
        <v>4753667.7699999996</v>
      </c>
      <c r="G391">
        <v>1102022.28</v>
      </c>
      <c r="H391">
        <v>3651645.49</v>
      </c>
      <c r="I391">
        <v>0.67</v>
      </c>
      <c r="J391">
        <v>4.8499999999999996</v>
      </c>
    </row>
    <row r="392" spans="1:10" x14ac:dyDescent="0.25">
      <c r="A392">
        <v>44297</v>
      </c>
      <c r="B392" t="s">
        <v>19</v>
      </c>
      <c r="C392" t="s">
        <v>20</v>
      </c>
      <c r="D392" t="s">
        <v>14</v>
      </c>
      <c r="E392">
        <v>326</v>
      </c>
      <c r="F392">
        <v>26204620.27</v>
      </c>
      <c r="G392">
        <v>7885221.2599999998</v>
      </c>
      <c r="H392">
        <v>18319399.010000002</v>
      </c>
      <c r="I392">
        <v>2.2400000000000002</v>
      </c>
      <c r="J392">
        <v>4.18</v>
      </c>
    </row>
    <row r="393" spans="1:10" x14ac:dyDescent="0.25">
      <c r="A393">
        <v>44969</v>
      </c>
      <c r="B393" t="s">
        <v>19</v>
      </c>
      <c r="C393" t="s">
        <v>20</v>
      </c>
      <c r="D393" t="s">
        <v>12</v>
      </c>
      <c r="E393">
        <v>482</v>
      </c>
      <c r="F393">
        <v>33145379.329999998</v>
      </c>
      <c r="G393">
        <v>12816310.300000001</v>
      </c>
      <c r="H393">
        <v>20329069.030000001</v>
      </c>
      <c r="I393">
        <v>2.83</v>
      </c>
      <c r="J393">
        <v>3.73</v>
      </c>
    </row>
    <row r="394" spans="1:10" x14ac:dyDescent="0.25">
      <c r="A394">
        <v>44421</v>
      </c>
      <c r="B394" t="s">
        <v>19</v>
      </c>
      <c r="C394" t="s">
        <v>22</v>
      </c>
      <c r="D394" t="s">
        <v>12</v>
      </c>
      <c r="E394">
        <v>465</v>
      </c>
      <c r="F394">
        <v>41550140.060000002</v>
      </c>
      <c r="G394">
        <v>12936444.25</v>
      </c>
      <c r="H394">
        <v>28613695.809999999</v>
      </c>
      <c r="I394">
        <v>0.72</v>
      </c>
      <c r="J394">
        <v>3.56</v>
      </c>
    </row>
    <row r="395" spans="1:10" x14ac:dyDescent="0.25">
      <c r="A395">
        <v>45578</v>
      </c>
      <c r="B395" t="s">
        <v>19</v>
      </c>
      <c r="C395" t="s">
        <v>20</v>
      </c>
      <c r="D395" t="s">
        <v>17</v>
      </c>
      <c r="E395">
        <v>136</v>
      </c>
      <c r="F395">
        <v>10118098.939999999</v>
      </c>
      <c r="G395">
        <v>3901368.29</v>
      </c>
      <c r="H395">
        <v>6216730.6500000004</v>
      </c>
      <c r="I395">
        <v>0.82</v>
      </c>
      <c r="J395">
        <v>3.52</v>
      </c>
    </row>
    <row r="396" spans="1:10" x14ac:dyDescent="0.25">
      <c r="A396">
        <v>45235</v>
      </c>
      <c r="B396" t="s">
        <v>19</v>
      </c>
      <c r="C396" t="s">
        <v>21</v>
      </c>
      <c r="D396" t="s">
        <v>14</v>
      </c>
      <c r="E396">
        <v>182</v>
      </c>
      <c r="F396">
        <v>11460878.689999999</v>
      </c>
      <c r="G396">
        <v>3695915.09</v>
      </c>
      <c r="H396">
        <v>7764963.5999999996</v>
      </c>
      <c r="I396">
        <v>2.58</v>
      </c>
      <c r="J396">
        <v>4.99</v>
      </c>
    </row>
    <row r="397" spans="1:10" x14ac:dyDescent="0.25">
      <c r="A397">
        <v>44534</v>
      </c>
      <c r="B397" t="s">
        <v>19</v>
      </c>
      <c r="C397" t="s">
        <v>24</v>
      </c>
      <c r="D397" t="s">
        <v>17</v>
      </c>
      <c r="E397">
        <v>485</v>
      </c>
      <c r="F397">
        <v>37638882.939999998</v>
      </c>
      <c r="G397">
        <v>10076902.98</v>
      </c>
      <c r="H397">
        <v>27561979.969999999</v>
      </c>
      <c r="I397">
        <v>1.33</v>
      </c>
      <c r="J397">
        <v>3.76</v>
      </c>
    </row>
    <row r="398" spans="1:10" x14ac:dyDescent="0.25">
      <c r="A398">
        <v>44922</v>
      </c>
      <c r="B398" t="s">
        <v>19</v>
      </c>
      <c r="C398" t="s">
        <v>21</v>
      </c>
      <c r="D398" t="s">
        <v>17</v>
      </c>
      <c r="E398">
        <v>310</v>
      </c>
      <c r="F398">
        <v>20220953.550000001</v>
      </c>
      <c r="G398">
        <v>4729541.6900000004</v>
      </c>
      <c r="H398">
        <v>15491411.859999999</v>
      </c>
      <c r="I398">
        <v>0.81</v>
      </c>
      <c r="J398">
        <v>4.1399999999999997</v>
      </c>
    </row>
    <row r="399" spans="1:10" x14ac:dyDescent="0.25">
      <c r="A399">
        <v>44975</v>
      </c>
      <c r="B399" t="s">
        <v>19</v>
      </c>
      <c r="C399" t="s">
        <v>20</v>
      </c>
      <c r="D399" t="s">
        <v>17</v>
      </c>
      <c r="E399">
        <v>160</v>
      </c>
      <c r="F399">
        <v>6323110.6699999999</v>
      </c>
      <c r="G399">
        <v>1305267.05</v>
      </c>
      <c r="H399">
        <v>5017843.63</v>
      </c>
      <c r="I399">
        <v>1.83</v>
      </c>
      <c r="J399">
        <v>4.6500000000000004</v>
      </c>
    </row>
    <row r="400" spans="1:10" x14ac:dyDescent="0.25">
      <c r="A400">
        <v>45014</v>
      </c>
      <c r="B400" t="s">
        <v>19</v>
      </c>
      <c r="C400" t="s">
        <v>21</v>
      </c>
      <c r="D400" t="s">
        <v>17</v>
      </c>
      <c r="E400">
        <v>458</v>
      </c>
      <c r="F400">
        <v>40615209.5</v>
      </c>
      <c r="G400">
        <v>10825168.560000001</v>
      </c>
      <c r="H400">
        <v>29790040.949999999</v>
      </c>
      <c r="I400">
        <v>0.55000000000000004</v>
      </c>
      <c r="J400">
        <v>3.88</v>
      </c>
    </row>
    <row r="401" spans="1:10" x14ac:dyDescent="0.25">
      <c r="A401">
        <v>44368</v>
      </c>
      <c r="B401" t="s">
        <v>19</v>
      </c>
      <c r="C401" t="s">
        <v>23</v>
      </c>
      <c r="D401" t="s">
        <v>12</v>
      </c>
      <c r="E401">
        <v>373</v>
      </c>
      <c r="F401">
        <v>28946612.010000002</v>
      </c>
      <c r="G401">
        <v>7850875.4800000004</v>
      </c>
      <c r="H401">
        <v>21095736.530000001</v>
      </c>
      <c r="I401">
        <v>2.89</v>
      </c>
      <c r="J401">
        <v>3.56</v>
      </c>
    </row>
    <row r="402" spans="1:10" x14ac:dyDescent="0.25">
      <c r="A402">
        <v>44618</v>
      </c>
      <c r="B402" t="s">
        <v>19</v>
      </c>
      <c r="C402" t="s">
        <v>20</v>
      </c>
      <c r="D402" t="s">
        <v>17</v>
      </c>
      <c r="E402">
        <v>419</v>
      </c>
      <c r="F402">
        <v>22090456.280000001</v>
      </c>
      <c r="G402">
        <v>8282889.1699999999</v>
      </c>
      <c r="H402">
        <v>13807567.109999999</v>
      </c>
      <c r="I402">
        <v>2.63</v>
      </c>
      <c r="J402">
        <v>3.67</v>
      </c>
    </row>
    <row r="403" spans="1:10" x14ac:dyDescent="0.25">
      <c r="A403">
        <v>43927</v>
      </c>
      <c r="B403" t="s">
        <v>19</v>
      </c>
      <c r="C403" t="s">
        <v>20</v>
      </c>
      <c r="D403" t="s">
        <v>12</v>
      </c>
      <c r="E403">
        <v>318</v>
      </c>
      <c r="F403">
        <v>21316572.289999999</v>
      </c>
      <c r="G403">
        <v>5337357.72</v>
      </c>
      <c r="H403">
        <v>15979214.58</v>
      </c>
      <c r="I403">
        <v>4.1500000000000004</v>
      </c>
      <c r="J403">
        <v>4.4800000000000004</v>
      </c>
    </row>
    <row r="404" spans="1:10" x14ac:dyDescent="0.25">
      <c r="A404">
        <v>44738</v>
      </c>
      <c r="B404" t="s">
        <v>19</v>
      </c>
      <c r="C404" t="s">
        <v>23</v>
      </c>
      <c r="D404" t="s">
        <v>17</v>
      </c>
      <c r="E404">
        <v>60</v>
      </c>
      <c r="F404">
        <v>2244327.5699999998</v>
      </c>
      <c r="G404">
        <v>847993.15</v>
      </c>
      <c r="H404">
        <v>1396334.41</v>
      </c>
      <c r="I404">
        <v>3.19</v>
      </c>
      <c r="J404">
        <v>3.64</v>
      </c>
    </row>
    <row r="405" spans="1:10" x14ac:dyDescent="0.25">
      <c r="A405">
        <v>44663</v>
      </c>
      <c r="B405" t="s">
        <v>19</v>
      </c>
      <c r="C405" t="s">
        <v>20</v>
      </c>
      <c r="D405" t="s">
        <v>17</v>
      </c>
      <c r="E405">
        <v>364</v>
      </c>
      <c r="F405">
        <v>23752840.649999999</v>
      </c>
      <c r="G405">
        <v>7654814.6600000001</v>
      </c>
      <c r="H405">
        <v>16098025.99</v>
      </c>
      <c r="I405">
        <v>1.24</v>
      </c>
      <c r="J405">
        <v>3.91</v>
      </c>
    </row>
    <row r="406" spans="1:10" x14ac:dyDescent="0.25">
      <c r="A406">
        <v>44933</v>
      </c>
      <c r="B406" t="s">
        <v>19</v>
      </c>
      <c r="C406" t="s">
        <v>21</v>
      </c>
      <c r="D406" t="s">
        <v>12</v>
      </c>
      <c r="E406">
        <v>262</v>
      </c>
      <c r="F406">
        <v>18910904.59</v>
      </c>
      <c r="G406">
        <v>5688219.1699999999</v>
      </c>
      <c r="H406">
        <v>13222685.42</v>
      </c>
      <c r="I406">
        <v>0.56000000000000005</v>
      </c>
      <c r="J406">
        <v>4.99</v>
      </c>
    </row>
    <row r="407" spans="1:10" x14ac:dyDescent="0.25">
      <c r="A407">
        <v>45256</v>
      </c>
      <c r="B407" t="s">
        <v>19</v>
      </c>
      <c r="C407" t="s">
        <v>20</v>
      </c>
      <c r="D407" t="s">
        <v>14</v>
      </c>
      <c r="E407">
        <v>171</v>
      </c>
      <c r="F407">
        <v>13658980.960000001</v>
      </c>
      <c r="G407">
        <v>3110505.11</v>
      </c>
      <c r="H407">
        <v>10548475.85</v>
      </c>
      <c r="I407">
        <v>4.3099999999999996</v>
      </c>
      <c r="J407">
        <v>4.88</v>
      </c>
    </row>
    <row r="408" spans="1:10" x14ac:dyDescent="0.25">
      <c r="A408">
        <v>44416</v>
      </c>
      <c r="B408" t="s">
        <v>19</v>
      </c>
      <c r="C408" t="s">
        <v>23</v>
      </c>
      <c r="D408" t="s">
        <v>12</v>
      </c>
      <c r="E408">
        <v>67</v>
      </c>
      <c r="F408">
        <v>4688920.76</v>
      </c>
      <c r="G408">
        <v>1668258.58</v>
      </c>
      <c r="H408">
        <v>3020662.19</v>
      </c>
      <c r="I408">
        <v>4.9000000000000004</v>
      </c>
      <c r="J408">
        <v>4.62</v>
      </c>
    </row>
    <row r="409" spans="1:10" x14ac:dyDescent="0.25">
      <c r="A409">
        <v>44414</v>
      </c>
      <c r="B409" t="s">
        <v>19</v>
      </c>
      <c r="C409" t="s">
        <v>22</v>
      </c>
      <c r="D409" t="s">
        <v>17</v>
      </c>
      <c r="E409">
        <v>287</v>
      </c>
      <c r="F409">
        <v>22301222.940000001</v>
      </c>
      <c r="G409">
        <v>5993846.8899999997</v>
      </c>
      <c r="H409">
        <v>16307376.050000001</v>
      </c>
      <c r="I409">
        <v>1.3</v>
      </c>
      <c r="J409">
        <v>4.32</v>
      </c>
    </row>
    <row r="410" spans="1:10" x14ac:dyDescent="0.25">
      <c r="A410">
        <v>45510</v>
      </c>
      <c r="B410" t="s">
        <v>19</v>
      </c>
      <c r="C410" t="s">
        <v>20</v>
      </c>
      <c r="D410" t="s">
        <v>14</v>
      </c>
      <c r="E410">
        <v>284</v>
      </c>
      <c r="F410">
        <v>14146954.880000001</v>
      </c>
      <c r="G410">
        <v>4132166.45</v>
      </c>
      <c r="H410">
        <v>10014788.43</v>
      </c>
      <c r="I410">
        <v>3.78</v>
      </c>
      <c r="J410">
        <v>3.66</v>
      </c>
    </row>
    <row r="411" spans="1:10" x14ac:dyDescent="0.25">
      <c r="A411">
        <v>45155</v>
      </c>
      <c r="B411" t="s">
        <v>19</v>
      </c>
      <c r="C411" t="s">
        <v>23</v>
      </c>
      <c r="D411" t="s">
        <v>17</v>
      </c>
      <c r="E411">
        <v>262</v>
      </c>
      <c r="F411">
        <v>19631370.5</v>
      </c>
      <c r="G411">
        <v>4641698.84</v>
      </c>
      <c r="H411">
        <v>14989671.66</v>
      </c>
      <c r="I411">
        <v>1.46</v>
      </c>
      <c r="J411">
        <v>4.26</v>
      </c>
    </row>
    <row r="412" spans="1:10" x14ac:dyDescent="0.25">
      <c r="A412">
        <v>45410</v>
      </c>
      <c r="B412" t="s">
        <v>19</v>
      </c>
      <c r="C412" t="s">
        <v>20</v>
      </c>
      <c r="D412" t="s">
        <v>17</v>
      </c>
      <c r="E412">
        <v>137</v>
      </c>
      <c r="F412">
        <v>7374860.7000000002</v>
      </c>
      <c r="G412">
        <v>2340166.5299999998</v>
      </c>
      <c r="H412">
        <v>5034694.16</v>
      </c>
      <c r="I412">
        <v>3.91</v>
      </c>
      <c r="J412">
        <v>4.62</v>
      </c>
    </row>
    <row r="413" spans="1:10" x14ac:dyDescent="0.25">
      <c r="A413">
        <v>44105</v>
      </c>
      <c r="B413" t="s">
        <v>19</v>
      </c>
      <c r="C413" t="s">
        <v>20</v>
      </c>
      <c r="D413" t="s">
        <v>14</v>
      </c>
      <c r="E413">
        <v>52</v>
      </c>
      <c r="F413">
        <v>2670988.5699999998</v>
      </c>
      <c r="G413">
        <v>766561.97</v>
      </c>
      <c r="H413">
        <v>1904426.6</v>
      </c>
      <c r="I413">
        <v>3.6</v>
      </c>
      <c r="J413">
        <v>4.8099999999999996</v>
      </c>
    </row>
    <row r="414" spans="1:10" x14ac:dyDescent="0.25">
      <c r="A414">
        <v>44291</v>
      </c>
      <c r="B414" t="s">
        <v>19</v>
      </c>
      <c r="C414" t="s">
        <v>22</v>
      </c>
      <c r="D414" t="s">
        <v>12</v>
      </c>
      <c r="E414">
        <v>416</v>
      </c>
      <c r="F414">
        <v>34628927.539999999</v>
      </c>
      <c r="G414">
        <v>10847161.720000001</v>
      </c>
      <c r="H414">
        <v>23781765.829999998</v>
      </c>
      <c r="I414">
        <v>1.22</v>
      </c>
      <c r="J414">
        <v>4.34</v>
      </c>
    </row>
    <row r="415" spans="1:10" x14ac:dyDescent="0.25">
      <c r="A415">
        <v>43967</v>
      </c>
      <c r="B415" t="s">
        <v>19</v>
      </c>
      <c r="C415" t="s">
        <v>24</v>
      </c>
      <c r="D415" t="s">
        <v>17</v>
      </c>
      <c r="E415">
        <v>121</v>
      </c>
      <c r="F415">
        <v>5876647.8399999999</v>
      </c>
      <c r="G415">
        <v>1496827.2</v>
      </c>
      <c r="H415">
        <v>4379820.6399999997</v>
      </c>
      <c r="I415">
        <v>4.96</v>
      </c>
      <c r="J415">
        <v>3.65</v>
      </c>
    </row>
    <row r="416" spans="1:10" x14ac:dyDescent="0.25">
      <c r="A416">
        <v>44216</v>
      </c>
      <c r="B416" t="s">
        <v>19</v>
      </c>
      <c r="C416" t="s">
        <v>22</v>
      </c>
      <c r="D416" t="s">
        <v>12</v>
      </c>
      <c r="E416">
        <v>273</v>
      </c>
      <c r="F416">
        <v>22765444.539999999</v>
      </c>
      <c r="G416">
        <v>6112247.25</v>
      </c>
      <c r="H416">
        <v>16653197.289999999</v>
      </c>
      <c r="I416">
        <v>1.9</v>
      </c>
      <c r="J416">
        <v>4.6100000000000003</v>
      </c>
    </row>
    <row r="417" spans="1:10" x14ac:dyDescent="0.25">
      <c r="A417">
        <v>44347</v>
      </c>
      <c r="B417" t="s">
        <v>19</v>
      </c>
      <c r="C417" t="s">
        <v>22</v>
      </c>
      <c r="D417" t="s">
        <v>14</v>
      </c>
      <c r="E417">
        <v>351</v>
      </c>
      <c r="F417">
        <v>24176599.120000001</v>
      </c>
      <c r="G417">
        <v>8761479.9199999999</v>
      </c>
      <c r="H417">
        <v>15415119.199999999</v>
      </c>
      <c r="I417">
        <v>2.1</v>
      </c>
      <c r="J417">
        <v>4.68</v>
      </c>
    </row>
    <row r="418" spans="1:10" x14ac:dyDescent="0.25">
      <c r="A418">
        <v>44064</v>
      </c>
      <c r="B418" t="s">
        <v>19</v>
      </c>
      <c r="C418" t="s">
        <v>20</v>
      </c>
      <c r="D418" t="s">
        <v>17</v>
      </c>
      <c r="E418">
        <v>469</v>
      </c>
      <c r="F418">
        <v>16549897.880000001</v>
      </c>
      <c r="G418">
        <v>4101095.28</v>
      </c>
      <c r="H418">
        <v>12448802.6</v>
      </c>
      <c r="I418">
        <v>0.66</v>
      </c>
      <c r="J418">
        <v>4.62</v>
      </c>
    </row>
    <row r="419" spans="1:10" x14ac:dyDescent="0.25">
      <c r="A419">
        <v>45499</v>
      </c>
      <c r="B419" t="s">
        <v>19</v>
      </c>
      <c r="C419" t="s">
        <v>21</v>
      </c>
      <c r="D419" t="s">
        <v>12</v>
      </c>
      <c r="E419">
        <v>63</v>
      </c>
      <c r="F419">
        <v>4802175.0999999996</v>
      </c>
      <c r="G419">
        <v>1192210.67</v>
      </c>
      <c r="H419">
        <v>3609964.44</v>
      </c>
      <c r="I419">
        <v>3.55</v>
      </c>
      <c r="J419">
        <v>4.63</v>
      </c>
    </row>
    <row r="420" spans="1:10" x14ac:dyDescent="0.25">
      <c r="A420">
        <v>45381</v>
      </c>
      <c r="B420" t="s">
        <v>19</v>
      </c>
      <c r="C420" t="s">
        <v>22</v>
      </c>
      <c r="D420" t="s">
        <v>12</v>
      </c>
      <c r="E420">
        <v>272</v>
      </c>
      <c r="F420">
        <v>14091839.060000001</v>
      </c>
      <c r="G420">
        <v>3166011.34</v>
      </c>
      <c r="H420">
        <v>10925827.73</v>
      </c>
      <c r="I420">
        <v>4.9800000000000004</v>
      </c>
      <c r="J420">
        <v>4.05</v>
      </c>
    </row>
    <row r="421" spans="1:10" x14ac:dyDescent="0.25">
      <c r="A421">
        <v>44650</v>
      </c>
      <c r="B421" t="s">
        <v>19</v>
      </c>
      <c r="C421" t="s">
        <v>23</v>
      </c>
      <c r="D421" t="s">
        <v>12</v>
      </c>
      <c r="E421">
        <v>430</v>
      </c>
      <c r="F421">
        <v>30265586.5</v>
      </c>
      <c r="G421">
        <v>7382383.2199999997</v>
      </c>
      <c r="H421">
        <v>22883203.289999999</v>
      </c>
      <c r="I421">
        <v>1.48</v>
      </c>
      <c r="J421">
        <v>3.71</v>
      </c>
    </row>
    <row r="422" spans="1:10" x14ac:dyDescent="0.25">
      <c r="A422">
        <v>44128</v>
      </c>
      <c r="B422" t="s">
        <v>19</v>
      </c>
      <c r="C422" t="s">
        <v>20</v>
      </c>
      <c r="D422" t="s">
        <v>14</v>
      </c>
      <c r="E422">
        <v>279</v>
      </c>
      <c r="F422">
        <v>16096682.15</v>
      </c>
      <c r="G422">
        <v>4199244.0199999996</v>
      </c>
      <c r="H422">
        <v>11897438.130000001</v>
      </c>
      <c r="I422">
        <v>0.51</v>
      </c>
      <c r="J422">
        <v>4.43</v>
      </c>
    </row>
    <row r="423" spans="1:10" x14ac:dyDescent="0.25">
      <c r="A423">
        <v>44094</v>
      </c>
      <c r="B423" t="s">
        <v>19</v>
      </c>
      <c r="C423" t="s">
        <v>23</v>
      </c>
      <c r="D423" t="s">
        <v>17</v>
      </c>
      <c r="E423">
        <v>309</v>
      </c>
      <c r="F423">
        <v>13896521.16</v>
      </c>
      <c r="G423">
        <v>4481145.5999999996</v>
      </c>
      <c r="H423">
        <v>9415375.5600000005</v>
      </c>
      <c r="I423">
        <v>2.31</v>
      </c>
      <c r="J423">
        <v>4.8099999999999996</v>
      </c>
    </row>
    <row r="424" spans="1:10" x14ac:dyDescent="0.25">
      <c r="A424">
        <v>45420</v>
      </c>
      <c r="B424" t="s">
        <v>19</v>
      </c>
      <c r="C424" t="s">
        <v>23</v>
      </c>
      <c r="D424" t="s">
        <v>14</v>
      </c>
      <c r="E424">
        <v>270</v>
      </c>
      <c r="F424">
        <v>18988534.059999999</v>
      </c>
      <c r="G424">
        <v>7349118.6900000004</v>
      </c>
      <c r="H424">
        <v>11639415.369999999</v>
      </c>
      <c r="I424">
        <v>3.11</v>
      </c>
      <c r="J424">
        <v>4.34</v>
      </c>
    </row>
    <row r="425" spans="1:10" x14ac:dyDescent="0.25">
      <c r="A425">
        <v>45495</v>
      </c>
      <c r="B425" t="s">
        <v>19</v>
      </c>
      <c r="C425" t="s">
        <v>22</v>
      </c>
      <c r="D425" t="s">
        <v>12</v>
      </c>
      <c r="E425">
        <v>437</v>
      </c>
      <c r="F425">
        <v>16564143.189999999</v>
      </c>
      <c r="G425">
        <v>5013642.6100000003</v>
      </c>
      <c r="H425">
        <v>11550500.58</v>
      </c>
      <c r="I425">
        <v>3.2</v>
      </c>
      <c r="J425">
        <v>4.4000000000000004</v>
      </c>
    </row>
    <row r="426" spans="1:10" x14ac:dyDescent="0.25">
      <c r="A426">
        <v>45388</v>
      </c>
      <c r="B426" t="s">
        <v>19</v>
      </c>
      <c r="C426" t="s">
        <v>20</v>
      </c>
      <c r="D426" t="s">
        <v>14</v>
      </c>
      <c r="E426">
        <v>237</v>
      </c>
      <c r="F426">
        <v>19049519.059999999</v>
      </c>
      <c r="G426">
        <v>5721501.4000000004</v>
      </c>
      <c r="H426">
        <v>13328017.66</v>
      </c>
      <c r="I426">
        <v>0.85</v>
      </c>
      <c r="J426">
        <v>3.59</v>
      </c>
    </row>
    <row r="427" spans="1:10" x14ac:dyDescent="0.25">
      <c r="A427">
        <v>43850</v>
      </c>
      <c r="B427" t="s">
        <v>19</v>
      </c>
      <c r="C427" t="s">
        <v>22</v>
      </c>
      <c r="D427" t="s">
        <v>14</v>
      </c>
      <c r="E427">
        <v>158</v>
      </c>
      <c r="F427">
        <v>12012090.060000001</v>
      </c>
      <c r="G427">
        <v>2445735.5499999998</v>
      </c>
      <c r="H427">
        <v>9566354.5099999998</v>
      </c>
      <c r="I427">
        <v>1.44</v>
      </c>
      <c r="J427">
        <v>4.74</v>
      </c>
    </row>
    <row r="428" spans="1:10" x14ac:dyDescent="0.25">
      <c r="A428">
        <v>44172</v>
      </c>
      <c r="B428" t="s">
        <v>19</v>
      </c>
      <c r="C428" t="s">
        <v>24</v>
      </c>
      <c r="D428" t="s">
        <v>14</v>
      </c>
      <c r="E428">
        <v>68</v>
      </c>
      <c r="F428">
        <v>4026344.25</v>
      </c>
      <c r="G428">
        <v>1491798.77</v>
      </c>
      <c r="H428">
        <v>2534545.48</v>
      </c>
      <c r="I428">
        <v>1.98</v>
      </c>
      <c r="J428">
        <v>4.1500000000000004</v>
      </c>
    </row>
    <row r="429" spans="1:10" x14ac:dyDescent="0.25">
      <c r="A429">
        <v>44191</v>
      </c>
      <c r="B429" t="s">
        <v>19</v>
      </c>
      <c r="C429" t="s">
        <v>24</v>
      </c>
      <c r="D429" t="s">
        <v>17</v>
      </c>
      <c r="E429">
        <v>195</v>
      </c>
      <c r="F429">
        <v>10808500.970000001</v>
      </c>
      <c r="G429">
        <v>4188202.84</v>
      </c>
      <c r="H429">
        <v>6620298.1299999999</v>
      </c>
      <c r="I429">
        <v>4.1100000000000003</v>
      </c>
      <c r="J429">
        <v>4.6500000000000004</v>
      </c>
    </row>
    <row r="430" spans="1:10" x14ac:dyDescent="0.25">
      <c r="A430">
        <v>44408</v>
      </c>
      <c r="B430" t="s">
        <v>19</v>
      </c>
      <c r="C430" t="s">
        <v>23</v>
      </c>
      <c r="D430" t="s">
        <v>14</v>
      </c>
      <c r="E430">
        <v>362</v>
      </c>
      <c r="F430">
        <v>31248286.43</v>
      </c>
      <c r="G430">
        <v>8483502.2899999991</v>
      </c>
      <c r="H430">
        <v>22764784.140000001</v>
      </c>
      <c r="I430">
        <v>2.4</v>
      </c>
      <c r="J430">
        <v>4.45</v>
      </c>
    </row>
    <row r="431" spans="1:10" x14ac:dyDescent="0.25">
      <c r="A431">
        <v>45313</v>
      </c>
      <c r="B431" t="s">
        <v>19</v>
      </c>
      <c r="C431" t="s">
        <v>22</v>
      </c>
      <c r="D431" t="s">
        <v>14</v>
      </c>
      <c r="E431">
        <v>289</v>
      </c>
      <c r="F431">
        <v>12948322.960000001</v>
      </c>
      <c r="G431">
        <v>3403049.05</v>
      </c>
      <c r="H431">
        <v>9545273.9100000001</v>
      </c>
      <c r="I431">
        <v>4.96</v>
      </c>
      <c r="J431">
        <v>4.62</v>
      </c>
    </row>
    <row r="432" spans="1:10" x14ac:dyDescent="0.25">
      <c r="A432">
        <v>45435</v>
      </c>
      <c r="B432" t="s">
        <v>19</v>
      </c>
      <c r="C432" t="s">
        <v>24</v>
      </c>
      <c r="D432" t="s">
        <v>17</v>
      </c>
      <c r="E432">
        <v>408</v>
      </c>
      <c r="F432">
        <v>27112813.77</v>
      </c>
      <c r="G432">
        <v>7657909.2599999998</v>
      </c>
      <c r="H432">
        <v>19454904.5</v>
      </c>
      <c r="I432">
        <v>1.33</v>
      </c>
      <c r="J432">
        <v>4.04</v>
      </c>
    </row>
    <row r="433" spans="1:10" x14ac:dyDescent="0.25">
      <c r="A433">
        <v>44761</v>
      </c>
      <c r="B433" t="s">
        <v>19</v>
      </c>
      <c r="C433" t="s">
        <v>21</v>
      </c>
      <c r="D433" t="s">
        <v>14</v>
      </c>
      <c r="E433">
        <v>99</v>
      </c>
      <c r="F433">
        <v>4365026.43</v>
      </c>
      <c r="G433">
        <v>1134686.9099999999</v>
      </c>
      <c r="H433">
        <v>3230339.52</v>
      </c>
      <c r="I433">
        <v>3.14</v>
      </c>
      <c r="J433">
        <v>4.38</v>
      </c>
    </row>
    <row r="434" spans="1:10" x14ac:dyDescent="0.25">
      <c r="A434">
        <v>44056</v>
      </c>
      <c r="B434" t="s">
        <v>19</v>
      </c>
      <c r="C434" t="s">
        <v>21</v>
      </c>
      <c r="D434" t="s">
        <v>14</v>
      </c>
      <c r="E434">
        <v>247</v>
      </c>
      <c r="F434">
        <v>15683100.039999999</v>
      </c>
      <c r="G434">
        <v>5336251.4000000004</v>
      </c>
      <c r="H434">
        <v>10346848.630000001</v>
      </c>
      <c r="I434">
        <v>4.7300000000000004</v>
      </c>
      <c r="J434">
        <v>3.89</v>
      </c>
    </row>
    <row r="435" spans="1:10" x14ac:dyDescent="0.25">
      <c r="A435">
        <v>45091</v>
      </c>
      <c r="B435" t="s">
        <v>19</v>
      </c>
      <c r="C435" t="s">
        <v>20</v>
      </c>
      <c r="D435" t="s">
        <v>14</v>
      </c>
      <c r="E435">
        <v>351</v>
      </c>
      <c r="F435">
        <v>16639075.369999999</v>
      </c>
      <c r="G435">
        <v>5401329.5099999998</v>
      </c>
      <c r="H435">
        <v>11237745.859999999</v>
      </c>
      <c r="I435">
        <v>2.58</v>
      </c>
      <c r="J435">
        <v>4.22</v>
      </c>
    </row>
    <row r="436" spans="1:10" x14ac:dyDescent="0.25">
      <c r="A436">
        <v>45094</v>
      </c>
      <c r="B436" t="s">
        <v>19</v>
      </c>
      <c r="C436" t="s">
        <v>23</v>
      </c>
      <c r="D436" t="s">
        <v>17</v>
      </c>
      <c r="E436">
        <v>454</v>
      </c>
      <c r="F436">
        <v>27330926.559999999</v>
      </c>
      <c r="G436">
        <v>8292373.2699999996</v>
      </c>
      <c r="H436">
        <v>19038553.289999999</v>
      </c>
      <c r="I436">
        <v>1.1000000000000001</v>
      </c>
      <c r="J436">
        <v>3.62</v>
      </c>
    </row>
    <row r="437" spans="1:10" x14ac:dyDescent="0.25">
      <c r="A437">
        <v>44638</v>
      </c>
      <c r="B437" t="s">
        <v>19</v>
      </c>
      <c r="C437" t="s">
        <v>24</v>
      </c>
      <c r="D437" t="s">
        <v>12</v>
      </c>
      <c r="E437">
        <v>280</v>
      </c>
      <c r="F437">
        <v>23720265.289999999</v>
      </c>
      <c r="G437">
        <v>5173910.79</v>
      </c>
      <c r="H437">
        <v>18546354.489999998</v>
      </c>
      <c r="I437">
        <v>4.01</v>
      </c>
      <c r="J437">
        <v>3.51</v>
      </c>
    </row>
    <row r="438" spans="1:10" x14ac:dyDescent="0.25">
      <c r="A438">
        <v>43900</v>
      </c>
      <c r="B438" t="s">
        <v>19</v>
      </c>
      <c r="C438" t="s">
        <v>24</v>
      </c>
      <c r="D438" t="s">
        <v>17</v>
      </c>
      <c r="E438">
        <v>346</v>
      </c>
      <c r="F438">
        <v>15134022.43</v>
      </c>
      <c r="G438">
        <v>4206576.75</v>
      </c>
      <c r="H438">
        <v>10927445.68</v>
      </c>
      <c r="I438">
        <v>1.1100000000000001</v>
      </c>
      <c r="J438">
        <v>4.63</v>
      </c>
    </row>
    <row r="439" spans="1:10" x14ac:dyDescent="0.25">
      <c r="A439">
        <v>45237</v>
      </c>
      <c r="B439" t="s">
        <v>19</v>
      </c>
      <c r="C439" t="s">
        <v>23</v>
      </c>
      <c r="D439" t="s">
        <v>17</v>
      </c>
      <c r="E439">
        <v>201</v>
      </c>
      <c r="F439">
        <v>12253628.1</v>
      </c>
      <c r="G439">
        <v>4868605.08</v>
      </c>
      <c r="H439">
        <v>7385023.0199999996</v>
      </c>
      <c r="I439">
        <v>1.77</v>
      </c>
      <c r="J439">
        <v>3.57</v>
      </c>
    </row>
    <row r="440" spans="1:10" x14ac:dyDescent="0.25">
      <c r="A440">
        <v>45105</v>
      </c>
      <c r="B440" t="s">
        <v>19</v>
      </c>
      <c r="C440" t="s">
        <v>20</v>
      </c>
      <c r="D440" t="s">
        <v>12</v>
      </c>
      <c r="E440">
        <v>391</v>
      </c>
      <c r="F440">
        <v>19312980.73</v>
      </c>
      <c r="G440">
        <v>6771212.9299999997</v>
      </c>
      <c r="H440">
        <v>12541767.789999999</v>
      </c>
      <c r="I440">
        <v>4.58</v>
      </c>
      <c r="J440">
        <v>3.87</v>
      </c>
    </row>
    <row r="441" spans="1:10" x14ac:dyDescent="0.25">
      <c r="A441">
        <v>44005</v>
      </c>
      <c r="B441" t="s">
        <v>19</v>
      </c>
      <c r="C441" t="s">
        <v>22</v>
      </c>
      <c r="D441" t="s">
        <v>17</v>
      </c>
      <c r="E441">
        <v>385</v>
      </c>
      <c r="F441">
        <v>21335310.210000001</v>
      </c>
      <c r="G441">
        <v>6704037.1600000001</v>
      </c>
      <c r="H441">
        <v>14631273.050000001</v>
      </c>
      <c r="I441">
        <v>4.3</v>
      </c>
      <c r="J441">
        <v>3.9</v>
      </c>
    </row>
    <row r="442" spans="1:10" x14ac:dyDescent="0.25">
      <c r="A442">
        <v>45293</v>
      </c>
      <c r="B442" t="s">
        <v>19</v>
      </c>
      <c r="C442" t="s">
        <v>22</v>
      </c>
      <c r="D442" t="s">
        <v>12</v>
      </c>
      <c r="E442">
        <v>378</v>
      </c>
      <c r="F442">
        <v>23366605.120000001</v>
      </c>
      <c r="G442">
        <v>9189554.9000000004</v>
      </c>
      <c r="H442">
        <v>14177050.210000001</v>
      </c>
      <c r="I442">
        <v>0.78</v>
      </c>
      <c r="J442">
        <v>4.8600000000000003</v>
      </c>
    </row>
    <row r="443" spans="1:10" x14ac:dyDescent="0.25">
      <c r="A443">
        <v>44599</v>
      </c>
      <c r="B443" t="s">
        <v>19</v>
      </c>
      <c r="C443" t="s">
        <v>20</v>
      </c>
      <c r="D443" t="s">
        <v>12</v>
      </c>
      <c r="E443">
        <v>490</v>
      </c>
      <c r="F443">
        <v>26472556.059999999</v>
      </c>
      <c r="G443">
        <v>8920247.9700000007</v>
      </c>
      <c r="H443">
        <v>17552308.09</v>
      </c>
      <c r="I443">
        <v>3.97</v>
      </c>
      <c r="J443">
        <v>3.63</v>
      </c>
    </row>
    <row r="444" spans="1:10" x14ac:dyDescent="0.25">
      <c r="A444">
        <v>44780</v>
      </c>
      <c r="B444" t="s">
        <v>19</v>
      </c>
      <c r="C444" t="s">
        <v>23</v>
      </c>
      <c r="D444" t="s">
        <v>17</v>
      </c>
      <c r="E444">
        <v>448</v>
      </c>
      <c r="F444">
        <v>16217728.5</v>
      </c>
      <c r="G444">
        <v>4334059.22</v>
      </c>
      <c r="H444">
        <v>11883669.279999999</v>
      </c>
      <c r="I444">
        <v>4.84</v>
      </c>
      <c r="J444">
        <v>4.34</v>
      </c>
    </row>
    <row r="445" spans="1:10" x14ac:dyDescent="0.25">
      <c r="A445">
        <v>45256</v>
      </c>
      <c r="B445" t="s">
        <v>19</v>
      </c>
      <c r="C445" t="s">
        <v>20</v>
      </c>
      <c r="D445" t="s">
        <v>17</v>
      </c>
      <c r="E445">
        <v>248</v>
      </c>
      <c r="F445">
        <v>14046628.630000001</v>
      </c>
      <c r="G445">
        <v>3292899.53</v>
      </c>
      <c r="H445">
        <v>10753729.1</v>
      </c>
      <c r="I445">
        <v>4.04</v>
      </c>
      <c r="J445">
        <v>4.4400000000000004</v>
      </c>
    </row>
    <row r="446" spans="1:10" x14ac:dyDescent="0.25">
      <c r="A446">
        <v>44868</v>
      </c>
      <c r="B446" t="s">
        <v>19</v>
      </c>
      <c r="C446" t="s">
        <v>23</v>
      </c>
      <c r="D446" t="s">
        <v>12</v>
      </c>
      <c r="E446">
        <v>214</v>
      </c>
      <c r="F446">
        <v>19039866.760000002</v>
      </c>
      <c r="G446">
        <v>6639087.0599999996</v>
      </c>
      <c r="H446">
        <v>12400779.689999999</v>
      </c>
      <c r="I446">
        <v>3.44</v>
      </c>
      <c r="J446">
        <v>3.8</v>
      </c>
    </row>
    <row r="447" spans="1:10" x14ac:dyDescent="0.25">
      <c r="A447">
        <v>45258</v>
      </c>
      <c r="B447" t="s">
        <v>19</v>
      </c>
      <c r="C447" t="s">
        <v>24</v>
      </c>
      <c r="D447" t="s">
        <v>14</v>
      </c>
      <c r="E447">
        <v>354</v>
      </c>
      <c r="F447">
        <v>21422765.52</v>
      </c>
      <c r="G447">
        <v>4404497.75</v>
      </c>
      <c r="H447">
        <v>17018267.760000002</v>
      </c>
      <c r="I447">
        <v>3.24</v>
      </c>
      <c r="J447">
        <v>4.0199999999999996</v>
      </c>
    </row>
    <row r="448" spans="1:10" x14ac:dyDescent="0.25">
      <c r="A448">
        <v>45163</v>
      </c>
      <c r="B448" t="s">
        <v>19</v>
      </c>
      <c r="C448" t="s">
        <v>23</v>
      </c>
      <c r="D448" t="s">
        <v>17</v>
      </c>
      <c r="E448">
        <v>474</v>
      </c>
      <c r="F448">
        <v>17164456.629999999</v>
      </c>
      <c r="G448">
        <v>4394073.3</v>
      </c>
      <c r="H448">
        <v>12770383.33</v>
      </c>
      <c r="I448">
        <v>2.38</v>
      </c>
      <c r="J448">
        <v>3.63</v>
      </c>
    </row>
    <row r="449" spans="1:10" x14ac:dyDescent="0.25">
      <c r="A449">
        <v>45553</v>
      </c>
      <c r="B449" t="s">
        <v>19</v>
      </c>
      <c r="C449" t="s">
        <v>22</v>
      </c>
      <c r="D449" t="s">
        <v>12</v>
      </c>
      <c r="E449">
        <v>135</v>
      </c>
      <c r="F449">
        <v>8892079.1999999993</v>
      </c>
      <c r="G449">
        <v>2626024.9900000002</v>
      </c>
      <c r="H449">
        <v>6266054.21</v>
      </c>
      <c r="I449">
        <v>1.02</v>
      </c>
      <c r="J449">
        <v>4.79</v>
      </c>
    </row>
    <row r="450" spans="1:10" x14ac:dyDescent="0.25">
      <c r="A450">
        <v>45448</v>
      </c>
      <c r="B450" t="s">
        <v>19</v>
      </c>
      <c r="C450" t="s">
        <v>22</v>
      </c>
      <c r="D450" t="s">
        <v>12</v>
      </c>
      <c r="E450">
        <v>491</v>
      </c>
      <c r="F450">
        <v>31836449.420000002</v>
      </c>
      <c r="G450">
        <v>7693596.4400000004</v>
      </c>
      <c r="H450">
        <v>24142852.98</v>
      </c>
      <c r="I450">
        <v>2.97</v>
      </c>
      <c r="J450">
        <v>4.42</v>
      </c>
    </row>
    <row r="451" spans="1:10" x14ac:dyDescent="0.25">
      <c r="A451">
        <v>44102</v>
      </c>
      <c r="B451" t="s">
        <v>19</v>
      </c>
      <c r="C451" t="s">
        <v>23</v>
      </c>
      <c r="D451" t="s">
        <v>14</v>
      </c>
      <c r="E451">
        <v>247</v>
      </c>
      <c r="F451">
        <v>20150390.920000002</v>
      </c>
      <c r="G451">
        <v>6332741.75</v>
      </c>
      <c r="H451">
        <v>13817649.17</v>
      </c>
      <c r="I451">
        <v>1.1299999999999999</v>
      </c>
      <c r="J451">
        <v>4.5</v>
      </c>
    </row>
    <row r="452" spans="1:10" x14ac:dyDescent="0.25">
      <c r="A452">
        <v>44750</v>
      </c>
      <c r="B452" t="s">
        <v>19</v>
      </c>
      <c r="C452" t="s">
        <v>20</v>
      </c>
      <c r="D452" t="s">
        <v>17</v>
      </c>
      <c r="E452">
        <v>106</v>
      </c>
      <c r="F452">
        <v>7610400.2300000004</v>
      </c>
      <c r="G452">
        <v>2340509.2400000002</v>
      </c>
      <c r="H452">
        <v>5269890.9800000004</v>
      </c>
      <c r="I452">
        <v>2.35</v>
      </c>
      <c r="J452">
        <v>4.4800000000000004</v>
      </c>
    </row>
    <row r="453" spans="1:10" x14ac:dyDescent="0.25">
      <c r="A453">
        <v>44103</v>
      </c>
      <c r="B453" t="s">
        <v>19</v>
      </c>
      <c r="C453" t="s">
        <v>20</v>
      </c>
      <c r="D453" t="s">
        <v>17</v>
      </c>
      <c r="E453">
        <v>135</v>
      </c>
      <c r="F453">
        <v>6882612.6299999999</v>
      </c>
      <c r="G453">
        <v>1669762.93</v>
      </c>
      <c r="H453">
        <v>5212849.7</v>
      </c>
      <c r="I453">
        <v>1</v>
      </c>
      <c r="J453">
        <v>4.03</v>
      </c>
    </row>
    <row r="454" spans="1:10" x14ac:dyDescent="0.25">
      <c r="A454">
        <v>44873</v>
      </c>
      <c r="B454" t="s">
        <v>19</v>
      </c>
      <c r="C454" t="s">
        <v>21</v>
      </c>
      <c r="D454" t="s">
        <v>17</v>
      </c>
      <c r="E454">
        <v>148</v>
      </c>
      <c r="F454">
        <v>5602926.54</v>
      </c>
      <c r="G454">
        <v>1360078.82</v>
      </c>
      <c r="H454">
        <v>4242847.72</v>
      </c>
      <c r="I454">
        <v>1.41</v>
      </c>
      <c r="J454">
        <v>3.89</v>
      </c>
    </row>
    <row r="455" spans="1:10" x14ac:dyDescent="0.25">
      <c r="A455">
        <v>45418</v>
      </c>
      <c r="B455" t="s">
        <v>19</v>
      </c>
      <c r="C455" t="s">
        <v>24</v>
      </c>
      <c r="D455" t="s">
        <v>14</v>
      </c>
      <c r="E455">
        <v>69</v>
      </c>
      <c r="F455">
        <v>4482697.25</v>
      </c>
      <c r="G455">
        <v>1113120.95</v>
      </c>
      <c r="H455">
        <v>3369576.3</v>
      </c>
      <c r="I455">
        <v>3.89</v>
      </c>
      <c r="J455">
        <v>3.53</v>
      </c>
    </row>
    <row r="456" spans="1:10" x14ac:dyDescent="0.25">
      <c r="A456">
        <v>45460</v>
      </c>
      <c r="B456" t="s">
        <v>19</v>
      </c>
      <c r="C456" t="s">
        <v>20</v>
      </c>
      <c r="D456" t="s">
        <v>17</v>
      </c>
      <c r="E456">
        <v>281</v>
      </c>
      <c r="F456">
        <v>23401863.859999999</v>
      </c>
      <c r="G456">
        <v>5243974.58</v>
      </c>
      <c r="H456">
        <v>18157889.280000001</v>
      </c>
      <c r="I456">
        <v>4.42</v>
      </c>
      <c r="J456">
        <v>3.86</v>
      </c>
    </row>
    <row r="457" spans="1:10" x14ac:dyDescent="0.25">
      <c r="A457">
        <v>45059</v>
      </c>
      <c r="B457" t="s">
        <v>19</v>
      </c>
      <c r="C457" t="s">
        <v>21</v>
      </c>
      <c r="D457" t="s">
        <v>17</v>
      </c>
      <c r="E457">
        <v>217</v>
      </c>
      <c r="F457">
        <v>19350851.550000001</v>
      </c>
      <c r="G457">
        <v>4752520.8499999996</v>
      </c>
      <c r="H457">
        <v>14598330.689999999</v>
      </c>
      <c r="I457">
        <v>0.62</v>
      </c>
      <c r="J457">
        <v>3.6</v>
      </c>
    </row>
    <row r="458" spans="1:10" x14ac:dyDescent="0.25">
      <c r="A458">
        <v>44008</v>
      </c>
      <c r="B458" t="s">
        <v>19</v>
      </c>
      <c r="C458" t="s">
        <v>20</v>
      </c>
      <c r="D458" t="s">
        <v>12</v>
      </c>
      <c r="E458">
        <v>303</v>
      </c>
      <c r="F458">
        <v>16332147.1</v>
      </c>
      <c r="G458">
        <v>5610318.25</v>
      </c>
      <c r="H458">
        <v>10721828.859999999</v>
      </c>
      <c r="I458">
        <v>2.2599999999999998</v>
      </c>
      <c r="J458">
        <v>4.7</v>
      </c>
    </row>
    <row r="459" spans="1:10" x14ac:dyDescent="0.25">
      <c r="A459">
        <v>45433</v>
      </c>
      <c r="B459" t="s">
        <v>19</v>
      </c>
      <c r="C459" t="s">
        <v>21</v>
      </c>
      <c r="D459" t="s">
        <v>17</v>
      </c>
      <c r="E459">
        <v>216</v>
      </c>
      <c r="F459">
        <v>15362547.640000001</v>
      </c>
      <c r="G459">
        <v>3619099.26</v>
      </c>
      <c r="H459">
        <v>11743448.380000001</v>
      </c>
      <c r="I459">
        <v>2.21</v>
      </c>
      <c r="J459">
        <v>4.66</v>
      </c>
    </row>
    <row r="460" spans="1:10" x14ac:dyDescent="0.25">
      <c r="A460">
        <v>44979</v>
      </c>
      <c r="B460" t="s">
        <v>19</v>
      </c>
      <c r="C460" t="s">
        <v>21</v>
      </c>
      <c r="D460" t="s">
        <v>17</v>
      </c>
      <c r="E460">
        <v>356</v>
      </c>
      <c r="F460">
        <v>16290029.57</v>
      </c>
      <c r="G460">
        <v>5907666.2199999997</v>
      </c>
      <c r="H460">
        <v>10382363.34</v>
      </c>
      <c r="I460">
        <v>0.92</v>
      </c>
      <c r="J460">
        <v>4.04</v>
      </c>
    </row>
    <row r="461" spans="1:10" x14ac:dyDescent="0.25">
      <c r="A461">
        <v>43902</v>
      </c>
      <c r="B461" t="s">
        <v>19</v>
      </c>
      <c r="C461" t="s">
        <v>20</v>
      </c>
      <c r="D461" t="s">
        <v>17</v>
      </c>
      <c r="E461">
        <v>346</v>
      </c>
      <c r="F461">
        <v>23101601.75</v>
      </c>
      <c r="G461">
        <v>6308666.6399999997</v>
      </c>
      <c r="H461">
        <v>16792935.109999999</v>
      </c>
      <c r="I461">
        <v>4.09</v>
      </c>
      <c r="J461">
        <v>4.09</v>
      </c>
    </row>
    <row r="462" spans="1:10" x14ac:dyDescent="0.25">
      <c r="A462">
        <v>45357</v>
      </c>
      <c r="B462" t="s">
        <v>19</v>
      </c>
      <c r="C462" t="s">
        <v>21</v>
      </c>
      <c r="D462" t="s">
        <v>12</v>
      </c>
      <c r="E462">
        <v>481</v>
      </c>
      <c r="F462">
        <v>40564022.049999997</v>
      </c>
      <c r="G462">
        <v>12005404.85</v>
      </c>
      <c r="H462">
        <v>28558617.199999999</v>
      </c>
      <c r="I462">
        <v>2.5099999999999998</v>
      </c>
      <c r="J462">
        <v>4.34</v>
      </c>
    </row>
    <row r="463" spans="1:10" x14ac:dyDescent="0.25">
      <c r="A463">
        <v>44340</v>
      </c>
      <c r="B463" t="s">
        <v>19</v>
      </c>
      <c r="C463" t="s">
        <v>23</v>
      </c>
      <c r="D463" t="s">
        <v>14</v>
      </c>
      <c r="E463">
        <v>435</v>
      </c>
      <c r="F463">
        <v>22803523.120000001</v>
      </c>
      <c r="G463">
        <v>5212067.8499999996</v>
      </c>
      <c r="H463">
        <v>17591455.280000001</v>
      </c>
      <c r="I463">
        <v>4.58</v>
      </c>
      <c r="J463">
        <v>3.92</v>
      </c>
    </row>
    <row r="464" spans="1:10" x14ac:dyDescent="0.25">
      <c r="A464">
        <v>44548</v>
      </c>
      <c r="B464" t="s">
        <v>19</v>
      </c>
      <c r="C464" t="s">
        <v>20</v>
      </c>
      <c r="D464" t="s">
        <v>14</v>
      </c>
      <c r="E464">
        <v>89</v>
      </c>
      <c r="F464">
        <v>5597015.1500000004</v>
      </c>
      <c r="G464">
        <v>1569276.97</v>
      </c>
      <c r="H464">
        <v>4027738.18</v>
      </c>
      <c r="I464">
        <v>0.65</v>
      </c>
      <c r="J464">
        <v>4.05</v>
      </c>
    </row>
    <row r="465" spans="1:10" x14ac:dyDescent="0.25">
      <c r="A465">
        <v>44663</v>
      </c>
      <c r="B465" t="s">
        <v>19</v>
      </c>
      <c r="C465" t="s">
        <v>23</v>
      </c>
      <c r="D465" t="s">
        <v>14</v>
      </c>
      <c r="E465">
        <v>465</v>
      </c>
      <c r="F465">
        <v>33008532.030000001</v>
      </c>
      <c r="G465">
        <v>12199264.99</v>
      </c>
      <c r="H465">
        <v>20809267.039999999</v>
      </c>
      <c r="I465">
        <v>2.48</v>
      </c>
      <c r="J465">
        <v>4.42</v>
      </c>
    </row>
    <row r="466" spans="1:10" x14ac:dyDescent="0.25">
      <c r="A466">
        <v>44280</v>
      </c>
      <c r="B466" t="s">
        <v>19</v>
      </c>
      <c r="C466" t="s">
        <v>20</v>
      </c>
      <c r="D466" t="s">
        <v>14</v>
      </c>
      <c r="E466">
        <v>295</v>
      </c>
      <c r="F466">
        <v>24227779.609999999</v>
      </c>
      <c r="G466">
        <v>9121061.3200000003</v>
      </c>
      <c r="H466">
        <v>15106718.289999999</v>
      </c>
      <c r="I466">
        <v>3.83</v>
      </c>
      <c r="J466">
        <v>3.98</v>
      </c>
    </row>
    <row r="467" spans="1:10" x14ac:dyDescent="0.25">
      <c r="A467">
        <v>44590</v>
      </c>
      <c r="B467" t="s">
        <v>19</v>
      </c>
      <c r="C467" t="s">
        <v>23</v>
      </c>
      <c r="D467" t="s">
        <v>12</v>
      </c>
      <c r="E467">
        <v>178</v>
      </c>
      <c r="F467">
        <v>10319879.99</v>
      </c>
      <c r="G467">
        <v>2096771.92</v>
      </c>
      <c r="H467">
        <v>8223108.0700000003</v>
      </c>
      <c r="I467">
        <v>3.51</v>
      </c>
      <c r="J467">
        <v>4.45</v>
      </c>
    </row>
    <row r="468" spans="1:10" x14ac:dyDescent="0.25">
      <c r="A468">
        <v>45313</v>
      </c>
      <c r="B468" t="s">
        <v>19</v>
      </c>
      <c r="C468" t="s">
        <v>22</v>
      </c>
      <c r="D468" t="s">
        <v>12</v>
      </c>
      <c r="E468">
        <v>309</v>
      </c>
      <c r="F468">
        <v>27760343.280000001</v>
      </c>
      <c r="G468">
        <v>5664317.8399999999</v>
      </c>
      <c r="H468">
        <v>22096025.440000001</v>
      </c>
      <c r="I468">
        <v>3.45</v>
      </c>
      <c r="J468">
        <v>3.69</v>
      </c>
    </row>
    <row r="469" spans="1:10" x14ac:dyDescent="0.25">
      <c r="A469">
        <v>43907</v>
      </c>
      <c r="B469" t="s">
        <v>19</v>
      </c>
      <c r="C469" t="s">
        <v>23</v>
      </c>
      <c r="D469" t="s">
        <v>17</v>
      </c>
      <c r="E469">
        <v>374</v>
      </c>
      <c r="F469">
        <v>24604174.41</v>
      </c>
      <c r="G469">
        <v>7246423.3099999996</v>
      </c>
      <c r="H469">
        <v>17357751.109999999</v>
      </c>
      <c r="I469">
        <v>3.74</v>
      </c>
      <c r="J469">
        <v>4.84</v>
      </c>
    </row>
    <row r="470" spans="1:10" x14ac:dyDescent="0.25">
      <c r="A470">
        <v>43855</v>
      </c>
      <c r="B470" t="s">
        <v>19</v>
      </c>
      <c r="C470" t="s">
        <v>21</v>
      </c>
      <c r="D470" t="s">
        <v>12</v>
      </c>
      <c r="E470">
        <v>431</v>
      </c>
      <c r="F470">
        <v>24069838.030000001</v>
      </c>
      <c r="G470">
        <v>4941742.87</v>
      </c>
      <c r="H470">
        <v>19128095.16</v>
      </c>
      <c r="I470">
        <v>2.02</v>
      </c>
      <c r="J470">
        <v>3.94</v>
      </c>
    </row>
    <row r="471" spans="1:10" x14ac:dyDescent="0.25">
      <c r="A471">
        <v>45604</v>
      </c>
      <c r="B471" t="s">
        <v>19</v>
      </c>
      <c r="C471" t="s">
        <v>21</v>
      </c>
      <c r="D471" t="s">
        <v>14</v>
      </c>
      <c r="E471">
        <v>483</v>
      </c>
      <c r="F471">
        <v>19847032.449999999</v>
      </c>
      <c r="G471">
        <v>4923721.63</v>
      </c>
      <c r="H471">
        <v>14923310.82</v>
      </c>
      <c r="I471">
        <v>4.95</v>
      </c>
      <c r="J471">
        <v>4.8499999999999996</v>
      </c>
    </row>
    <row r="472" spans="1:10" x14ac:dyDescent="0.25">
      <c r="A472">
        <v>44245</v>
      </c>
      <c r="B472" t="s">
        <v>19</v>
      </c>
      <c r="C472" t="s">
        <v>24</v>
      </c>
      <c r="D472" t="s">
        <v>17</v>
      </c>
      <c r="E472">
        <v>413</v>
      </c>
      <c r="F472">
        <v>24887208.949999999</v>
      </c>
      <c r="G472">
        <v>8173963.54</v>
      </c>
      <c r="H472">
        <v>16713245.41</v>
      </c>
      <c r="I472">
        <v>2.72</v>
      </c>
      <c r="J472">
        <v>4.74</v>
      </c>
    </row>
    <row r="473" spans="1:10" x14ac:dyDescent="0.25">
      <c r="A473">
        <v>45097</v>
      </c>
      <c r="B473" t="s">
        <v>19</v>
      </c>
      <c r="C473" t="s">
        <v>20</v>
      </c>
      <c r="D473" t="s">
        <v>12</v>
      </c>
      <c r="E473">
        <v>335</v>
      </c>
      <c r="F473">
        <v>14926557.35</v>
      </c>
      <c r="G473">
        <v>3845039.32</v>
      </c>
      <c r="H473">
        <v>11081518.029999999</v>
      </c>
      <c r="I473">
        <v>4.22</v>
      </c>
      <c r="J473">
        <v>3.65</v>
      </c>
    </row>
    <row r="474" spans="1:10" x14ac:dyDescent="0.25">
      <c r="A474">
        <v>45290</v>
      </c>
      <c r="B474" t="s">
        <v>19</v>
      </c>
      <c r="C474" t="s">
        <v>21</v>
      </c>
      <c r="D474" t="s">
        <v>12</v>
      </c>
      <c r="E474">
        <v>212</v>
      </c>
      <c r="F474">
        <v>9075393.4000000004</v>
      </c>
      <c r="G474">
        <v>2998616.32</v>
      </c>
      <c r="H474">
        <v>6076777.0800000001</v>
      </c>
      <c r="I474">
        <v>2.5299999999999998</v>
      </c>
      <c r="J474">
        <v>4.62</v>
      </c>
    </row>
    <row r="475" spans="1:10" x14ac:dyDescent="0.25">
      <c r="A475">
        <v>43898</v>
      </c>
      <c r="B475" t="s">
        <v>19</v>
      </c>
      <c r="C475" t="s">
        <v>20</v>
      </c>
      <c r="D475" t="s">
        <v>17</v>
      </c>
      <c r="E475">
        <v>490</v>
      </c>
      <c r="F475">
        <v>28886872</v>
      </c>
      <c r="G475">
        <v>8219760.9800000004</v>
      </c>
      <c r="H475">
        <v>20667111.010000002</v>
      </c>
      <c r="I475">
        <v>3.82</v>
      </c>
      <c r="J475">
        <v>4.71</v>
      </c>
    </row>
    <row r="476" spans="1:10" x14ac:dyDescent="0.25">
      <c r="A476">
        <v>45541</v>
      </c>
      <c r="B476" t="s">
        <v>19</v>
      </c>
      <c r="C476" t="s">
        <v>23</v>
      </c>
      <c r="D476" t="s">
        <v>17</v>
      </c>
      <c r="E476">
        <v>399</v>
      </c>
      <c r="F476">
        <v>35451457.859999999</v>
      </c>
      <c r="G476">
        <v>9684330.4900000002</v>
      </c>
      <c r="H476">
        <v>25767127.379999999</v>
      </c>
      <c r="I476">
        <v>1.07</v>
      </c>
      <c r="J476">
        <v>4.51</v>
      </c>
    </row>
    <row r="477" spans="1:10" x14ac:dyDescent="0.25">
      <c r="A477">
        <v>45316</v>
      </c>
      <c r="B477" t="s">
        <v>19</v>
      </c>
      <c r="C477" t="s">
        <v>24</v>
      </c>
      <c r="D477" t="s">
        <v>14</v>
      </c>
      <c r="E477">
        <v>115</v>
      </c>
      <c r="F477">
        <v>6016866.4000000004</v>
      </c>
      <c r="G477">
        <v>2402153.12</v>
      </c>
      <c r="H477">
        <v>3614713.28</v>
      </c>
      <c r="I477">
        <v>3.57</v>
      </c>
      <c r="J477">
        <v>3.75</v>
      </c>
    </row>
    <row r="478" spans="1:10" x14ac:dyDescent="0.25">
      <c r="A478">
        <v>44731</v>
      </c>
      <c r="B478" t="s">
        <v>19</v>
      </c>
      <c r="C478" t="s">
        <v>21</v>
      </c>
      <c r="D478" t="s">
        <v>17</v>
      </c>
      <c r="E478">
        <v>197</v>
      </c>
      <c r="F478">
        <v>9356490.5</v>
      </c>
      <c r="G478">
        <v>2176242.73</v>
      </c>
      <c r="H478">
        <v>7180247.7699999996</v>
      </c>
      <c r="I478">
        <v>1.76</v>
      </c>
      <c r="J478">
        <v>4.46</v>
      </c>
    </row>
    <row r="479" spans="1:10" x14ac:dyDescent="0.25">
      <c r="A479">
        <v>44410</v>
      </c>
      <c r="B479" t="s">
        <v>19</v>
      </c>
      <c r="C479" t="s">
        <v>22</v>
      </c>
      <c r="D479" t="s">
        <v>14</v>
      </c>
      <c r="E479">
        <v>53</v>
      </c>
      <c r="F479">
        <v>4380516.6900000004</v>
      </c>
      <c r="G479">
        <v>1563380.24</v>
      </c>
      <c r="H479">
        <v>2817136.45</v>
      </c>
      <c r="I479">
        <v>2.12</v>
      </c>
      <c r="J479">
        <v>3.6</v>
      </c>
    </row>
    <row r="480" spans="1:10" x14ac:dyDescent="0.25">
      <c r="A480">
        <v>44076</v>
      </c>
      <c r="B480" t="s">
        <v>19</v>
      </c>
      <c r="C480" t="s">
        <v>24</v>
      </c>
      <c r="D480" t="s">
        <v>12</v>
      </c>
      <c r="E480">
        <v>362</v>
      </c>
      <c r="F480">
        <v>18721572.850000001</v>
      </c>
      <c r="G480">
        <v>5042982.1900000004</v>
      </c>
      <c r="H480">
        <v>13678590.66</v>
      </c>
      <c r="I480">
        <v>4.72</v>
      </c>
      <c r="J480">
        <v>4.8099999999999996</v>
      </c>
    </row>
    <row r="481" spans="1:10" x14ac:dyDescent="0.25">
      <c r="A481">
        <v>45401</v>
      </c>
      <c r="B481" t="s">
        <v>19</v>
      </c>
      <c r="C481" t="s">
        <v>22</v>
      </c>
      <c r="D481" t="s">
        <v>14</v>
      </c>
      <c r="E481">
        <v>88</v>
      </c>
      <c r="F481">
        <v>6987796.79</v>
      </c>
      <c r="G481">
        <v>2712531.5</v>
      </c>
      <c r="H481">
        <v>4275265.29</v>
      </c>
      <c r="I481">
        <v>4.54</v>
      </c>
      <c r="J481">
        <v>4.4800000000000004</v>
      </c>
    </row>
    <row r="482" spans="1:10" x14ac:dyDescent="0.25">
      <c r="A482">
        <v>44526</v>
      </c>
      <c r="B482" t="s">
        <v>19</v>
      </c>
      <c r="C482" t="s">
        <v>23</v>
      </c>
      <c r="D482" t="s">
        <v>17</v>
      </c>
      <c r="E482">
        <v>183</v>
      </c>
      <c r="F482">
        <v>13155920.720000001</v>
      </c>
      <c r="G482">
        <v>3787745.79</v>
      </c>
      <c r="H482">
        <v>9368174.9299999997</v>
      </c>
      <c r="I482">
        <v>1</v>
      </c>
      <c r="J482">
        <v>4.17</v>
      </c>
    </row>
    <row r="483" spans="1:10" x14ac:dyDescent="0.25">
      <c r="A483">
        <v>44124</v>
      </c>
      <c r="B483" t="s">
        <v>19</v>
      </c>
      <c r="C483" t="s">
        <v>20</v>
      </c>
      <c r="D483" t="s">
        <v>12</v>
      </c>
      <c r="E483">
        <v>87</v>
      </c>
      <c r="F483">
        <v>4129904.88</v>
      </c>
      <c r="G483">
        <v>1336757.75</v>
      </c>
      <c r="H483">
        <v>2793147.13</v>
      </c>
      <c r="I483">
        <v>1.08</v>
      </c>
      <c r="J483">
        <v>4.12</v>
      </c>
    </row>
    <row r="484" spans="1:10" x14ac:dyDescent="0.25">
      <c r="A484">
        <v>45192</v>
      </c>
      <c r="B484" t="s">
        <v>19</v>
      </c>
      <c r="C484" t="s">
        <v>22</v>
      </c>
      <c r="D484" t="s">
        <v>12</v>
      </c>
      <c r="E484">
        <v>383</v>
      </c>
      <c r="F484">
        <v>23496610.879999999</v>
      </c>
      <c r="G484">
        <v>9314056.1300000008</v>
      </c>
      <c r="H484">
        <v>14182554.74</v>
      </c>
      <c r="I484">
        <v>2.4</v>
      </c>
      <c r="J484">
        <v>3.54</v>
      </c>
    </row>
    <row r="485" spans="1:10" x14ac:dyDescent="0.25">
      <c r="A485">
        <v>44221</v>
      </c>
      <c r="B485" t="s">
        <v>19</v>
      </c>
      <c r="C485" t="s">
        <v>20</v>
      </c>
      <c r="D485" t="s">
        <v>14</v>
      </c>
      <c r="E485">
        <v>151</v>
      </c>
      <c r="F485">
        <v>7610710.0199999996</v>
      </c>
      <c r="G485">
        <v>1737766.09</v>
      </c>
      <c r="H485">
        <v>5872943.9299999997</v>
      </c>
      <c r="I485">
        <v>1.81</v>
      </c>
      <c r="J485">
        <v>4.87</v>
      </c>
    </row>
    <row r="486" spans="1:10" x14ac:dyDescent="0.25">
      <c r="A486">
        <v>45572</v>
      </c>
      <c r="B486" t="s">
        <v>19</v>
      </c>
      <c r="C486" t="s">
        <v>23</v>
      </c>
      <c r="D486" t="s">
        <v>14</v>
      </c>
      <c r="E486">
        <v>475</v>
      </c>
      <c r="F486">
        <v>34894614.18</v>
      </c>
      <c r="G486">
        <v>8099312.7599999998</v>
      </c>
      <c r="H486">
        <v>26795301.420000002</v>
      </c>
      <c r="I486">
        <v>4.92</v>
      </c>
      <c r="J486">
        <v>4.43</v>
      </c>
    </row>
    <row r="487" spans="1:10" x14ac:dyDescent="0.25">
      <c r="A487">
        <v>45250</v>
      </c>
      <c r="B487" t="s">
        <v>19</v>
      </c>
      <c r="C487" t="s">
        <v>21</v>
      </c>
      <c r="D487" t="s">
        <v>14</v>
      </c>
      <c r="E487">
        <v>122</v>
      </c>
      <c r="F487">
        <v>6314879.8499999996</v>
      </c>
      <c r="G487">
        <v>1478446.41</v>
      </c>
      <c r="H487">
        <v>4836433.4400000004</v>
      </c>
      <c r="I487">
        <v>1.77</v>
      </c>
      <c r="J487">
        <v>4.8099999999999996</v>
      </c>
    </row>
    <row r="488" spans="1:10" x14ac:dyDescent="0.25">
      <c r="A488">
        <v>45197</v>
      </c>
      <c r="B488" t="s">
        <v>19</v>
      </c>
      <c r="C488" t="s">
        <v>24</v>
      </c>
      <c r="D488" t="s">
        <v>12</v>
      </c>
      <c r="E488">
        <v>447</v>
      </c>
      <c r="F488">
        <v>21015425.649999999</v>
      </c>
      <c r="G488">
        <v>7900760.9299999997</v>
      </c>
      <c r="H488">
        <v>13114664.720000001</v>
      </c>
      <c r="I488">
        <v>0.81</v>
      </c>
      <c r="J488">
        <v>3.89</v>
      </c>
    </row>
    <row r="489" spans="1:10" x14ac:dyDescent="0.25">
      <c r="A489">
        <v>44796</v>
      </c>
      <c r="B489" t="s">
        <v>19</v>
      </c>
      <c r="C489" t="s">
        <v>20</v>
      </c>
      <c r="D489" t="s">
        <v>12</v>
      </c>
      <c r="E489">
        <v>314</v>
      </c>
      <c r="F489">
        <v>11204217.710000001</v>
      </c>
      <c r="G489">
        <v>3431251.41</v>
      </c>
      <c r="H489">
        <v>7772966.29</v>
      </c>
      <c r="I489">
        <v>1.86</v>
      </c>
      <c r="J489">
        <v>4.4000000000000004</v>
      </c>
    </row>
    <row r="490" spans="1:10" x14ac:dyDescent="0.25">
      <c r="A490">
        <v>45334</v>
      </c>
      <c r="B490" t="s">
        <v>19</v>
      </c>
      <c r="C490" t="s">
        <v>23</v>
      </c>
      <c r="D490" t="s">
        <v>12</v>
      </c>
      <c r="E490">
        <v>276</v>
      </c>
      <c r="F490">
        <v>13096015.68</v>
      </c>
      <c r="G490">
        <v>3325743.27</v>
      </c>
      <c r="H490">
        <v>9770272.4100000001</v>
      </c>
      <c r="I490">
        <v>3.19</v>
      </c>
      <c r="J490">
        <v>3.6</v>
      </c>
    </row>
    <row r="491" spans="1:10" x14ac:dyDescent="0.25">
      <c r="A491">
        <v>45085</v>
      </c>
      <c r="B491" t="s">
        <v>19</v>
      </c>
      <c r="C491" t="s">
        <v>21</v>
      </c>
      <c r="D491" t="s">
        <v>12</v>
      </c>
      <c r="E491">
        <v>313</v>
      </c>
      <c r="F491">
        <v>26057061.25</v>
      </c>
      <c r="G491">
        <v>8700932.1799999997</v>
      </c>
      <c r="H491">
        <v>17356129.07</v>
      </c>
      <c r="I491">
        <v>2.0299999999999998</v>
      </c>
      <c r="J491">
        <v>4.9800000000000004</v>
      </c>
    </row>
    <row r="492" spans="1:10" x14ac:dyDescent="0.25">
      <c r="A492">
        <v>43931</v>
      </c>
      <c r="B492" t="s">
        <v>19</v>
      </c>
      <c r="C492" t="s">
        <v>21</v>
      </c>
      <c r="D492" t="s">
        <v>12</v>
      </c>
      <c r="E492">
        <v>304</v>
      </c>
      <c r="F492">
        <v>11960364.390000001</v>
      </c>
      <c r="G492">
        <v>4211219.9800000004</v>
      </c>
      <c r="H492">
        <v>7749144.4199999999</v>
      </c>
      <c r="I492">
        <v>4.08</v>
      </c>
      <c r="J492">
        <v>3.55</v>
      </c>
    </row>
    <row r="493" spans="1:10" x14ac:dyDescent="0.25">
      <c r="A493">
        <v>45557</v>
      </c>
      <c r="B493" t="s">
        <v>19</v>
      </c>
      <c r="C493" t="s">
        <v>23</v>
      </c>
      <c r="D493" t="s">
        <v>14</v>
      </c>
      <c r="E493">
        <v>84</v>
      </c>
      <c r="F493">
        <v>4177128.24</v>
      </c>
      <c r="G493">
        <v>1011566.08</v>
      </c>
      <c r="H493">
        <v>3165562.16</v>
      </c>
      <c r="I493">
        <v>3.08</v>
      </c>
      <c r="J493">
        <v>4.49</v>
      </c>
    </row>
    <row r="494" spans="1:10" x14ac:dyDescent="0.25">
      <c r="A494">
        <v>45162</v>
      </c>
      <c r="B494" t="s">
        <v>19</v>
      </c>
      <c r="C494" t="s">
        <v>23</v>
      </c>
      <c r="D494" t="s">
        <v>17</v>
      </c>
      <c r="E494">
        <v>353</v>
      </c>
      <c r="F494">
        <v>28496116.780000001</v>
      </c>
      <c r="G494">
        <v>7984734.4100000001</v>
      </c>
      <c r="H494">
        <v>20511382.370000001</v>
      </c>
      <c r="I494">
        <v>1.02</v>
      </c>
      <c r="J494">
        <v>3.64</v>
      </c>
    </row>
    <row r="495" spans="1:10" x14ac:dyDescent="0.25">
      <c r="A495">
        <v>44686</v>
      </c>
      <c r="B495" t="s">
        <v>19</v>
      </c>
      <c r="C495" t="s">
        <v>22</v>
      </c>
      <c r="D495" t="s">
        <v>17</v>
      </c>
      <c r="E495">
        <v>494</v>
      </c>
      <c r="F495">
        <v>18176983.059999999</v>
      </c>
      <c r="G495">
        <v>4113264.02</v>
      </c>
      <c r="H495">
        <v>14063719.039999999</v>
      </c>
      <c r="I495">
        <v>0.79</v>
      </c>
      <c r="J495">
        <v>4.93</v>
      </c>
    </row>
    <row r="496" spans="1:10" x14ac:dyDescent="0.25">
      <c r="A496">
        <v>44604</v>
      </c>
      <c r="B496" t="s">
        <v>19</v>
      </c>
      <c r="C496" t="s">
        <v>21</v>
      </c>
      <c r="D496" t="s">
        <v>17</v>
      </c>
      <c r="E496">
        <v>57</v>
      </c>
      <c r="F496">
        <v>3617194.31</v>
      </c>
      <c r="G496">
        <v>1135489.81</v>
      </c>
      <c r="H496">
        <v>2481704.5</v>
      </c>
      <c r="I496">
        <v>1.93</v>
      </c>
      <c r="J496">
        <v>4.1500000000000004</v>
      </c>
    </row>
    <row r="497" spans="1:10" x14ac:dyDescent="0.25">
      <c r="A497">
        <v>45542</v>
      </c>
      <c r="B497" t="s">
        <v>19</v>
      </c>
      <c r="C497" t="s">
        <v>22</v>
      </c>
      <c r="D497" t="s">
        <v>14</v>
      </c>
      <c r="E497">
        <v>96</v>
      </c>
      <c r="F497">
        <v>4086125.53</v>
      </c>
      <c r="G497">
        <v>1355927.07</v>
      </c>
      <c r="H497">
        <v>2730198.47</v>
      </c>
      <c r="I497">
        <v>1.24</v>
      </c>
      <c r="J497">
        <v>3.76</v>
      </c>
    </row>
    <row r="498" spans="1:10" x14ac:dyDescent="0.25">
      <c r="A498">
        <v>45619</v>
      </c>
      <c r="B498" t="s">
        <v>19</v>
      </c>
      <c r="C498" t="s">
        <v>22</v>
      </c>
      <c r="D498" t="s">
        <v>17</v>
      </c>
      <c r="E498">
        <v>70</v>
      </c>
      <c r="F498">
        <v>4880534.08</v>
      </c>
      <c r="G498">
        <v>1374654</v>
      </c>
      <c r="H498">
        <v>3505880.08</v>
      </c>
      <c r="I498">
        <v>3.66</v>
      </c>
      <c r="J498">
        <v>3.86</v>
      </c>
    </row>
    <row r="499" spans="1:10" x14ac:dyDescent="0.25">
      <c r="A499">
        <v>45639</v>
      </c>
      <c r="B499" t="s">
        <v>19</v>
      </c>
      <c r="C499" t="s">
        <v>22</v>
      </c>
      <c r="D499" t="s">
        <v>14</v>
      </c>
      <c r="E499">
        <v>397</v>
      </c>
      <c r="F499">
        <v>16170748.57</v>
      </c>
      <c r="G499">
        <v>5224732.2300000004</v>
      </c>
      <c r="H499">
        <v>10946016.34</v>
      </c>
      <c r="I499">
        <v>2.69</v>
      </c>
      <c r="J499">
        <v>4.4800000000000004</v>
      </c>
    </row>
    <row r="500" spans="1:10" x14ac:dyDescent="0.25">
      <c r="A500">
        <v>44420</v>
      </c>
      <c r="B500" t="s">
        <v>19</v>
      </c>
      <c r="C500" t="s">
        <v>23</v>
      </c>
      <c r="D500" t="s">
        <v>12</v>
      </c>
      <c r="E500">
        <v>243</v>
      </c>
      <c r="F500">
        <v>12134516.539999999</v>
      </c>
      <c r="G500">
        <v>3706131</v>
      </c>
      <c r="H500">
        <v>8428385.5399999991</v>
      </c>
      <c r="I500">
        <v>4.93</v>
      </c>
      <c r="J500">
        <v>3.9</v>
      </c>
    </row>
    <row r="501" spans="1:10" x14ac:dyDescent="0.25">
      <c r="A501">
        <v>44523</v>
      </c>
      <c r="B501" t="s">
        <v>19</v>
      </c>
      <c r="C501" t="s">
        <v>23</v>
      </c>
      <c r="D501" t="s">
        <v>14</v>
      </c>
      <c r="E501">
        <v>471</v>
      </c>
      <c r="F501">
        <v>18322499.059999999</v>
      </c>
      <c r="G501">
        <v>6396781.7199999997</v>
      </c>
      <c r="H501">
        <v>11925717.34</v>
      </c>
      <c r="I501">
        <v>2.13</v>
      </c>
      <c r="J501">
        <v>4.21</v>
      </c>
    </row>
    <row r="502" spans="1:10" x14ac:dyDescent="0.25">
      <c r="A502">
        <v>44718</v>
      </c>
      <c r="B502" t="s">
        <v>19</v>
      </c>
      <c r="C502" t="s">
        <v>21</v>
      </c>
      <c r="D502" t="s">
        <v>12</v>
      </c>
      <c r="E502">
        <v>267</v>
      </c>
      <c r="F502">
        <v>22669877.719999999</v>
      </c>
      <c r="G502">
        <v>7984980.8300000001</v>
      </c>
      <c r="H502">
        <v>14684896.890000001</v>
      </c>
      <c r="I502">
        <v>2.61</v>
      </c>
      <c r="J502">
        <v>4.18</v>
      </c>
    </row>
    <row r="503" spans="1:10" x14ac:dyDescent="0.25">
      <c r="A503">
        <v>45543</v>
      </c>
      <c r="B503" t="s">
        <v>19</v>
      </c>
      <c r="C503" t="s">
        <v>20</v>
      </c>
      <c r="D503" t="s">
        <v>12</v>
      </c>
      <c r="E503">
        <v>158</v>
      </c>
      <c r="F503">
        <v>9718936.7899999991</v>
      </c>
      <c r="G503">
        <v>3506402.46</v>
      </c>
      <c r="H503">
        <v>6212534.3300000001</v>
      </c>
      <c r="I503">
        <v>3.25</v>
      </c>
      <c r="J503">
        <v>3.92</v>
      </c>
    </row>
    <row r="504" spans="1:10" x14ac:dyDescent="0.25">
      <c r="A504">
        <v>44358</v>
      </c>
      <c r="B504" t="s">
        <v>19</v>
      </c>
      <c r="C504" t="s">
        <v>22</v>
      </c>
      <c r="D504" t="s">
        <v>12</v>
      </c>
      <c r="E504">
        <v>361</v>
      </c>
      <c r="F504">
        <v>24366673.050000001</v>
      </c>
      <c r="G504">
        <v>7129652.04</v>
      </c>
      <c r="H504">
        <v>17237021.010000002</v>
      </c>
      <c r="I504">
        <v>4.34</v>
      </c>
      <c r="J504">
        <v>3.57</v>
      </c>
    </row>
    <row r="505" spans="1:10" x14ac:dyDescent="0.25">
      <c r="A505">
        <v>45605</v>
      </c>
      <c r="B505" t="s">
        <v>19</v>
      </c>
      <c r="C505" t="s">
        <v>20</v>
      </c>
      <c r="D505" t="s">
        <v>17</v>
      </c>
      <c r="E505">
        <v>185</v>
      </c>
      <c r="F505">
        <v>6848639.8600000003</v>
      </c>
      <c r="G505">
        <v>2591490.0499999998</v>
      </c>
      <c r="H505">
        <v>4257149.82</v>
      </c>
      <c r="I505">
        <v>2.02</v>
      </c>
      <c r="J505">
        <v>4.7</v>
      </c>
    </row>
    <row r="506" spans="1:10" x14ac:dyDescent="0.25">
      <c r="A506">
        <v>44501</v>
      </c>
      <c r="B506" t="s">
        <v>19</v>
      </c>
      <c r="C506" t="s">
        <v>20</v>
      </c>
      <c r="D506" t="s">
        <v>12</v>
      </c>
      <c r="E506">
        <v>482</v>
      </c>
      <c r="F506">
        <v>22662695.710000001</v>
      </c>
      <c r="G506">
        <v>7266581.04</v>
      </c>
      <c r="H506">
        <v>15396114.67</v>
      </c>
      <c r="I506">
        <v>0.7</v>
      </c>
      <c r="J506">
        <v>3.92</v>
      </c>
    </row>
    <row r="507" spans="1:10" x14ac:dyDescent="0.25">
      <c r="A507">
        <v>44142</v>
      </c>
      <c r="B507" t="s">
        <v>19</v>
      </c>
      <c r="C507" t="s">
        <v>20</v>
      </c>
      <c r="D507" t="s">
        <v>14</v>
      </c>
      <c r="E507">
        <v>393</v>
      </c>
      <c r="F507">
        <v>15637510.15</v>
      </c>
      <c r="G507">
        <v>4325127.28</v>
      </c>
      <c r="H507">
        <v>11312382.869999999</v>
      </c>
      <c r="I507">
        <v>1.01</v>
      </c>
      <c r="J507">
        <v>4.0199999999999996</v>
      </c>
    </row>
    <row r="508" spans="1:10" x14ac:dyDescent="0.25">
      <c r="A508">
        <v>44529</v>
      </c>
      <c r="B508" t="s">
        <v>19</v>
      </c>
      <c r="C508" t="s">
        <v>24</v>
      </c>
      <c r="D508" t="s">
        <v>17</v>
      </c>
      <c r="E508">
        <v>472</v>
      </c>
      <c r="F508">
        <v>31441277.23</v>
      </c>
      <c r="G508">
        <v>12389949.529999999</v>
      </c>
      <c r="H508">
        <v>19051327.699999999</v>
      </c>
      <c r="I508">
        <v>3.54</v>
      </c>
      <c r="J508">
        <v>3.57</v>
      </c>
    </row>
    <row r="509" spans="1:10" x14ac:dyDescent="0.25">
      <c r="A509">
        <v>43968</v>
      </c>
      <c r="B509" t="s">
        <v>19</v>
      </c>
      <c r="C509" t="s">
        <v>20</v>
      </c>
      <c r="D509" t="s">
        <v>12</v>
      </c>
      <c r="E509">
        <v>444</v>
      </c>
      <c r="F509">
        <v>18750964.309999999</v>
      </c>
      <c r="G509">
        <v>6470089.5199999996</v>
      </c>
      <c r="H509">
        <v>12280874.789999999</v>
      </c>
      <c r="I509">
        <v>2.2799999999999998</v>
      </c>
      <c r="J509">
        <v>4.13</v>
      </c>
    </row>
    <row r="510" spans="1:10" x14ac:dyDescent="0.25">
      <c r="A510">
        <v>44522</v>
      </c>
      <c r="B510" t="s">
        <v>19</v>
      </c>
      <c r="C510" t="s">
        <v>21</v>
      </c>
      <c r="D510" t="s">
        <v>17</v>
      </c>
      <c r="E510">
        <v>381</v>
      </c>
      <c r="F510">
        <v>31822728.039999999</v>
      </c>
      <c r="G510">
        <v>8458843.8599999994</v>
      </c>
      <c r="H510">
        <v>23363884.18</v>
      </c>
      <c r="I510">
        <v>1.66</v>
      </c>
      <c r="J510">
        <v>4.51</v>
      </c>
    </row>
    <row r="511" spans="1:10" x14ac:dyDescent="0.25">
      <c r="A511">
        <v>45035</v>
      </c>
      <c r="B511" t="s">
        <v>19</v>
      </c>
      <c r="C511" t="s">
        <v>23</v>
      </c>
      <c r="D511" t="s">
        <v>14</v>
      </c>
      <c r="E511">
        <v>466</v>
      </c>
      <c r="F511">
        <v>37423747.549999997</v>
      </c>
      <c r="G511">
        <v>7821110.3200000003</v>
      </c>
      <c r="H511">
        <v>29602637.219999999</v>
      </c>
      <c r="I511">
        <v>4.2</v>
      </c>
      <c r="J511">
        <v>3.5</v>
      </c>
    </row>
    <row r="512" spans="1:10" x14ac:dyDescent="0.25">
      <c r="A512">
        <v>44819</v>
      </c>
      <c r="B512" t="s">
        <v>19</v>
      </c>
      <c r="C512" t="s">
        <v>24</v>
      </c>
      <c r="D512" t="s">
        <v>14</v>
      </c>
      <c r="E512">
        <v>396</v>
      </c>
      <c r="F512">
        <v>13905821.699999999</v>
      </c>
      <c r="G512">
        <v>3566642.68</v>
      </c>
      <c r="H512">
        <v>10339179.029999999</v>
      </c>
      <c r="I512">
        <v>4.2300000000000004</v>
      </c>
      <c r="J512">
        <v>3.56</v>
      </c>
    </row>
    <row r="513" spans="1:10" x14ac:dyDescent="0.25">
      <c r="A513">
        <v>45513</v>
      </c>
      <c r="B513" t="s">
        <v>19</v>
      </c>
      <c r="C513" t="s">
        <v>23</v>
      </c>
      <c r="D513" t="s">
        <v>17</v>
      </c>
      <c r="E513">
        <v>389</v>
      </c>
      <c r="F513">
        <v>28304591.199999999</v>
      </c>
      <c r="G513">
        <v>10673731.32</v>
      </c>
      <c r="H513">
        <v>17630859.879999999</v>
      </c>
      <c r="I513">
        <v>2.23</v>
      </c>
      <c r="J513">
        <v>4.18</v>
      </c>
    </row>
    <row r="514" spans="1:10" x14ac:dyDescent="0.25">
      <c r="A514">
        <v>45356</v>
      </c>
      <c r="B514" t="s">
        <v>19</v>
      </c>
      <c r="C514" t="s">
        <v>20</v>
      </c>
      <c r="D514" t="s">
        <v>14</v>
      </c>
      <c r="E514">
        <v>131</v>
      </c>
      <c r="F514">
        <v>5249911.93</v>
      </c>
      <c r="G514">
        <v>1473837.68</v>
      </c>
      <c r="H514">
        <v>3776074.25</v>
      </c>
      <c r="I514">
        <v>2.97</v>
      </c>
      <c r="J514">
        <v>4.8499999999999996</v>
      </c>
    </row>
    <row r="515" spans="1:10" x14ac:dyDescent="0.25">
      <c r="A515">
        <v>44818</v>
      </c>
      <c r="B515" t="s">
        <v>19</v>
      </c>
      <c r="C515" t="s">
        <v>20</v>
      </c>
      <c r="D515" t="s">
        <v>14</v>
      </c>
      <c r="E515">
        <v>381</v>
      </c>
      <c r="F515">
        <v>15015172.199999999</v>
      </c>
      <c r="G515">
        <v>4940678.47</v>
      </c>
      <c r="H515">
        <v>10074493.720000001</v>
      </c>
      <c r="I515">
        <v>4.74</v>
      </c>
      <c r="J515">
        <v>4.5</v>
      </c>
    </row>
    <row r="516" spans="1:10" x14ac:dyDescent="0.25">
      <c r="A516">
        <v>45370</v>
      </c>
      <c r="B516" t="s">
        <v>19</v>
      </c>
      <c r="C516" t="s">
        <v>21</v>
      </c>
      <c r="D516" t="s">
        <v>17</v>
      </c>
      <c r="E516">
        <v>154</v>
      </c>
      <c r="F516">
        <v>10865432.26</v>
      </c>
      <c r="G516">
        <v>2416387.25</v>
      </c>
      <c r="H516">
        <v>8449045.0199999996</v>
      </c>
      <c r="I516">
        <v>3.19</v>
      </c>
      <c r="J516">
        <v>4.25</v>
      </c>
    </row>
    <row r="517" spans="1:10" x14ac:dyDescent="0.25">
      <c r="A517">
        <v>44461</v>
      </c>
      <c r="B517" t="s">
        <v>19</v>
      </c>
      <c r="C517" t="s">
        <v>20</v>
      </c>
      <c r="D517" t="s">
        <v>14</v>
      </c>
      <c r="E517">
        <v>100</v>
      </c>
      <c r="F517">
        <v>8523078.2100000009</v>
      </c>
      <c r="G517">
        <v>2365028.9700000002</v>
      </c>
      <c r="H517">
        <v>6158049.2400000002</v>
      </c>
      <c r="I517">
        <v>4.43</v>
      </c>
      <c r="J517">
        <v>4.59</v>
      </c>
    </row>
    <row r="518" spans="1:10" x14ac:dyDescent="0.25">
      <c r="A518">
        <v>44607</v>
      </c>
      <c r="B518" t="s">
        <v>19</v>
      </c>
      <c r="C518" t="s">
        <v>20</v>
      </c>
      <c r="D518" t="s">
        <v>12</v>
      </c>
      <c r="E518">
        <v>204</v>
      </c>
      <c r="F518">
        <v>15453809.630000001</v>
      </c>
      <c r="G518">
        <v>4543446.2300000004</v>
      </c>
      <c r="H518">
        <v>10910363.4</v>
      </c>
      <c r="I518">
        <v>4.2300000000000004</v>
      </c>
      <c r="J518">
        <v>4.99</v>
      </c>
    </row>
    <row r="519" spans="1:10" x14ac:dyDescent="0.25">
      <c r="A519">
        <v>45488</v>
      </c>
      <c r="B519" t="s">
        <v>19</v>
      </c>
      <c r="C519" t="s">
        <v>21</v>
      </c>
      <c r="D519" t="s">
        <v>12</v>
      </c>
      <c r="E519">
        <v>307</v>
      </c>
      <c r="F519">
        <v>10942666.119999999</v>
      </c>
      <c r="G519">
        <v>3453430.45</v>
      </c>
      <c r="H519">
        <v>7489235.6699999999</v>
      </c>
      <c r="I519">
        <v>1.83</v>
      </c>
      <c r="J519">
        <v>4.2300000000000004</v>
      </c>
    </row>
    <row r="520" spans="1:10" x14ac:dyDescent="0.25">
      <c r="A520">
        <v>44770</v>
      </c>
      <c r="B520" t="s">
        <v>19</v>
      </c>
      <c r="C520" t="s">
        <v>21</v>
      </c>
      <c r="D520" t="s">
        <v>12</v>
      </c>
      <c r="E520">
        <v>350</v>
      </c>
      <c r="F520">
        <v>19937848.41</v>
      </c>
      <c r="G520">
        <v>4345914.08</v>
      </c>
      <c r="H520">
        <v>15591934.33</v>
      </c>
      <c r="I520">
        <v>4.1399999999999997</v>
      </c>
      <c r="J520">
        <v>3.82</v>
      </c>
    </row>
    <row r="521" spans="1:10" x14ac:dyDescent="0.25">
      <c r="A521">
        <v>44785</v>
      </c>
      <c r="B521" t="s">
        <v>19</v>
      </c>
      <c r="C521" t="s">
        <v>21</v>
      </c>
      <c r="D521" t="s">
        <v>17</v>
      </c>
      <c r="E521">
        <v>458</v>
      </c>
      <c r="F521">
        <v>34397880.149999999</v>
      </c>
      <c r="G521">
        <v>9271662.0700000003</v>
      </c>
      <c r="H521">
        <v>25126218.079999998</v>
      </c>
      <c r="I521">
        <v>4.3099999999999996</v>
      </c>
      <c r="J521">
        <v>4.54</v>
      </c>
    </row>
    <row r="522" spans="1:10" x14ac:dyDescent="0.25">
      <c r="A522">
        <v>44664</v>
      </c>
      <c r="B522" t="s">
        <v>19</v>
      </c>
      <c r="C522" t="s">
        <v>23</v>
      </c>
      <c r="D522" t="s">
        <v>12</v>
      </c>
      <c r="E522">
        <v>195</v>
      </c>
      <c r="F522">
        <v>11156804.59</v>
      </c>
      <c r="G522">
        <v>4289535.55</v>
      </c>
      <c r="H522">
        <v>6867269.04</v>
      </c>
      <c r="I522">
        <v>2.94</v>
      </c>
      <c r="J522">
        <v>4.79</v>
      </c>
    </row>
    <row r="523" spans="1:10" x14ac:dyDescent="0.25">
      <c r="A523">
        <v>45645</v>
      </c>
      <c r="B523" t="s">
        <v>19</v>
      </c>
      <c r="C523" t="s">
        <v>21</v>
      </c>
      <c r="D523" t="s">
        <v>14</v>
      </c>
      <c r="E523">
        <v>79</v>
      </c>
      <c r="F523">
        <v>4704692.8</v>
      </c>
      <c r="G523">
        <v>1130650.27</v>
      </c>
      <c r="H523">
        <v>3574042.53</v>
      </c>
      <c r="I523">
        <v>4.2</v>
      </c>
      <c r="J523">
        <v>4.79</v>
      </c>
    </row>
    <row r="524" spans="1:10" x14ac:dyDescent="0.25">
      <c r="A524">
        <v>44113</v>
      </c>
      <c r="B524" t="s">
        <v>19</v>
      </c>
      <c r="C524" t="s">
        <v>21</v>
      </c>
      <c r="D524" t="s">
        <v>12</v>
      </c>
      <c r="E524">
        <v>384</v>
      </c>
      <c r="F524">
        <v>29477493.66</v>
      </c>
      <c r="G524">
        <v>11208088.18</v>
      </c>
      <c r="H524">
        <v>18269405.489999998</v>
      </c>
      <c r="I524">
        <v>4.5</v>
      </c>
      <c r="J524">
        <v>3.52</v>
      </c>
    </row>
    <row r="525" spans="1:10" x14ac:dyDescent="0.25">
      <c r="A525">
        <v>43915</v>
      </c>
      <c r="B525" t="s">
        <v>19</v>
      </c>
      <c r="C525" t="s">
        <v>22</v>
      </c>
      <c r="D525" t="s">
        <v>14</v>
      </c>
      <c r="E525">
        <v>362</v>
      </c>
      <c r="F525">
        <v>13215938.369999999</v>
      </c>
      <c r="G525">
        <v>4247670.72</v>
      </c>
      <c r="H525">
        <v>8968267.6500000004</v>
      </c>
      <c r="I525">
        <v>2.87</v>
      </c>
      <c r="J525">
        <v>4.2699999999999996</v>
      </c>
    </row>
    <row r="526" spans="1:10" x14ac:dyDescent="0.25">
      <c r="A526">
        <v>44036</v>
      </c>
      <c r="B526" t="s">
        <v>19</v>
      </c>
      <c r="C526" t="s">
        <v>24</v>
      </c>
      <c r="D526" t="s">
        <v>17</v>
      </c>
      <c r="E526">
        <v>205</v>
      </c>
      <c r="F526">
        <v>12029218.289999999</v>
      </c>
      <c r="G526">
        <v>4468628.0999999996</v>
      </c>
      <c r="H526">
        <v>7560590.1900000004</v>
      </c>
      <c r="I526">
        <v>4.51</v>
      </c>
      <c r="J526">
        <v>4.0199999999999996</v>
      </c>
    </row>
    <row r="527" spans="1:10" x14ac:dyDescent="0.25">
      <c r="A527">
        <v>44794</v>
      </c>
      <c r="B527" t="s">
        <v>19</v>
      </c>
      <c r="C527" t="s">
        <v>22</v>
      </c>
      <c r="D527" t="s">
        <v>14</v>
      </c>
      <c r="E527">
        <v>197</v>
      </c>
      <c r="F527">
        <v>10576395.24</v>
      </c>
      <c r="G527">
        <v>3136452.47</v>
      </c>
      <c r="H527">
        <v>7439942.7699999996</v>
      </c>
      <c r="I527">
        <v>2.21</v>
      </c>
      <c r="J527">
        <v>3.51</v>
      </c>
    </row>
    <row r="528" spans="1:10" x14ac:dyDescent="0.25">
      <c r="A528">
        <v>44649</v>
      </c>
      <c r="B528" t="s">
        <v>19</v>
      </c>
      <c r="C528" t="s">
        <v>24</v>
      </c>
      <c r="D528" t="s">
        <v>14</v>
      </c>
      <c r="E528">
        <v>175</v>
      </c>
      <c r="F528">
        <v>11861392.609999999</v>
      </c>
      <c r="G528">
        <v>4504340.32</v>
      </c>
      <c r="H528">
        <v>7357052.2800000003</v>
      </c>
      <c r="I528">
        <v>4.3099999999999996</v>
      </c>
      <c r="J528">
        <v>4.3</v>
      </c>
    </row>
    <row r="529" spans="1:10" x14ac:dyDescent="0.25">
      <c r="A529">
        <v>44295</v>
      </c>
      <c r="B529" t="s">
        <v>19</v>
      </c>
      <c r="C529" t="s">
        <v>23</v>
      </c>
      <c r="D529" t="s">
        <v>17</v>
      </c>
      <c r="E529">
        <v>225</v>
      </c>
      <c r="F529">
        <v>10571420.359999999</v>
      </c>
      <c r="G529">
        <v>2139579.44</v>
      </c>
      <c r="H529">
        <v>8431840.9199999999</v>
      </c>
      <c r="I529">
        <v>2.54</v>
      </c>
      <c r="J529">
        <v>4.53</v>
      </c>
    </row>
    <row r="530" spans="1:10" x14ac:dyDescent="0.25">
      <c r="A530">
        <v>43946</v>
      </c>
      <c r="B530" t="s">
        <v>19</v>
      </c>
      <c r="C530" t="s">
        <v>22</v>
      </c>
      <c r="D530" t="s">
        <v>14</v>
      </c>
      <c r="E530">
        <v>414</v>
      </c>
      <c r="F530">
        <v>36623015.090000004</v>
      </c>
      <c r="G530">
        <v>12975631.32</v>
      </c>
      <c r="H530">
        <v>23647383.77</v>
      </c>
      <c r="I530">
        <v>4.9000000000000004</v>
      </c>
      <c r="J530">
        <v>4.3</v>
      </c>
    </row>
    <row r="531" spans="1:10" x14ac:dyDescent="0.25">
      <c r="A531">
        <v>43877</v>
      </c>
      <c r="B531" t="s">
        <v>19</v>
      </c>
      <c r="C531" t="s">
        <v>20</v>
      </c>
      <c r="D531" t="s">
        <v>12</v>
      </c>
      <c r="E531">
        <v>94</v>
      </c>
      <c r="F531">
        <v>5276348.71</v>
      </c>
      <c r="G531">
        <v>2069388.17</v>
      </c>
      <c r="H531">
        <v>3206960.54</v>
      </c>
      <c r="I531">
        <v>0.64</v>
      </c>
      <c r="J531">
        <v>4.08</v>
      </c>
    </row>
    <row r="532" spans="1:10" x14ac:dyDescent="0.25">
      <c r="A532">
        <v>44381</v>
      </c>
      <c r="B532" t="s">
        <v>19</v>
      </c>
      <c r="C532" t="s">
        <v>22</v>
      </c>
      <c r="D532" t="s">
        <v>17</v>
      </c>
      <c r="E532">
        <v>283</v>
      </c>
      <c r="F532">
        <v>16059934.380000001</v>
      </c>
      <c r="G532">
        <v>5417959.3499999996</v>
      </c>
      <c r="H532">
        <v>10641975.029999999</v>
      </c>
      <c r="I532">
        <v>1.1599999999999999</v>
      </c>
      <c r="J532">
        <v>4.2300000000000004</v>
      </c>
    </row>
    <row r="533" spans="1:10" x14ac:dyDescent="0.25">
      <c r="A533">
        <v>45382</v>
      </c>
      <c r="B533" t="s">
        <v>19</v>
      </c>
      <c r="C533" t="s">
        <v>20</v>
      </c>
      <c r="D533" t="s">
        <v>17</v>
      </c>
      <c r="E533">
        <v>475</v>
      </c>
      <c r="F533">
        <v>40139673.159999996</v>
      </c>
      <c r="G533">
        <v>15123513.279999999</v>
      </c>
      <c r="H533">
        <v>25016159.870000001</v>
      </c>
      <c r="I533">
        <v>4.8</v>
      </c>
      <c r="J533">
        <v>3.97</v>
      </c>
    </row>
    <row r="534" spans="1:10" x14ac:dyDescent="0.25">
      <c r="A534">
        <v>44351</v>
      </c>
      <c r="B534" t="s">
        <v>19</v>
      </c>
      <c r="C534" t="s">
        <v>22</v>
      </c>
      <c r="D534" t="s">
        <v>14</v>
      </c>
      <c r="E534">
        <v>136</v>
      </c>
      <c r="F534">
        <v>8082075.29</v>
      </c>
      <c r="G534">
        <v>1624726.71</v>
      </c>
      <c r="H534">
        <v>6457348.5899999999</v>
      </c>
      <c r="I534">
        <v>2.95</v>
      </c>
      <c r="J534">
        <v>3.63</v>
      </c>
    </row>
    <row r="535" spans="1:10" x14ac:dyDescent="0.25">
      <c r="A535">
        <v>44476</v>
      </c>
      <c r="B535" t="s">
        <v>19</v>
      </c>
      <c r="C535" t="s">
        <v>22</v>
      </c>
      <c r="D535" t="s">
        <v>12</v>
      </c>
      <c r="E535">
        <v>108</v>
      </c>
      <c r="F535">
        <v>9489144.7799999993</v>
      </c>
      <c r="G535">
        <v>3056487.9</v>
      </c>
      <c r="H535">
        <v>6432656.8899999997</v>
      </c>
      <c r="I535">
        <v>2.23</v>
      </c>
      <c r="J535">
        <v>4.01</v>
      </c>
    </row>
    <row r="536" spans="1:10" x14ac:dyDescent="0.25">
      <c r="A536">
        <v>44029</v>
      </c>
      <c r="B536" t="s">
        <v>19</v>
      </c>
      <c r="C536" t="s">
        <v>24</v>
      </c>
      <c r="D536" t="s">
        <v>17</v>
      </c>
      <c r="E536">
        <v>117</v>
      </c>
      <c r="F536">
        <v>10402001.369999999</v>
      </c>
      <c r="G536">
        <v>3166622.09</v>
      </c>
      <c r="H536">
        <v>7235379.2699999996</v>
      </c>
      <c r="I536">
        <v>2.9</v>
      </c>
      <c r="J536">
        <v>3.75</v>
      </c>
    </row>
    <row r="537" spans="1:10" x14ac:dyDescent="0.25">
      <c r="A537">
        <v>45053</v>
      </c>
      <c r="B537" t="s">
        <v>19</v>
      </c>
      <c r="C537" t="s">
        <v>21</v>
      </c>
      <c r="D537" t="s">
        <v>17</v>
      </c>
      <c r="E537">
        <v>358</v>
      </c>
      <c r="F537">
        <v>28944567.75</v>
      </c>
      <c r="G537">
        <v>9028150.1999999993</v>
      </c>
      <c r="H537">
        <v>19916417.550000001</v>
      </c>
      <c r="I537">
        <v>1.86</v>
      </c>
      <c r="J537">
        <v>3.89</v>
      </c>
    </row>
    <row r="538" spans="1:10" x14ac:dyDescent="0.25">
      <c r="A538">
        <v>44379</v>
      </c>
      <c r="B538" t="s">
        <v>19</v>
      </c>
      <c r="C538" t="s">
        <v>21</v>
      </c>
      <c r="D538" t="s">
        <v>14</v>
      </c>
      <c r="E538">
        <v>100</v>
      </c>
      <c r="F538">
        <v>4474440.09</v>
      </c>
      <c r="G538">
        <v>1335668.3600000001</v>
      </c>
      <c r="H538">
        <v>3138771.73</v>
      </c>
      <c r="I538">
        <v>3.55</v>
      </c>
      <c r="J538">
        <v>3.85</v>
      </c>
    </row>
    <row r="539" spans="1:10" x14ac:dyDescent="0.25">
      <c r="A539">
        <v>43842</v>
      </c>
      <c r="B539" t="s">
        <v>19</v>
      </c>
      <c r="C539" t="s">
        <v>20</v>
      </c>
      <c r="D539" t="s">
        <v>12</v>
      </c>
      <c r="E539">
        <v>188</v>
      </c>
      <c r="F539">
        <v>12346709.26</v>
      </c>
      <c r="G539">
        <v>4081137.98</v>
      </c>
      <c r="H539">
        <v>8265571.29</v>
      </c>
      <c r="I539">
        <v>3.11</v>
      </c>
      <c r="J539">
        <v>3.71</v>
      </c>
    </row>
    <row r="540" spans="1:10" x14ac:dyDescent="0.25">
      <c r="A540">
        <v>43932</v>
      </c>
      <c r="B540" t="s">
        <v>19</v>
      </c>
      <c r="C540" t="s">
        <v>22</v>
      </c>
      <c r="D540" t="s">
        <v>12</v>
      </c>
      <c r="E540">
        <v>446</v>
      </c>
      <c r="F540">
        <v>30971527.899999999</v>
      </c>
      <c r="G540">
        <v>9360228.5899999999</v>
      </c>
      <c r="H540">
        <v>21611299.309999999</v>
      </c>
      <c r="I540">
        <v>2.31</v>
      </c>
      <c r="J540">
        <v>4.99</v>
      </c>
    </row>
    <row r="541" spans="1:10" x14ac:dyDescent="0.25">
      <c r="A541">
        <v>45165</v>
      </c>
      <c r="B541" t="s">
        <v>19</v>
      </c>
      <c r="C541" t="s">
        <v>20</v>
      </c>
      <c r="D541" t="s">
        <v>17</v>
      </c>
      <c r="E541">
        <v>301</v>
      </c>
      <c r="F541">
        <v>15509601.779999999</v>
      </c>
      <c r="G541">
        <v>5193163.3499999996</v>
      </c>
      <c r="H541">
        <v>10316438.43</v>
      </c>
      <c r="I541">
        <v>4.07</v>
      </c>
      <c r="J541">
        <v>4.1900000000000004</v>
      </c>
    </row>
    <row r="542" spans="1:10" x14ac:dyDescent="0.25">
      <c r="A542">
        <v>45158</v>
      </c>
      <c r="B542" t="s">
        <v>19</v>
      </c>
      <c r="C542" t="s">
        <v>22</v>
      </c>
      <c r="D542" t="s">
        <v>17</v>
      </c>
      <c r="E542">
        <v>390</v>
      </c>
      <c r="F542">
        <v>16824259.960000001</v>
      </c>
      <c r="G542">
        <v>3860973.23</v>
      </c>
      <c r="H542">
        <v>12963286.73</v>
      </c>
      <c r="I542">
        <v>3.7</v>
      </c>
      <c r="J542">
        <v>4.8600000000000003</v>
      </c>
    </row>
    <row r="543" spans="1:10" x14ac:dyDescent="0.25">
      <c r="A543">
        <v>44840</v>
      </c>
      <c r="B543" t="s">
        <v>19</v>
      </c>
      <c r="C543" t="s">
        <v>20</v>
      </c>
      <c r="D543" t="s">
        <v>12</v>
      </c>
      <c r="E543">
        <v>113</v>
      </c>
      <c r="F543">
        <v>7640585.1200000001</v>
      </c>
      <c r="G543">
        <v>2140707.6800000002</v>
      </c>
      <c r="H543">
        <v>5499877.4400000004</v>
      </c>
      <c r="I543">
        <v>2.09</v>
      </c>
      <c r="J543">
        <v>4.1900000000000004</v>
      </c>
    </row>
    <row r="544" spans="1:10" x14ac:dyDescent="0.25">
      <c r="A544">
        <v>43881</v>
      </c>
      <c r="B544" t="s">
        <v>19</v>
      </c>
      <c r="C544" t="s">
        <v>22</v>
      </c>
      <c r="D544" t="s">
        <v>14</v>
      </c>
      <c r="E544">
        <v>295</v>
      </c>
      <c r="F544">
        <v>12444834.279999999</v>
      </c>
      <c r="G544">
        <v>3010381.03</v>
      </c>
      <c r="H544">
        <v>9434453.2400000002</v>
      </c>
      <c r="I544">
        <v>1.06</v>
      </c>
      <c r="J544">
        <v>4.6900000000000004</v>
      </c>
    </row>
    <row r="545" spans="1:10" x14ac:dyDescent="0.25">
      <c r="A545">
        <v>44787</v>
      </c>
      <c r="B545" t="s">
        <v>19</v>
      </c>
      <c r="C545" t="s">
        <v>21</v>
      </c>
      <c r="D545" t="s">
        <v>12</v>
      </c>
      <c r="E545">
        <v>69</v>
      </c>
      <c r="F545">
        <v>4186437.98</v>
      </c>
      <c r="G545">
        <v>1645721.21</v>
      </c>
      <c r="H545">
        <v>2540716.77</v>
      </c>
      <c r="I545">
        <v>4.8600000000000003</v>
      </c>
      <c r="J545">
        <v>4.92</v>
      </c>
    </row>
    <row r="546" spans="1:10" x14ac:dyDescent="0.25">
      <c r="A546">
        <v>45023</v>
      </c>
      <c r="B546" t="s">
        <v>19</v>
      </c>
      <c r="C546" t="s">
        <v>23</v>
      </c>
      <c r="D546" t="s">
        <v>12</v>
      </c>
      <c r="E546">
        <v>203</v>
      </c>
      <c r="F546">
        <v>18057724.079999998</v>
      </c>
      <c r="G546">
        <v>5477242.0099999998</v>
      </c>
      <c r="H546">
        <v>12580482.07</v>
      </c>
      <c r="I546">
        <v>4.3899999999999997</v>
      </c>
      <c r="J546">
        <v>4.38</v>
      </c>
    </row>
    <row r="547" spans="1:10" x14ac:dyDescent="0.25">
      <c r="A547">
        <v>43976</v>
      </c>
      <c r="B547" t="s">
        <v>19</v>
      </c>
      <c r="C547" t="s">
        <v>22</v>
      </c>
      <c r="D547" t="s">
        <v>14</v>
      </c>
      <c r="E547">
        <v>299</v>
      </c>
      <c r="F547">
        <v>18546371.93</v>
      </c>
      <c r="G547">
        <v>5480660.0899999999</v>
      </c>
      <c r="H547">
        <v>13065711.84</v>
      </c>
      <c r="I547">
        <v>3.03</v>
      </c>
      <c r="J547">
        <v>4.16</v>
      </c>
    </row>
    <row r="548" spans="1:10" x14ac:dyDescent="0.25">
      <c r="A548">
        <v>44396</v>
      </c>
      <c r="B548" t="s">
        <v>19</v>
      </c>
      <c r="C548" t="s">
        <v>20</v>
      </c>
      <c r="D548" t="s">
        <v>14</v>
      </c>
      <c r="E548">
        <v>460</v>
      </c>
      <c r="F548">
        <v>29035269.190000001</v>
      </c>
      <c r="G548">
        <v>8755147.1099999994</v>
      </c>
      <c r="H548">
        <v>20280122.079999998</v>
      </c>
      <c r="I548">
        <v>3.1</v>
      </c>
      <c r="J548">
        <v>4.8</v>
      </c>
    </row>
    <row r="549" spans="1:10" x14ac:dyDescent="0.25">
      <c r="A549">
        <v>45324</v>
      </c>
      <c r="B549" t="s">
        <v>19</v>
      </c>
      <c r="C549" t="s">
        <v>22</v>
      </c>
      <c r="D549" t="s">
        <v>12</v>
      </c>
      <c r="E549">
        <v>268</v>
      </c>
      <c r="F549">
        <v>15387791.23</v>
      </c>
      <c r="G549">
        <v>3608378.81</v>
      </c>
      <c r="H549">
        <v>11779412.42</v>
      </c>
      <c r="I549">
        <v>3.94</v>
      </c>
      <c r="J549">
        <v>4.3600000000000003</v>
      </c>
    </row>
    <row r="550" spans="1:10" x14ac:dyDescent="0.25">
      <c r="A550">
        <v>44418</v>
      </c>
      <c r="B550" t="s">
        <v>19</v>
      </c>
      <c r="C550" t="s">
        <v>22</v>
      </c>
      <c r="D550" t="s">
        <v>12</v>
      </c>
      <c r="E550">
        <v>414</v>
      </c>
      <c r="F550">
        <v>25339526.649999999</v>
      </c>
      <c r="G550">
        <v>5087553.8499999996</v>
      </c>
      <c r="H550">
        <v>20251972.789999999</v>
      </c>
      <c r="I550">
        <v>0.77</v>
      </c>
      <c r="J550">
        <v>3.5</v>
      </c>
    </row>
    <row r="551" spans="1:10" x14ac:dyDescent="0.25">
      <c r="A551">
        <v>44571</v>
      </c>
      <c r="B551" t="s">
        <v>19</v>
      </c>
      <c r="C551" t="s">
        <v>22</v>
      </c>
      <c r="D551" t="s">
        <v>17</v>
      </c>
      <c r="E551">
        <v>386</v>
      </c>
      <c r="F551">
        <v>31491148.77</v>
      </c>
      <c r="G551">
        <v>6971572.21</v>
      </c>
      <c r="H551">
        <v>24519576.57</v>
      </c>
      <c r="I551">
        <v>0.78</v>
      </c>
      <c r="J551">
        <v>4.83</v>
      </c>
    </row>
    <row r="552" spans="1:10" x14ac:dyDescent="0.25">
      <c r="A552">
        <v>45288</v>
      </c>
      <c r="B552" t="s">
        <v>19</v>
      </c>
      <c r="C552" t="s">
        <v>23</v>
      </c>
      <c r="D552" t="s">
        <v>17</v>
      </c>
      <c r="E552">
        <v>492</v>
      </c>
      <c r="F552">
        <v>18053178.739999998</v>
      </c>
      <c r="G552">
        <v>3713419.56</v>
      </c>
      <c r="H552">
        <v>14339759.18</v>
      </c>
      <c r="I552">
        <v>1.49</v>
      </c>
      <c r="J552">
        <v>4.5999999999999996</v>
      </c>
    </row>
    <row r="553" spans="1:10" x14ac:dyDescent="0.25">
      <c r="A553">
        <v>44510</v>
      </c>
      <c r="B553" t="s">
        <v>19</v>
      </c>
      <c r="C553" t="s">
        <v>23</v>
      </c>
      <c r="D553" t="s">
        <v>14</v>
      </c>
      <c r="E553">
        <v>163</v>
      </c>
      <c r="F553">
        <v>9979901.6899999995</v>
      </c>
      <c r="G553">
        <v>2619281</v>
      </c>
      <c r="H553">
        <v>7360620.6900000004</v>
      </c>
      <c r="I553">
        <v>3.75</v>
      </c>
      <c r="J553">
        <v>4.54</v>
      </c>
    </row>
    <row r="554" spans="1:10" x14ac:dyDescent="0.25">
      <c r="A554">
        <v>45352</v>
      </c>
      <c r="B554" t="s">
        <v>19</v>
      </c>
      <c r="C554" t="s">
        <v>20</v>
      </c>
      <c r="D554" t="s">
        <v>12</v>
      </c>
      <c r="E554">
        <v>347</v>
      </c>
      <c r="F554">
        <v>24217104.34</v>
      </c>
      <c r="G554">
        <v>6565400.9500000002</v>
      </c>
      <c r="H554">
        <v>17651703.390000001</v>
      </c>
      <c r="I554">
        <v>4.1900000000000004</v>
      </c>
      <c r="J554">
        <v>4</v>
      </c>
    </row>
    <row r="555" spans="1:10" x14ac:dyDescent="0.25">
      <c r="A555">
        <v>45326</v>
      </c>
      <c r="B555" t="s">
        <v>19</v>
      </c>
      <c r="C555" t="s">
        <v>20</v>
      </c>
      <c r="D555" t="s">
        <v>14</v>
      </c>
      <c r="E555">
        <v>84</v>
      </c>
      <c r="F555">
        <v>3913456.93</v>
      </c>
      <c r="G555">
        <v>815996.46</v>
      </c>
      <c r="H555">
        <v>3097460.48</v>
      </c>
      <c r="I555">
        <v>0.54</v>
      </c>
      <c r="J555">
        <v>5</v>
      </c>
    </row>
    <row r="556" spans="1:10" x14ac:dyDescent="0.25">
      <c r="A556">
        <v>44096</v>
      </c>
      <c r="B556" t="s">
        <v>19</v>
      </c>
      <c r="C556" t="s">
        <v>24</v>
      </c>
      <c r="D556" t="s">
        <v>12</v>
      </c>
      <c r="E556">
        <v>313</v>
      </c>
      <c r="F556">
        <v>28077876.359999999</v>
      </c>
      <c r="G556">
        <v>10726803.630000001</v>
      </c>
      <c r="H556">
        <v>17351072.73</v>
      </c>
      <c r="I556">
        <v>0.51</v>
      </c>
      <c r="J556">
        <v>3.57</v>
      </c>
    </row>
    <row r="557" spans="1:10" x14ac:dyDescent="0.25">
      <c r="A557">
        <v>45316</v>
      </c>
      <c r="B557" t="s">
        <v>19</v>
      </c>
      <c r="C557" t="s">
        <v>23</v>
      </c>
      <c r="D557" t="s">
        <v>14</v>
      </c>
      <c r="E557">
        <v>341</v>
      </c>
      <c r="F557">
        <v>27579381.920000002</v>
      </c>
      <c r="G557">
        <v>6947377.96</v>
      </c>
      <c r="H557">
        <v>20632003.960000001</v>
      </c>
      <c r="I557">
        <v>1.1399999999999999</v>
      </c>
      <c r="J557">
        <v>4.63</v>
      </c>
    </row>
    <row r="558" spans="1:10" x14ac:dyDescent="0.25">
      <c r="A558">
        <v>45035</v>
      </c>
      <c r="B558" t="s">
        <v>19</v>
      </c>
      <c r="C558" t="s">
        <v>23</v>
      </c>
      <c r="D558" t="s">
        <v>14</v>
      </c>
      <c r="E558">
        <v>438</v>
      </c>
      <c r="F558">
        <v>35130212.659999996</v>
      </c>
      <c r="G558">
        <v>8366729.6900000004</v>
      </c>
      <c r="H558">
        <v>26763482.969999999</v>
      </c>
      <c r="I558">
        <v>4.4800000000000004</v>
      </c>
      <c r="J558">
        <v>4.55</v>
      </c>
    </row>
    <row r="559" spans="1:10" x14ac:dyDescent="0.25">
      <c r="A559">
        <v>44398</v>
      </c>
      <c r="B559" t="s">
        <v>19</v>
      </c>
      <c r="C559" t="s">
        <v>20</v>
      </c>
      <c r="D559" t="s">
        <v>12</v>
      </c>
      <c r="E559">
        <v>240</v>
      </c>
      <c r="F559">
        <v>9569582.2200000007</v>
      </c>
      <c r="G559">
        <v>2894554.01</v>
      </c>
      <c r="H559">
        <v>6675028.2199999997</v>
      </c>
      <c r="I559">
        <v>0.85</v>
      </c>
      <c r="J559">
        <v>4.1100000000000003</v>
      </c>
    </row>
    <row r="560" spans="1:10" x14ac:dyDescent="0.25">
      <c r="A560">
        <v>44674</v>
      </c>
      <c r="B560" t="s">
        <v>19</v>
      </c>
      <c r="C560" t="s">
        <v>22</v>
      </c>
      <c r="D560" t="s">
        <v>12</v>
      </c>
      <c r="E560">
        <v>463</v>
      </c>
      <c r="F560">
        <v>16828852.989999998</v>
      </c>
      <c r="G560">
        <v>5701153.1299999999</v>
      </c>
      <c r="H560">
        <v>11127699.85</v>
      </c>
      <c r="I560">
        <v>2.97</v>
      </c>
      <c r="J560">
        <v>4.45</v>
      </c>
    </row>
    <row r="561" spans="1:10" x14ac:dyDescent="0.25">
      <c r="A561">
        <v>44716</v>
      </c>
      <c r="B561" t="s">
        <v>19</v>
      </c>
      <c r="C561" t="s">
        <v>23</v>
      </c>
      <c r="D561" t="s">
        <v>14</v>
      </c>
      <c r="E561">
        <v>222</v>
      </c>
      <c r="F561">
        <v>16289604.130000001</v>
      </c>
      <c r="G561">
        <v>6496004.9900000002</v>
      </c>
      <c r="H561">
        <v>9793599.1400000006</v>
      </c>
      <c r="I561">
        <v>0.95</v>
      </c>
      <c r="J561">
        <v>4.8</v>
      </c>
    </row>
    <row r="562" spans="1:10" x14ac:dyDescent="0.25">
      <c r="A562">
        <v>44718</v>
      </c>
      <c r="B562" t="s">
        <v>19</v>
      </c>
      <c r="C562" t="s">
        <v>20</v>
      </c>
      <c r="D562" t="s">
        <v>17</v>
      </c>
      <c r="E562">
        <v>115</v>
      </c>
      <c r="F562">
        <v>4511152.63</v>
      </c>
      <c r="G562">
        <v>1352782.55</v>
      </c>
      <c r="H562">
        <v>3158370.07</v>
      </c>
      <c r="I562">
        <v>4.08</v>
      </c>
      <c r="J562">
        <v>4.5599999999999996</v>
      </c>
    </row>
    <row r="563" spans="1:10" x14ac:dyDescent="0.25">
      <c r="A563">
        <v>44641</v>
      </c>
      <c r="B563" t="s">
        <v>19</v>
      </c>
      <c r="C563" t="s">
        <v>22</v>
      </c>
      <c r="D563" t="s">
        <v>17</v>
      </c>
      <c r="E563">
        <v>237</v>
      </c>
      <c r="F563">
        <v>10187636.550000001</v>
      </c>
      <c r="G563">
        <v>2628185.9900000002</v>
      </c>
      <c r="H563">
        <v>7559450.5599999996</v>
      </c>
      <c r="I563">
        <v>3.5</v>
      </c>
      <c r="J563">
        <v>3.82</v>
      </c>
    </row>
    <row r="564" spans="1:10" x14ac:dyDescent="0.25">
      <c r="A564">
        <v>44621</v>
      </c>
      <c r="B564" t="s">
        <v>19</v>
      </c>
      <c r="C564" t="s">
        <v>21</v>
      </c>
      <c r="D564" t="s">
        <v>14</v>
      </c>
      <c r="E564">
        <v>339</v>
      </c>
      <c r="F564">
        <v>17104328.879999999</v>
      </c>
      <c r="G564">
        <v>4093124.93</v>
      </c>
      <c r="H564">
        <v>13011203.949999999</v>
      </c>
      <c r="I564">
        <v>4.68</v>
      </c>
      <c r="J564">
        <v>4.1100000000000003</v>
      </c>
    </row>
    <row r="565" spans="1:10" x14ac:dyDescent="0.25">
      <c r="A565">
        <v>44582</v>
      </c>
      <c r="B565" t="s">
        <v>19</v>
      </c>
      <c r="C565" t="s">
        <v>21</v>
      </c>
      <c r="D565" t="s">
        <v>12</v>
      </c>
      <c r="E565">
        <v>76</v>
      </c>
      <c r="F565">
        <v>2752072.53</v>
      </c>
      <c r="G565">
        <v>779795.63</v>
      </c>
      <c r="H565">
        <v>1972276.9</v>
      </c>
      <c r="I565">
        <v>4.29</v>
      </c>
      <c r="J565">
        <v>4.32</v>
      </c>
    </row>
    <row r="566" spans="1:10" x14ac:dyDescent="0.25">
      <c r="A566">
        <v>45245</v>
      </c>
      <c r="B566" t="s">
        <v>19</v>
      </c>
      <c r="C566" t="s">
        <v>23</v>
      </c>
      <c r="D566" t="s">
        <v>17</v>
      </c>
      <c r="E566">
        <v>207</v>
      </c>
      <c r="F566">
        <v>18390700</v>
      </c>
      <c r="G566">
        <v>5136547.9000000004</v>
      </c>
      <c r="H566">
        <v>13254152.09</v>
      </c>
      <c r="I566">
        <v>2.11</v>
      </c>
      <c r="J566">
        <v>4.47</v>
      </c>
    </row>
    <row r="567" spans="1:10" x14ac:dyDescent="0.25">
      <c r="A567">
        <v>45590</v>
      </c>
      <c r="B567" t="s">
        <v>19</v>
      </c>
      <c r="C567" t="s">
        <v>24</v>
      </c>
      <c r="D567" t="s">
        <v>14</v>
      </c>
      <c r="E567">
        <v>263</v>
      </c>
      <c r="F567">
        <v>11922146.859999999</v>
      </c>
      <c r="G567">
        <v>3052566.86</v>
      </c>
      <c r="H567">
        <v>8869580</v>
      </c>
      <c r="I567">
        <v>4.4000000000000004</v>
      </c>
      <c r="J567">
        <v>4.18</v>
      </c>
    </row>
    <row r="568" spans="1:10" x14ac:dyDescent="0.25">
      <c r="A568">
        <v>44528</v>
      </c>
      <c r="B568" t="s">
        <v>19</v>
      </c>
      <c r="C568" t="s">
        <v>20</v>
      </c>
      <c r="D568" t="s">
        <v>12</v>
      </c>
      <c r="E568">
        <v>103</v>
      </c>
      <c r="F568">
        <v>4011609.94</v>
      </c>
      <c r="G568">
        <v>1056965.17</v>
      </c>
      <c r="H568">
        <v>2954644.77</v>
      </c>
      <c r="I568">
        <v>1.59</v>
      </c>
      <c r="J568">
        <v>4.57</v>
      </c>
    </row>
    <row r="569" spans="1:10" x14ac:dyDescent="0.25">
      <c r="A569">
        <v>44555</v>
      </c>
      <c r="B569" t="s">
        <v>19</v>
      </c>
      <c r="C569" t="s">
        <v>20</v>
      </c>
      <c r="D569" t="s">
        <v>17</v>
      </c>
      <c r="E569">
        <v>102</v>
      </c>
      <c r="F569">
        <v>8080207.2300000004</v>
      </c>
      <c r="G569">
        <v>2339218.4300000002</v>
      </c>
      <c r="H569">
        <v>5740988.7999999998</v>
      </c>
      <c r="I569">
        <v>2.84</v>
      </c>
      <c r="J569">
        <v>3.71</v>
      </c>
    </row>
    <row r="570" spans="1:10" x14ac:dyDescent="0.25">
      <c r="A570">
        <v>45611</v>
      </c>
      <c r="B570" t="s">
        <v>19</v>
      </c>
      <c r="C570" t="s">
        <v>20</v>
      </c>
      <c r="D570" t="s">
        <v>14</v>
      </c>
      <c r="E570">
        <v>313</v>
      </c>
      <c r="F570">
        <v>15627312.48</v>
      </c>
      <c r="G570">
        <v>4698522.08</v>
      </c>
      <c r="H570">
        <v>10928790.41</v>
      </c>
      <c r="I570">
        <v>1.78</v>
      </c>
      <c r="J570">
        <v>3.7</v>
      </c>
    </row>
    <row r="571" spans="1:10" x14ac:dyDescent="0.25">
      <c r="A571">
        <v>45208</v>
      </c>
      <c r="B571" t="s">
        <v>19</v>
      </c>
      <c r="C571" t="s">
        <v>21</v>
      </c>
      <c r="D571" t="s">
        <v>17</v>
      </c>
      <c r="E571">
        <v>403</v>
      </c>
      <c r="F571">
        <v>30101958.219999999</v>
      </c>
      <c r="G571">
        <v>10405963.710000001</v>
      </c>
      <c r="H571">
        <v>19695994.5</v>
      </c>
      <c r="I571">
        <v>2.31</v>
      </c>
      <c r="J571">
        <v>3.65</v>
      </c>
    </row>
    <row r="572" spans="1:10" x14ac:dyDescent="0.25">
      <c r="A572">
        <v>45576</v>
      </c>
      <c r="B572" t="s">
        <v>19</v>
      </c>
      <c r="C572" t="s">
        <v>22</v>
      </c>
      <c r="D572" t="s">
        <v>14</v>
      </c>
      <c r="E572">
        <v>290</v>
      </c>
      <c r="F572">
        <v>18302509.77</v>
      </c>
      <c r="G572">
        <v>7149502.4100000001</v>
      </c>
      <c r="H572">
        <v>11153007.369999999</v>
      </c>
      <c r="I572">
        <v>1.74</v>
      </c>
      <c r="J572">
        <v>4.5599999999999996</v>
      </c>
    </row>
    <row r="573" spans="1:10" x14ac:dyDescent="0.25">
      <c r="A573">
        <v>44068</v>
      </c>
      <c r="B573" t="s">
        <v>19</v>
      </c>
      <c r="C573" t="s">
        <v>23</v>
      </c>
      <c r="D573" t="s">
        <v>12</v>
      </c>
      <c r="E573">
        <v>392</v>
      </c>
      <c r="F573">
        <v>26295226.120000001</v>
      </c>
      <c r="G573">
        <v>8062284.6200000001</v>
      </c>
      <c r="H573">
        <v>18232941.5</v>
      </c>
      <c r="I573">
        <v>2.0299999999999998</v>
      </c>
      <c r="J573">
        <v>4.91</v>
      </c>
    </row>
    <row r="574" spans="1:10" x14ac:dyDescent="0.25">
      <c r="A574">
        <v>45413</v>
      </c>
      <c r="B574" t="s">
        <v>19</v>
      </c>
      <c r="C574" t="s">
        <v>20</v>
      </c>
      <c r="D574" t="s">
        <v>17</v>
      </c>
      <c r="E574">
        <v>369</v>
      </c>
      <c r="F574">
        <v>19333702.690000001</v>
      </c>
      <c r="G574">
        <v>7339489.6500000004</v>
      </c>
      <c r="H574">
        <v>11994213.039999999</v>
      </c>
      <c r="I574">
        <v>2.12</v>
      </c>
      <c r="J574">
        <v>3.91</v>
      </c>
    </row>
    <row r="575" spans="1:10" x14ac:dyDescent="0.25">
      <c r="A575">
        <v>44545</v>
      </c>
      <c r="B575" t="s">
        <v>19</v>
      </c>
      <c r="C575" t="s">
        <v>21</v>
      </c>
      <c r="D575" t="s">
        <v>17</v>
      </c>
      <c r="E575">
        <v>460</v>
      </c>
      <c r="F575">
        <v>38023663.939999998</v>
      </c>
      <c r="G575">
        <v>10861009.68</v>
      </c>
      <c r="H575">
        <v>27162654.260000002</v>
      </c>
      <c r="I575">
        <v>4.58</v>
      </c>
      <c r="J575">
        <v>4.91</v>
      </c>
    </row>
    <row r="576" spans="1:10" x14ac:dyDescent="0.25">
      <c r="A576">
        <v>44233</v>
      </c>
      <c r="B576" t="s">
        <v>19</v>
      </c>
      <c r="C576" t="s">
        <v>20</v>
      </c>
      <c r="D576" t="s">
        <v>17</v>
      </c>
      <c r="E576">
        <v>132</v>
      </c>
      <c r="F576">
        <v>11226187.220000001</v>
      </c>
      <c r="G576">
        <v>3643306.27</v>
      </c>
      <c r="H576">
        <v>7582880.96</v>
      </c>
      <c r="I576">
        <v>4.84</v>
      </c>
      <c r="J576">
        <v>3.63</v>
      </c>
    </row>
    <row r="577" spans="1:10" x14ac:dyDescent="0.25">
      <c r="A577">
        <v>45419</v>
      </c>
      <c r="B577" t="s">
        <v>19</v>
      </c>
      <c r="C577" t="s">
        <v>20</v>
      </c>
      <c r="D577" t="s">
        <v>14</v>
      </c>
      <c r="E577">
        <v>235</v>
      </c>
      <c r="F577">
        <v>8771620.8599999994</v>
      </c>
      <c r="G577">
        <v>2518105.9500000002</v>
      </c>
      <c r="H577">
        <v>6253514.9100000001</v>
      </c>
      <c r="I577">
        <v>4.6900000000000004</v>
      </c>
      <c r="J577">
        <v>4.7699999999999996</v>
      </c>
    </row>
    <row r="578" spans="1:10" x14ac:dyDescent="0.25">
      <c r="A578">
        <v>45647</v>
      </c>
      <c r="B578" t="s">
        <v>19</v>
      </c>
      <c r="C578" t="s">
        <v>23</v>
      </c>
      <c r="D578" t="s">
        <v>17</v>
      </c>
      <c r="E578">
        <v>488</v>
      </c>
      <c r="F578">
        <v>17197110.16</v>
      </c>
      <c r="G578">
        <v>6304621.9299999997</v>
      </c>
      <c r="H578">
        <v>10892488.23</v>
      </c>
      <c r="I578">
        <v>3.71</v>
      </c>
      <c r="J578">
        <v>4.5</v>
      </c>
    </row>
    <row r="579" spans="1:10" x14ac:dyDescent="0.25">
      <c r="A579">
        <v>45135</v>
      </c>
      <c r="B579" t="s">
        <v>19</v>
      </c>
      <c r="C579" t="s">
        <v>23</v>
      </c>
      <c r="D579" t="s">
        <v>14</v>
      </c>
      <c r="E579">
        <v>466</v>
      </c>
      <c r="F579">
        <v>23446402.030000001</v>
      </c>
      <c r="G579">
        <v>8770827.0199999996</v>
      </c>
      <c r="H579">
        <v>14675575.01</v>
      </c>
      <c r="I579">
        <v>3.54</v>
      </c>
      <c r="J579">
        <v>4.92</v>
      </c>
    </row>
    <row r="580" spans="1:10" x14ac:dyDescent="0.25">
      <c r="A580">
        <v>44755</v>
      </c>
      <c r="B580" t="s">
        <v>19</v>
      </c>
      <c r="C580" t="s">
        <v>21</v>
      </c>
      <c r="D580" t="s">
        <v>17</v>
      </c>
      <c r="E580">
        <v>250</v>
      </c>
      <c r="F580">
        <v>10198767.68</v>
      </c>
      <c r="G580">
        <v>2484779.08</v>
      </c>
      <c r="H580">
        <v>7713988.5999999996</v>
      </c>
      <c r="I580">
        <v>3.4</v>
      </c>
      <c r="J580">
        <v>3.57</v>
      </c>
    </row>
    <row r="581" spans="1:10" x14ac:dyDescent="0.25">
      <c r="A581">
        <v>44573</v>
      </c>
      <c r="B581" t="s">
        <v>19</v>
      </c>
      <c r="C581" t="s">
        <v>24</v>
      </c>
      <c r="D581" t="s">
        <v>14</v>
      </c>
      <c r="E581">
        <v>150</v>
      </c>
      <c r="F581">
        <v>9363209.0999999996</v>
      </c>
      <c r="G581">
        <v>3024091.6</v>
      </c>
      <c r="H581">
        <v>6339117.5</v>
      </c>
      <c r="I581">
        <v>4.4000000000000004</v>
      </c>
      <c r="J581">
        <v>4.21</v>
      </c>
    </row>
    <row r="582" spans="1:10" x14ac:dyDescent="0.25">
      <c r="A582">
        <v>44306</v>
      </c>
      <c r="B582" t="s">
        <v>19</v>
      </c>
      <c r="C582" t="s">
        <v>21</v>
      </c>
      <c r="D582" t="s">
        <v>14</v>
      </c>
      <c r="E582">
        <v>195</v>
      </c>
      <c r="F582">
        <v>13629198.960000001</v>
      </c>
      <c r="G582">
        <v>3350655.1</v>
      </c>
      <c r="H582">
        <v>10278543.85</v>
      </c>
      <c r="I582">
        <v>0.51</v>
      </c>
      <c r="J582">
        <v>4.79</v>
      </c>
    </row>
    <row r="583" spans="1:10" x14ac:dyDescent="0.25">
      <c r="A583">
        <v>44536</v>
      </c>
      <c r="B583" t="s">
        <v>19</v>
      </c>
      <c r="C583" t="s">
        <v>24</v>
      </c>
      <c r="D583" t="s">
        <v>14</v>
      </c>
      <c r="E583">
        <v>62</v>
      </c>
      <c r="F583">
        <v>3590280.11</v>
      </c>
      <c r="G583">
        <v>845740.83</v>
      </c>
      <c r="H583">
        <v>2744539.29</v>
      </c>
      <c r="I583">
        <v>4.33</v>
      </c>
      <c r="J583">
        <v>3.82</v>
      </c>
    </row>
    <row r="584" spans="1:10" x14ac:dyDescent="0.25">
      <c r="A584">
        <v>45252</v>
      </c>
      <c r="B584" t="s">
        <v>19</v>
      </c>
      <c r="C584" t="s">
        <v>22</v>
      </c>
      <c r="D584" t="s">
        <v>14</v>
      </c>
      <c r="E584">
        <v>378</v>
      </c>
      <c r="F584">
        <v>31312376.440000001</v>
      </c>
      <c r="G584">
        <v>7950235.1699999999</v>
      </c>
      <c r="H584">
        <v>23362141.27</v>
      </c>
      <c r="I584">
        <v>3.41</v>
      </c>
      <c r="J584">
        <v>4.6900000000000004</v>
      </c>
    </row>
    <row r="585" spans="1:10" x14ac:dyDescent="0.25">
      <c r="A585">
        <v>44191</v>
      </c>
      <c r="B585" t="s">
        <v>19</v>
      </c>
      <c r="C585" t="s">
        <v>23</v>
      </c>
      <c r="D585" t="s">
        <v>17</v>
      </c>
      <c r="E585">
        <v>392</v>
      </c>
      <c r="F585">
        <v>26823135.760000002</v>
      </c>
      <c r="G585">
        <v>9145071.9800000004</v>
      </c>
      <c r="H585">
        <v>17678063.780000001</v>
      </c>
      <c r="I585">
        <v>1.1100000000000001</v>
      </c>
      <c r="J585">
        <v>4.4800000000000004</v>
      </c>
    </row>
    <row r="586" spans="1:10" x14ac:dyDescent="0.25">
      <c r="A586">
        <v>44417</v>
      </c>
      <c r="B586" t="s">
        <v>19</v>
      </c>
      <c r="C586" t="s">
        <v>23</v>
      </c>
      <c r="D586" t="s">
        <v>12</v>
      </c>
      <c r="E586">
        <v>323</v>
      </c>
      <c r="F586">
        <v>24399520.219999999</v>
      </c>
      <c r="G586">
        <v>5003893.57</v>
      </c>
      <c r="H586">
        <v>19395626.649999999</v>
      </c>
      <c r="I586">
        <v>0.73</v>
      </c>
      <c r="J586">
        <v>4.5199999999999996</v>
      </c>
    </row>
    <row r="587" spans="1:10" x14ac:dyDescent="0.25">
      <c r="A587">
        <v>44691</v>
      </c>
      <c r="B587" t="s">
        <v>19</v>
      </c>
      <c r="C587" t="s">
        <v>20</v>
      </c>
      <c r="D587" t="s">
        <v>14</v>
      </c>
      <c r="E587">
        <v>359</v>
      </c>
      <c r="F587">
        <v>16498505.6</v>
      </c>
      <c r="G587">
        <v>3661958.8</v>
      </c>
      <c r="H587">
        <v>12836546.800000001</v>
      </c>
      <c r="I587">
        <v>1.79</v>
      </c>
      <c r="J587">
        <v>4.05</v>
      </c>
    </row>
    <row r="588" spans="1:10" x14ac:dyDescent="0.25">
      <c r="A588">
        <v>44859</v>
      </c>
      <c r="B588" t="s">
        <v>19</v>
      </c>
      <c r="C588" t="s">
        <v>22</v>
      </c>
      <c r="D588" t="s">
        <v>12</v>
      </c>
      <c r="E588">
        <v>362</v>
      </c>
      <c r="F588">
        <v>29062090.75</v>
      </c>
      <c r="G588">
        <v>7079436.1699999999</v>
      </c>
      <c r="H588">
        <v>21982654.57</v>
      </c>
      <c r="I588">
        <v>2.95</v>
      </c>
      <c r="J588">
        <v>3.65</v>
      </c>
    </row>
    <row r="589" spans="1:10" x14ac:dyDescent="0.25">
      <c r="A589">
        <v>45333</v>
      </c>
      <c r="B589" t="s">
        <v>19</v>
      </c>
      <c r="C589" t="s">
        <v>23</v>
      </c>
      <c r="D589" t="s">
        <v>14</v>
      </c>
      <c r="E589">
        <v>123</v>
      </c>
      <c r="F589">
        <v>4404400.7699999996</v>
      </c>
      <c r="G589">
        <v>1427823.89</v>
      </c>
      <c r="H589">
        <v>2976576.89</v>
      </c>
      <c r="I589">
        <v>2.02</v>
      </c>
      <c r="J589">
        <v>3.53</v>
      </c>
    </row>
    <row r="590" spans="1:10" x14ac:dyDescent="0.25">
      <c r="A590">
        <v>45033</v>
      </c>
      <c r="B590" t="s">
        <v>19</v>
      </c>
      <c r="C590" t="s">
        <v>20</v>
      </c>
      <c r="D590" t="s">
        <v>12</v>
      </c>
      <c r="E590">
        <v>405</v>
      </c>
      <c r="F590">
        <v>35310543.670000002</v>
      </c>
      <c r="G590">
        <v>13902313.15</v>
      </c>
      <c r="H590">
        <v>21408230.52</v>
      </c>
      <c r="I590">
        <v>3.81</v>
      </c>
      <c r="J590">
        <v>4</v>
      </c>
    </row>
    <row r="591" spans="1:10" x14ac:dyDescent="0.25">
      <c r="A591">
        <v>45122</v>
      </c>
      <c r="B591" t="s">
        <v>19</v>
      </c>
      <c r="C591" t="s">
        <v>23</v>
      </c>
      <c r="D591" t="s">
        <v>12</v>
      </c>
      <c r="E591">
        <v>317</v>
      </c>
      <c r="F591">
        <v>21471120.75</v>
      </c>
      <c r="G591">
        <v>8545833.1899999995</v>
      </c>
      <c r="H591">
        <v>12925287.560000001</v>
      </c>
      <c r="I591">
        <v>2.59</v>
      </c>
      <c r="J591">
        <v>4.95</v>
      </c>
    </row>
    <row r="592" spans="1:10" x14ac:dyDescent="0.25">
      <c r="A592">
        <v>44235</v>
      </c>
      <c r="B592" t="s">
        <v>19</v>
      </c>
      <c r="C592" t="s">
        <v>23</v>
      </c>
      <c r="D592" t="s">
        <v>17</v>
      </c>
      <c r="E592">
        <v>237</v>
      </c>
      <c r="F592">
        <v>13478336.199999999</v>
      </c>
      <c r="G592">
        <v>3336403</v>
      </c>
      <c r="H592">
        <v>10141933.199999999</v>
      </c>
      <c r="I592">
        <v>2.5499999999999998</v>
      </c>
      <c r="J592">
        <v>3.9</v>
      </c>
    </row>
    <row r="593" spans="1:10" x14ac:dyDescent="0.25">
      <c r="A593">
        <v>45371</v>
      </c>
      <c r="B593" t="s">
        <v>19</v>
      </c>
      <c r="C593" t="s">
        <v>23</v>
      </c>
      <c r="D593" t="s">
        <v>12</v>
      </c>
      <c r="E593">
        <v>153</v>
      </c>
      <c r="F593">
        <v>6461726.2199999997</v>
      </c>
      <c r="G593">
        <v>1476983.18</v>
      </c>
      <c r="H593">
        <v>4984743.04</v>
      </c>
      <c r="I593">
        <v>3.09</v>
      </c>
      <c r="J593">
        <v>3.61</v>
      </c>
    </row>
    <row r="594" spans="1:10" x14ac:dyDescent="0.25">
      <c r="A594">
        <v>44471</v>
      </c>
      <c r="B594" t="s">
        <v>19</v>
      </c>
      <c r="C594" t="s">
        <v>21</v>
      </c>
      <c r="D594" t="s">
        <v>12</v>
      </c>
      <c r="E594">
        <v>224</v>
      </c>
      <c r="F594">
        <v>17784156.219999999</v>
      </c>
      <c r="G594">
        <v>6686105.6600000001</v>
      </c>
      <c r="H594">
        <v>11098050.560000001</v>
      </c>
      <c r="I594">
        <v>1.7</v>
      </c>
      <c r="J594">
        <v>3.53</v>
      </c>
    </row>
    <row r="595" spans="1:10" x14ac:dyDescent="0.25">
      <c r="A595">
        <v>44772</v>
      </c>
      <c r="B595" t="s">
        <v>19</v>
      </c>
      <c r="C595" t="s">
        <v>24</v>
      </c>
      <c r="D595" t="s">
        <v>12</v>
      </c>
      <c r="E595">
        <v>202</v>
      </c>
      <c r="F595">
        <v>15659606.220000001</v>
      </c>
      <c r="G595">
        <v>4641630.91</v>
      </c>
      <c r="H595">
        <v>11017975.310000001</v>
      </c>
      <c r="I595">
        <v>2.0699999999999998</v>
      </c>
      <c r="J595">
        <v>4.0599999999999996</v>
      </c>
    </row>
    <row r="596" spans="1:10" x14ac:dyDescent="0.25">
      <c r="A596">
        <v>44180</v>
      </c>
      <c r="B596" t="s">
        <v>19</v>
      </c>
      <c r="C596" t="s">
        <v>23</v>
      </c>
      <c r="D596" t="s">
        <v>17</v>
      </c>
      <c r="E596">
        <v>65</v>
      </c>
      <c r="F596">
        <v>4305930.7300000004</v>
      </c>
      <c r="G596">
        <v>1151399.55</v>
      </c>
      <c r="H596">
        <v>3154531.18</v>
      </c>
      <c r="I596">
        <v>2.97</v>
      </c>
      <c r="J596">
        <v>4.82</v>
      </c>
    </row>
    <row r="597" spans="1:10" x14ac:dyDescent="0.25">
      <c r="A597">
        <v>44332</v>
      </c>
      <c r="B597" t="s">
        <v>19</v>
      </c>
      <c r="C597" t="s">
        <v>24</v>
      </c>
      <c r="D597" t="s">
        <v>14</v>
      </c>
      <c r="E597">
        <v>356</v>
      </c>
      <c r="F597">
        <v>12921989.41</v>
      </c>
      <c r="G597">
        <v>2846557.64</v>
      </c>
      <c r="H597">
        <v>10075431.77</v>
      </c>
      <c r="I597">
        <v>4.0199999999999996</v>
      </c>
      <c r="J597">
        <v>4.67</v>
      </c>
    </row>
    <row r="598" spans="1:10" x14ac:dyDescent="0.25">
      <c r="A598">
        <v>45166</v>
      </c>
      <c r="B598" t="s">
        <v>19</v>
      </c>
      <c r="C598" t="s">
        <v>22</v>
      </c>
      <c r="D598" t="s">
        <v>12</v>
      </c>
      <c r="E598">
        <v>94</v>
      </c>
      <c r="F598">
        <v>5347687.3600000003</v>
      </c>
      <c r="G598">
        <v>1815095.22</v>
      </c>
      <c r="H598">
        <v>3532592.14</v>
      </c>
      <c r="I598">
        <v>0.8</v>
      </c>
      <c r="J598">
        <v>3.84</v>
      </c>
    </row>
    <row r="599" spans="1:10" x14ac:dyDescent="0.25">
      <c r="A599">
        <v>44161</v>
      </c>
      <c r="B599" t="s">
        <v>19</v>
      </c>
      <c r="C599" t="s">
        <v>22</v>
      </c>
      <c r="D599" t="s">
        <v>17</v>
      </c>
      <c r="E599">
        <v>147</v>
      </c>
      <c r="F599">
        <v>10022614.25</v>
      </c>
      <c r="G599">
        <v>3060102.82</v>
      </c>
      <c r="H599">
        <v>6962511.4299999997</v>
      </c>
      <c r="I599">
        <v>0.77</v>
      </c>
      <c r="J599">
        <v>4.51</v>
      </c>
    </row>
    <row r="600" spans="1:10" x14ac:dyDescent="0.25">
      <c r="A600">
        <v>44359</v>
      </c>
      <c r="B600" t="s">
        <v>19</v>
      </c>
      <c r="C600" t="s">
        <v>24</v>
      </c>
      <c r="D600" t="s">
        <v>14</v>
      </c>
      <c r="E600">
        <v>53</v>
      </c>
      <c r="F600">
        <v>4646957.2699999996</v>
      </c>
      <c r="G600">
        <v>982622.98</v>
      </c>
      <c r="H600">
        <v>3664334.29</v>
      </c>
      <c r="I600">
        <v>4.03</v>
      </c>
      <c r="J600">
        <v>4.99</v>
      </c>
    </row>
    <row r="601" spans="1:10" x14ac:dyDescent="0.25">
      <c r="A601">
        <v>45600</v>
      </c>
      <c r="B601" t="s">
        <v>19</v>
      </c>
      <c r="C601" t="s">
        <v>21</v>
      </c>
      <c r="D601" t="s">
        <v>12</v>
      </c>
      <c r="E601">
        <v>483</v>
      </c>
      <c r="F601">
        <v>34028564.560000002</v>
      </c>
      <c r="G601">
        <v>9791423.1099999994</v>
      </c>
      <c r="H601">
        <v>24237141.449999999</v>
      </c>
      <c r="I601">
        <v>4</v>
      </c>
      <c r="J601">
        <v>3.81</v>
      </c>
    </row>
    <row r="602" spans="1:10" x14ac:dyDescent="0.25">
      <c r="A602">
        <v>45554</v>
      </c>
      <c r="B602" t="s">
        <v>19</v>
      </c>
      <c r="C602" t="s">
        <v>20</v>
      </c>
      <c r="D602" t="s">
        <v>17</v>
      </c>
      <c r="E602">
        <v>139</v>
      </c>
      <c r="F602">
        <v>6362143.9299999997</v>
      </c>
      <c r="G602">
        <v>2365695.85</v>
      </c>
      <c r="H602">
        <v>3996448.08</v>
      </c>
      <c r="I602">
        <v>3.3</v>
      </c>
      <c r="J602">
        <v>4.67</v>
      </c>
    </row>
    <row r="603" spans="1:10" x14ac:dyDescent="0.25">
      <c r="A603">
        <v>44250</v>
      </c>
      <c r="B603" t="s">
        <v>19</v>
      </c>
      <c r="C603" t="s">
        <v>21</v>
      </c>
      <c r="D603" t="s">
        <v>17</v>
      </c>
      <c r="E603">
        <v>350</v>
      </c>
      <c r="F603">
        <v>17567568.510000002</v>
      </c>
      <c r="G603">
        <v>3577975</v>
      </c>
      <c r="H603">
        <v>13989593.51</v>
      </c>
      <c r="I603">
        <v>2.87</v>
      </c>
      <c r="J603">
        <v>4.8600000000000003</v>
      </c>
    </row>
    <row r="604" spans="1:10" x14ac:dyDescent="0.25">
      <c r="A604">
        <v>44160</v>
      </c>
      <c r="B604" t="s">
        <v>19</v>
      </c>
      <c r="C604" t="s">
        <v>24</v>
      </c>
      <c r="D604" t="s">
        <v>12</v>
      </c>
      <c r="E604">
        <v>400</v>
      </c>
      <c r="F604">
        <v>28830866.5</v>
      </c>
      <c r="G604">
        <v>10033689.449999999</v>
      </c>
      <c r="H604">
        <v>18797177.050000001</v>
      </c>
      <c r="I604">
        <v>2.0499999999999998</v>
      </c>
      <c r="J604">
        <v>4.88</v>
      </c>
    </row>
    <row r="605" spans="1:10" x14ac:dyDescent="0.25">
      <c r="A605">
        <v>45044</v>
      </c>
      <c r="B605" t="s">
        <v>19</v>
      </c>
      <c r="C605" t="s">
        <v>23</v>
      </c>
      <c r="D605" t="s">
        <v>17</v>
      </c>
      <c r="E605">
        <v>265</v>
      </c>
      <c r="F605">
        <v>19841600.550000001</v>
      </c>
      <c r="G605">
        <v>5798457.7199999997</v>
      </c>
      <c r="H605">
        <v>14043142.83</v>
      </c>
      <c r="I605">
        <v>0.77</v>
      </c>
      <c r="J605">
        <v>4.53</v>
      </c>
    </row>
    <row r="606" spans="1:10" x14ac:dyDescent="0.25">
      <c r="A606">
        <v>44087</v>
      </c>
      <c r="B606" t="s">
        <v>19</v>
      </c>
      <c r="C606" t="s">
        <v>21</v>
      </c>
      <c r="D606" t="s">
        <v>12</v>
      </c>
      <c r="E606">
        <v>331</v>
      </c>
      <c r="F606">
        <v>14266651.92</v>
      </c>
      <c r="G606">
        <v>5684286.1200000001</v>
      </c>
      <c r="H606">
        <v>8582365.8000000007</v>
      </c>
      <c r="I606">
        <v>3.34</v>
      </c>
      <c r="J606">
        <v>4.17</v>
      </c>
    </row>
    <row r="607" spans="1:10" x14ac:dyDescent="0.25">
      <c r="A607">
        <v>44342</v>
      </c>
      <c r="B607" t="s">
        <v>19</v>
      </c>
      <c r="C607" t="s">
        <v>21</v>
      </c>
      <c r="D607" t="s">
        <v>12</v>
      </c>
      <c r="E607">
        <v>103</v>
      </c>
      <c r="F607">
        <v>5959612.9900000002</v>
      </c>
      <c r="G607">
        <v>2023983.86</v>
      </c>
      <c r="H607">
        <v>3935629.13</v>
      </c>
      <c r="I607">
        <v>3.92</v>
      </c>
      <c r="J607">
        <v>4.03</v>
      </c>
    </row>
    <row r="608" spans="1:10" x14ac:dyDescent="0.25">
      <c r="A608">
        <v>43878</v>
      </c>
      <c r="B608" t="s">
        <v>19</v>
      </c>
      <c r="C608" t="s">
        <v>21</v>
      </c>
      <c r="D608" t="s">
        <v>14</v>
      </c>
      <c r="E608">
        <v>171</v>
      </c>
      <c r="F608">
        <v>12376829.23</v>
      </c>
      <c r="G608">
        <v>4762011.74</v>
      </c>
      <c r="H608">
        <v>7614817.4900000002</v>
      </c>
      <c r="I608">
        <v>1.74</v>
      </c>
      <c r="J608">
        <v>4.71</v>
      </c>
    </row>
    <row r="609" spans="1:10" x14ac:dyDescent="0.25">
      <c r="A609">
        <v>44489</v>
      </c>
      <c r="B609" t="s">
        <v>19</v>
      </c>
      <c r="C609" t="s">
        <v>23</v>
      </c>
      <c r="D609" t="s">
        <v>12</v>
      </c>
      <c r="E609">
        <v>259</v>
      </c>
      <c r="F609">
        <v>16855015.59</v>
      </c>
      <c r="G609">
        <v>6134187.6200000001</v>
      </c>
      <c r="H609">
        <v>10720827.960000001</v>
      </c>
      <c r="I609">
        <v>2.56</v>
      </c>
      <c r="J609">
        <v>4.34</v>
      </c>
    </row>
    <row r="610" spans="1:10" x14ac:dyDescent="0.25">
      <c r="A610">
        <v>44489</v>
      </c>
      <c r="B610" t="s">
        <v>19</v>
      </c>
      <c r="C610" t="s">
        <v>21</v>
      </c>
      <c r="D610" t="s">
        <v>14</v>
      </c>
      <c r="E610">
        <v>55</v>
      </c>
      <c r="F610">
        <v>3272763.46</v>
      </c>
      <c r="G610">
        <v>1172182.47</v>
      </c>
      <c r="H610">
        <v>2100580.98</v>
      </c>
      <c r="I610">
        <v>0.72</v>
      </c>
      <c r="J610">
        <v>4.7699999999999996</v>
      </c>
    </row>
    <row r="611" spans="1:10" x14ac:dyDescent="0.25">
      <c r="A611">
        <v>45585</v>
      </c>
      <c r="B611" t="s">
        <v>19</v>
      </c>
      <c r="C611" t="s">
        <v>24</v>
      </c>
      <c r="D611" t="s">
        <v>14</v>
      </c>
      <c r="E611">
        <v>289</v>
      </c>
      <c r="F611">
        <v>25930228.870000001</v>
      </c>
      <c r="G611">
        <v>7637838.8300000001</v>
      </c>
      <c r="H611">
        <v>18292390.030000001</v>
      </c>
      <c r="I611">
        <v>2.2599999999999998</v>
      </c>
      <c r="J611">
        <v>4.49</v>
      </c>
    </row>
    <row r="612" spans="1:10" x14ac:dyDescent="0.25">
      <c r="A612">
        <v>44551</v>
      </c>
      <c r="B612" t="s">
        <v>19</v>
      </c>
      <c r="C612" t="s">
        <v>20</v>
      </c>
      <c r="D612" t="s">
        <v>12</v>
      </c>
      <c r="E612">
        <v>218</v>
      </c>
      <c r="F612">
        <v>9991139.1999999993</v>
      </c>
      <c r="G612">
        <v>2095282.14</v>
      </c>
      <c r="H612">
        <v>7895857.0499999998</v>
      </c>
      <c r="I612">
        <v>4.9800000000000004</v>
      </c>
      <c r="J612">
        <v>4.57</v>
      </c>
    </row>
    <row r="613" spans="1:10" x14ac:dyDescent="0.25">
      <c r="A613">
        <v>45310</v>
      </c>
      <c r="B613" t="s">
        <v>19</v>
      </c>
      <c r="C613" t="s">
        <v>20</v>
      </c>
      <c r="D613" t="s">
        <v>17</v>
      </c>
      <c r="E613">
        <v>139</v>
      </c>
      <c r="F613">
        <v>8859816.1300000008</v>
      </c>
      <c r="G613">
        <v>3155658.34</v>
      </c>
      <c r="H613">
        <v>5704157.7999999998</v>
      </c>
      <c r="I613">
        <v>2.57</v>
      </c>
      <c r="J613">
        <v>4.88</v>
      </c>
    </row>
    <row r="614" spans="1:10" x14ac:dyDescent="0.25">
      <c r="A614">
        <v>44937</v>
      </c>
      <c r="B614" t="s">
        <v>19</v>
      </c>
      <c r="C614" t="s">
        <v>21</v>
      </c>
      <c r="D614" t="s">
        <v>17</v>
      </c>
      <c r="E614">
        <v>360</v>
      </c>
      <c r="F614">
        <v>16836349.370000001</v>
      </c>
      <c r="G614">
        <v>6690665.6799999997</v>
      </c>
      <c r="H614">
        <v>10145683.689999999</v>
      </c>
      <c r="I614">
        <v>0.56000000000000005</v>
      </c>
      <c r="J614">
        <v>4.74</v>
      </c>
    </row>
    <row r="615" spans="1:10" x14ac:dyDescent="0.25">
      <c r="A615">
        <v>44994</v>
      </c>
      <c r="B615" t="s">
        <v>19</v>
      </c>
      <c r="C615" t="s">
        <v>24</v>
      </c>
      <c r="D615" t="s">
        <v>17</v>
      </c>
      <c r="E615">
        <v>334</v>
      </c>
      <c r="F615">
        <v>28368100.84</v>
      </c>
      <c r="G615">
        <v>5993035.9500000002</v>
      </c>
      <c r="H615">
        <v>22375064.890000001</v>
      </c>
      <c r="I615">
        <v>4.82</v>
      </c>
      <c r="J615">
        <v>4.28</v>
      </c>
    </row>
    <row r="616" spans="1:10" x14ac:dyDescent="0.25">
      <c r="A616">
        <v>44796</v>
      </c>
      <c r="B616" t="s">
        <v>19</v>
      </c>
      <c r="C616" t="s">
        <v>21</v>
      </c>
      <c r="D616" t="s">
        <v>17</v>
      </c>
      <c r="E616">
        <v>499</v>
      </c>
      <c r="F616">
        <v>44005760.840000004</v>
      </c>
      <c r="G616">
        <v>14145266.550000001</v>
      </c>
      <c r="H616">
        <v>29860494.300000001</v>
      </c>
      <c r="I616">
        <v>4.34</v>
      </c>
      <c r="J616">
        <v>4.66</v>
      </c>
    </row>
    <row r="617" spans="1:10" x14ac:dyDescent="0.25">
      <c r="A617">
        <v>45638</v>
      </c>
      <c r="B617" t="s">
        <v>19</v>
      </c>
      <c r="C617" t="s">
        <v>22</v>
      </c>
      <c r="D617" t="s">
        <v>12</v>
      </c>
      <c r="E617">
        <v>143</v>
      </c>
      <c r="F617">
        <v>10043438.42</v>
      </c>
      <c r="G617">
        <v>2678383.2000000002</v>
      </c>
      <c r="H617">
        <v>7365055.2199999997</v>
      </c>
      <c r="I617">
        <v>1.23</v>
      </c>
      <c r="J617">
        <v>4.3499999999999996</v>
      </c>
    </row>
    <row r="618" spans="1:10" x14ac:dyDescent="0.25">
      <c r="A618">
        <v>45077</v>
      </c>
      <c r="B618" t="s">
        <v>19</v>
      </c>
      <c r="C618" t="s">
        <v>23</v>
      </c>
      <c r="D618" t="s">
        <v>14</v>
      </c>
      <c r="E618">
        <v>391</v>
      </c>
      <c r="F618">
        <v>32076226.210000001</v>
      </c>
      <c r="G618">
        <v>8961685.0600000005</v>
      </c>
      <c r="H618">
        <v>23114541.149999999</v>
      </c>
      <c r="I618">
        <v>4.26</v>
      </c>
      <c r="J618">
        <v>4.68</v>
      </c>
    </row>
    <row r="619" spans="1:10" x14ac:dyDescent="0.25">
      <c r="A619">
        <v>44700</v>
      </c>
      <c r="B619" t="s">
        <v>19</v>
      </c>
      <c r="C619" t="s">
        <v>24</v>
      </c>
      <c r="D619" t="s">
        <v>17</v>
      </c>
      <c r="E619">
        <v>205</v>
      </c>
      <c r="F619">
        <v>9753330.6899999995</v>
      </c>
      <c r="G619">
        <v>2663900.5099999998</v>
      </c>
      <c r="H619">
        <v>7089430.1799999997</v>
      </c>
      <c r="I619">
        <v>1.5</v>
      </c>
      <c r="J619">
        <v>3.98</v>
      </c>
    </row>
    <row r="620" spans="1:10" x14ac:dyDescent="0.25">
      <c r="A620">
        <v>43979</v>
      </c>
      <c r="B620" t="s">
        <v>19</v>
      </c>
      <c r="C620" t="s">
        <v>21</v>
      </c>
      <c r="D620" t="s">
        <v>17</v>
      </c>
      <c r="E620">
        <v>371</v>
      </c>
      <c r="F620">
        <v>23487119.210000001</v>
      </c>
      <c r="G620">
        <v>5598035.3600000003</v>
      </c>
      <c r="H620">
        <v>17889083.84</v>
      </c>
      <c r="I620">
        <v>1.64</v>
      </c>
      <c r="J620">
        <v>3.87</v>
      </c>
    </row>
    <row r="621" spans="1:10" x14ac:dyDescent="0.25">
      <c r="A621">
        <v>44892</v>
      </c>
      <c r="B621" t="s">
        <v>19</v>
      </c>
      <c r="C621" t="s">
        <v>22</v>
      </c>
      <c r="D621" t="s">
        <v>12</v>
      </c>
      <c r="E621">
        <v>398</v>
      </c>
      <c r="F621">
        <v>24456685.309999999</v>
      </c>
      <c r="G621">
        <v>6542486.0899999999</v>
      </c>
      <c r="H621">
        <v>17914199.219999999</v>
      </c>
      <c r="I621">
        <v>1.03</v>
      </c>
      <c r="J621">
        <v>3.93</v>
      </c>
    </row>
    <row r="622" spans="1:10" x14ac:dyDescent="0.25">
      <c r="A622">
        <v>44298</v>
      </c>
      <c r="B622" t="s">
        <v>19</v>
      </c>
      <c r="C622" t="s">
        <v>21</v>
      </c>
      <c r="D622" t="s">
        <v>14</v>
      </c>
      <c r="E622">
        <v>297</v>
      </c>
      <c r="F622">
        <v>26568060.949999999</v>
      </c>
      <c r="G622">
        <v>5553537.7599999998</v>
      </c>
      <c r="H622">
        <v>21014523.190000001</v>
      </c>
      <c r="I622">
        <v>2.73</v>
      </c>
      <c r="J622">
        <v>4.2699999999999996</v>
      </c>
    </row>
    <row r="623" spans="1:10" x14ac:dyDescent="0.25">
      <c r="A623">
        <v>45073</v>
      </c>
      <c r="B623" t="s">
        <v>19</v>
      </c>
      <c r="C623" t="s">
        <v>20</v>
      </c>
      <c r="D623" t="s">
        <v>14</v>
      </c>
      <c r="E623">
        <v>376</v>
      </c>
      <c r="F623">
        <v>20847253.690000001</v>
      </c>
      <c r="G623">
        <v>6702566.4000000004</v>
      </c>
      <c r="H623">
        <v>14144687.289999999</v>
      </c>
      <c r="I623">
        <v>3.89</v>
      </c>
      <c r="J623">
        <v>4.88</v>
      </c>
    </row>
    <row r="624" spans="1:10" x14ac:dyDescent="0.25">
      <c r="A624">
        <v>45080</v>
      </c>
      <c r="B624" t="s">
        <v>19</v>
      </c>
      <c r="C624" t="s">
        <v>23</v>
      </c>
      <c r="D624" t="s">
        <v>12</v>
      </c>
      <c r="E624">
        <v>162</v>
      </c>
      <c r="F624">
        <v>9629295.2599999998</v>
      </c>
      <c r="G624">
        <v>3321051.61</v>
      </c>
      <c r="H624">
        <v>6308243.6500000004</v>
      </c>
      <c r="I624">
        <v>3.3</v>
      </c>
      <c r="J624">
        <v>4.99</v>
      </c>
    </row>
    <row r="625" spans="1:10" x14ac:dyDescent="0.25">
      <c r="A625">
        <v>44041</v>
      </c>
      <c r="B625" t="s">
        <v>19</v>
      </c>
      <c r="C625" t="s">
        <v>21</v>
      </c>
      <c r="D625" t="s">
        <v>14</v>
      </c>
      <c r="E625">
        <v>398</v>
      </c>
      <c r="F625">
        <v>26277580.489999998</v>
      </c>
      <c r="G625">
        <v>8626517.3200000003</v>
      </c>
      <c r="H625">
        <v>17651063.170000002</v>
      </c>
      <c r="I625">
        <v>3.45</v>
      </c>
      <c r="J625">
        <v>3.86</v>
      </c>
    </row>
    <row r="626" spans="1:10" x14ac:dyDescent="0.25">
      <c r="A626">
        <v>44041</v>
      </c>
      <c r="B626" t="s">
        <v>19</v>
      </c>
      <c r="C626" t="s">
        <v>21</v>
      </c>
      <c r="D626" t="s">
        <v>12</v>
      </c>
      <c r="E626">
        <v>107</v>
      </c>
      <c r="F626">
        <v>8908237.7799999993</v>
      </c>
      <c r="G626">
        <v>1827307.19</v>
      </c>
      <c r="H626">
        <v>7080930.5800000001</v>
      </c>
      <c r="I626">
        <v>0.62</v>
      </c>
      <c r="J626">
        <v>4.76</v>
      </c>
    </row>
    <row r="627" spans="1:10" x14ac:dyDescent="0.25">
      <c r="A627">
        <v>44236</v>
      </c>
      <c r="B627" t="s">
        <v>19</v>
      </c>
      <c r="C627" t="s">
        <v>23</v>
      </c>
      <c r="D627" t="s">
        <v>14</v>
      </c>
      <c r="E627">
        <v>90</v>
      </c>
      <c r="F627">
        <v>3342703.32</v>
      </c>
      <c r="G627">
        <v>1313001.28</v>
      </c>
      <c r="H627">
        <v>2029702.04</v>
      </c>
      <c r="I627">
        <v>1.29</v>
      </c>
      <c r="J627">
        <v>4.8</v>
      </c>
    </row>
    <row r="628" spans="1:10" x14ac:dyDescent="0.25">
      <c r="A628">
        <v>44501</v>
      </c>
      <c r="B628" t="s">
        <v>19</v>
      </c>
      <c r="C628" t="s">
        <v>23</v>
      </c>
      <c r="D628" t="s">
        <v>12</v>
      </c>
      <c r="E628">
        <v>286</v>
      </c>
      <c r="F628">
        <v>13547523.109999999</v>
      </c>
      <c r="G628">
        <v>4250181.38</v>
      </c>
      <c r="H628">
        <v>9297341.7300000004</v>
      </c>
      <c r="I628">
        <v>3.74</v>
      </c>
      <c r="J628">
        <v>4.34</v>
      </c>
    </row>
    <row r="629" spans="1:10" x14ac:dyDescent="0.25">
      <c r="A629">
        <v>45297</v>
      </c>
      <c r="B629" t="s">
        <v>19</v>
      </c>
      <c r="C629" t="s">
        <v>24</v>
      </c>
      <c r="D629" t="s">
        <v>12</v>
      </c>
      <c r="E629">
        <v>198</v>
      </c>
      <c r="F629">
        <v>12556845.42</v>
      </c>
      <c r="G629">
        <v>3117170.94</v>
      </c>
      <c r="H629">
        <v>9439674.4700000007</v>
      </c>
      <c r="I629">
        <v>1.77</v>
      </c>
      <c r="J629">
        <v>4.03</v>
      </c>
    </row>
    <row r="630" spans="1:10" x14ac:dyDescent="0.25">
      <c r="A630">
        <v>45083</v>
      </c>
      <c r="B630" t="s">
        <v>19</v>
      </c>
      <c r="C630" t="s">
        <v>23</v>
      </c>
      <c r="D630" t="s">
        <v>17</v>
      </c>
      <c r="E630">
        <v>352</v>
      </c>
      <c r="F630">
        <v>29816746.59</v>
      </c>
      <c r="G630">
        <v>6882602.2999999998</v>
      </c>
      <c r="H630">
        <v>22934144.289999999</v>
      </c>
      <c r="I630">
        <v>2.2999999999999998</v>
      </c>
      <c r="J630">
        <v>4.6399999999999997</v>
      </c>
    </row>
    <row r="631" spans="1:10" x14ac:dyDescent="0.25">
      <c r="A631">
        <v>44874</v>
      </c>
      <c r="B631" t="s">
        <v>19</v>
      </c>
      <c r="C631" t="s">
        <v>24</v>
      </c>
      <c r="D631" t="s">
        <v>17</v>
      </c>
      <c r="E631">
        <v>328</v>
      </c>
      <c r="F631">
        <v>20073096.629999999</v>
      </c>
      <c r="G631">
        <v>6031805.5499999998</v>
      </c>
      <c r="H631">
        <v>14041291.08</v>
      </c>
      <c r="I631">
        <v>1.42</v>
      </c>
      <c r="J631">
        <v>4.3899999999999997</v>
      </c>
    </row>
    <row r="632" spans="1:10" x14ac:dyDescent="0.25">
      <c r="A632">
        <v>43871</v>
      </c>
      <c r="B632" t="s">
        <v>19</v>
      </c>
      <c r="C632" t="s">
        <v>23</v>
      </c>
      <c r="D632" t="s">
        <v>17</v>
      </c>
      <c r="E632">
        <v>90</v>
      </c>
      <c r="F632">
        <v>4613688.6399999997</v>
      </c>
      <c r="G632">
        <v>1297551.5</v>
      </c>
      <c r="H632">
        <v>3316137.13</v>
      </c>
      <c r="I632">
        <v>0.65</v>
      </c>
      <c r="J632">
        <v>4.45</v>
      </c>
    </row>
    <row r="633" spans="1:10" x14ac:dyDescent="0.25">
      <c r="A633">
        <v>44012</v>
      </c>
      <c r="B633" t="s">
        <v>19</v>
      </c>
      <c r="C633" t="s">
        <v>24</v>
      </c>
      <c r="D633" t="s">
        <v>12</v>
      </c>
      <c r="E633">
        <v>373</v>
      </c>
      <c r="F633">
        <v>19111885.579999998</v>
      </c>
      <c r="G633">
        <v>4282986.67</v>
      </c>
      <c r="H633">
        <v>14828898.91</v>
      </c>
      <c r="I633">
        <v>2.57</v>
      </c>
      <c r="J633">
        <v>3.64</v>
      </c>
    </row>
    <row r="634" spans="1:10" x14ac:dyDescent="0.25">
      <c r="A634">
        <v>44878</v>
      </c>
      <c r="B634" t="s">
        <v>19</v>
      </c>
      <c r="C634" t="s">
        <v>21</v>
      </c>
      <c r="D634" t="s">
        <v>14</v>
      </c>
      <c r="E634">
        <v>332</v>
      </c>
      <c r="F634">
        <v>26882181.440000001</v>
      </c>
      <c r="G634">
        <v>8966868.6500000004</v>
      </c>
      <c r="H634">
        <v>17915312.789999999</v>
      </c>
      <c r="I634">
        <v>3.62</v>
      </c>
      <c r="J634">
        <v>4.66</v>
      </c>
    </row>
    <row r="635" spans="1:10" x14ac:dyDescent="0.25">
      <c r="A635">
        <v>45031</v>
      </c>
      <c r="B635" t="s">
        <v>19</v>
      </c>
      <c r="C635" t="s">
        <v>23</v>
      </c>
      <c r="D635" t="s">
        <v>17</v>
      </c>
      <c r="E635">
        <v>53</v>
      </c>
      <c r="F635">
        <v>2296899.64</v>
      </c>
      <c r="G635">
        <v>516396.75</v>
      </c>
      <c r="H635">
        <v>1780502.89</v>
      </c>
      <c r="I635">
        <v>2.93</v>
      </c>
      <c r="J635">
        <v>3.92</v>
      </c>
    </row>
    <row r="636" spans="1:10" x14ac:dyDescent="0.25">
      <c r="A636">
        <v>45478</v>
      </c>
      <c r="B636" t="s">
        <v>19</v>
      </c>
      <c r="C636" t="s">
        <v>23</v>
      </c>
      <c r="D636" t="s">
        <v>14</v>
      </c>
      <c r="E636">
        <v>328</v>
      </c>
      <c r="F636">
        <v>28275419.870000001</v>
      </c>
      <c r="G636">
        <v>9094370.5299999993</v>
      </c>
      <c r="H636">
        <v>19181049.34</v>
      </c>
      <c r="I636">
        <v>2.96</v>
      </c>
      <c r="J636">
        <v>4.3</v>
      </c>
    </row>
    <row r="637" spans="1:10" x14ac:dyDescent="0.25">
      <c r="A637">
        <v>44734</v>
      </c>
      <c r="B637" t="s">
        <v>19</v>
      </c>
      <c r="C637" t="s">
        <v>24</v>
      </c>
      <c r="D637" t="s">
        <v>17</v>
      </c>
      <c r="E637">
        <v>298</v>
      </c>
      <c r="F637">
        <v>11435214.359999999</v>
      </c>
      <c r="G637">
        <v>3745773.12</v>
      </c>
      <c r="H637">
        <v>7689441.2400000002</v>
      </c>
      <c r="I637">
        <v>3.75</v>
      </c>
      <c r="J637">
        <v>3.8</v>
      </c>
    </row>
    <row r="638" spans="1:10" x14ac:dyDescent="0.25">
      <c r="A638">
        <v>45579</v>
      </c>
      <c r="B638" t="s">
        <v>19</v>
      </c>
      <c r="C638" t="s">
        <v>20</v>
      </c>
      <c r="D638" t="s">
        <v>12</v>
      </c>
      <c r="E638">
        <v>152</v>
      </c>
      <c r="F638">
        <v>7863101.2999999998</v>
      </c>
      <c r="G638">
        <v>2667254.37</v>
      </c>
      <c r="H638">
        <v>5195846.93</v>
      </c>
      <c r="I638">
        <v>1.54</v>
      </c>
      <c r="J638">
        <v>3.5</v>
      </c>
    </row>
    <row r="639" spans="1:10" x14ac:dyDescent="0.25">
      <c r="A639">
        <v>44921</v>
      </c>
      <c r="B639" t="s">
        <v>19</v>
      </c>
      <c r="C639" t="s">
        <v>20</v>
      </c>
      <c r="D639" t="s">
        <v>17</v>
      </c>
      <c r="E639">
        <v>352</v>
      </c>
      <c r="F639">
        <v>16020058.220000001</v>
      </c>
      <c r="G639">
        <v>5414508.8200000003</v>
      </c>
      <c r="H639">
        <v>10605549.4</v>
      </c>
      <c r="I639">
        <v>3.79</v>
      </c>
      <c r="J639">
        <v>4.46</v>
      </c>
    </row>
    <row r="640" spans="1:10" x14ac:dyDescent="0.25">
      <c r="A640">
        <v>44418</v>
      </c>
      <c r="B640" t="s">
        <v>19</v>
      </c>
      <c r="C640" t="s">
        <v>20</v>
      </c>
      <c r="D640" t="s">
        <v>12</v>
      </c>
      <c r="E640">
        <v>218</v>
      </c>
      <c r="F640">
        <v>17802620.300000001</v>
      </c>
      <c r="G640">
        <v>5616266.6900000004</v>
      </c>
      <c r="H640">
        <v>12186353.6</v>
      </c>
      <c r="I640">
        <v>1.86</v>
      </c>
      <c r="J640">
        <v>3.99</v>
      </c>
    </row>
    <row r="641" spans="1:10" x14ac:dyDescent="0.25">
      <c r="A641">
        <v>45472</v>
      </c>
      <c r="B641" t="s">
        <v>19</v>
      </c>
      <c r="C641" t="s">
        <v>24</v>
      </c>
      <c r="D641" t="s">
        <v>17</v>
      </c>
      <c r="E641">
        <v>74</v>
      </c>
      <c r="F641">
        <v>3618951.38</v>
      </c>
      <c r="G641">
        <v>1251115.95</v>
      </c>
      <c r="H641">
        <v>2367835.4300000002</v>
      </c>
      <c r="I641">
        <v>1.06</v>
      </c>
      <c r="J641">
        <v>4.01</v>
      </c>
    </row>
    <row r="642" spans="1:10" x14ac:dyDescent="0.25">
      <c r="A642">
        <v>45216</v>
      </c>
      <c r="B642" t="s">
        <v>19</v>
      </c>
      <c r="C642" t="s">
        <v>20</v>
      </c>
      <c r="D642" t="s">
        <v>14</v>
      </c>
      <c r="E642">
        <v>96</v>
      </c>
      <c r="F642">
        <v>7619341.7800000003</v>
      </c>
      <c r="G642">
        <v>1546942.16</v>
      </c>
      <c r="H642">
        <v>6072399.6299999999</v>
      </c>
      <c r="I642">
        <v>3.89</v>
      </c>
      <c r="J642">
        <v>4.09</v>
      </c>
    </row>
    <row r="643" spans="1:10" x14ac:dyDescent="0.25">
      <c r="A643">
        <v>44397</v>
      </c>
      <c r="B643" t="s">
        <v>19</v>
      </c>
      <c r="C643" t="s">
        <v>23</v>
      </c>
      <c r="D643" t="s">
        <v>17</v>
      </c>
      <c r="E643">
        <v>198</v>
      </c>
      <c r="F643">
        <v>8559159.7899999991</v>
      </c>
      <c r="G643">
        <v>2771987.15</v>
      </c>
      <c r="H643">
        <v>5787172.6299999999</v>
      </c>
      <c r="I643">
        <v>2.37</v>
      </c>
      <c r="J643">
        <v>4.63</v>
      </c>
    </row>
    <row r="644" spans="1:10" x14ac:dyDescent="0.25">
      <c r="A644">
        <v>44760</v>
      </c>
      <c r="B644" t="s">
        <v>19</v>
      </c>
      <c r="C644" t="s">
        <v>23</v>
      </c>
      <c r="D644" t="s">
        <v>14</v>
      </c>
      <c r="E644">
        <v>81</v>
      </c>
      <c r="F644">
        <v>3580416.41</v>
      </c>
      <c r="G644">
        <v>873169.24</v>
      </c>
      <c r="H644">
        <v>2707247.17</v>
      </c>
      <c r="I644">
        <v>3.13</v>
      </c>
      <c r="J644">
        <v>4.93</v>
      </c>
    </row>
    <row r="645" spans="1:10" x14ac:dyDescent="0.25">
      <c r="A645">
        <v>43972</v>
      </c>
      <c r="B645" t="s">
        <v>19</v>
      </c>
      <c r="C645" t="s">
        <v>20</v>
      </c>
      <c r="D645" t="s">
        <v>12</v>
      </c>
      <c r="E645">
        <v>59</v>
      </c>
      <c r="F645">
        <v>3628659.97</v>
      </c>
      <c r="G645">
        <v>1188959.28</v>
      </c>
      <c r="H645">
        <v>2439700.69</v>
      </c>
      <c r="I645">
        <v>4.7699999999999996</v>
      </c>
      <c r="J645">
        <v>4.45</v>
      </c>
    </row>
    <row r="646" spans="1:10" x14ac:dyDescent="0.25">
      <c r="A646">
        <v>45035</v>
      </c>
      <c r="B646" t="s">
        <v>19</v>
      </c>
      <c r="C646" t="s">
        <v>24</v>
      </c>
      <c r="D646" t="s">
        <v>12</v>
      </c>
      <c r="E646">
        <v>172</v>
      </c>
      <c r="F646">
        <v>13200189.970000001</v>
      </c>
      <c r="G646">
        <v>5009429.95</v>
      </c>
      <c r="H646">
        <v>8190760.0199999996</v>
      </c>
      <c r="I646">
        <v>2.81</v>
      </c>
      <c r="J646">
        <v>4.26</v>
      </c>
    </row>
    <row r="647" spans="1:10" x14ac:dyDescent="0.25">
      <c r="A647">
        <v>44768</v>
      </c>
      <c r="B647" t="s">
        <v>19</v>
      </c>
      <c r="C647" t="s">
        <v>24</v>
      </c>
      <c r="D647" t="s">
        <v>17</v>
      </c>
      <c r="E647">
        <v>341</v>
      </c>
      <c r="F647">
        <v>30172737.079999998</v>
      </c>
      <c r="G647">
        <v>9360707.6099999994</v>
      </c>
      <c r="H647">
        <v>20812029.48</v>
      </c>
      <c r="I647">
        <v>1.22</v>
      </c>
      <c r="J647">
        <v>3.77</v>
      </c>
    </row>
    <row r="648" spans="1:10" x14ac:dyDescent="0.25">
      <c r="A648">
        <v>44716</v>
      </c>
      <c r="B648" t="s">
        <v>19</v>
      </c>
      <c r="C648" t="s">
        <v>24</v>
      </c>
      <c r="D648" t="s">
        <v>14</v>
      </c>
      <c r="E648">
        <v>472</v>
      </c>
      <c r="F648">
        <v>28506151.09</v>
      </c>
      <c r="G648">
        <v>6151658.6399999997</v>
      </c>
      <c r="H648">
        <v>22354492.449999999</v>
      </c>
      <c r="I648">
        <v>3.63</v>
      </c>
      <c r="J648">
        <v>4.59</v>
      </c>
    </row>
    <row r="649" spans="1:10" x14ac:dyDescent="0.25">
      <c r="A649">
        <v>43831</v>
      </c>
      <c r="B649" t="s">
        <v>19</v>
      </c>
      <c r="C649" t="s">
        <v>22</v>
      </c>
      <c r="D649" t="s">
        <v>17</v>
      </c>
      <c r="E649">
        <v>175</v>
      </c>
      <c r="F649">
        <v>9441814.3100000005</v>
      </c>
      <c r="G649">
        <v>3718454.8</v>
      </c>
      <c r="H649">
        <v>5723359.5099999998</v>
      </c>
      <c r="I649">
        <v>0.73</v>
      </c>
      <c r="J649">
        <v>3.71</v>
      </c>
    </row>
    <row r="650" spans="1:10" x14ac:dyDescent="0.25">
      <c r="A650">
        <v>45399</v>
      </c>
      <c r="B650" t="s">
        <v>19</v>
      </c>
      <c r="C650" t="s">
        <v>20</v>
      </c>
      <c r="D650" t="s">
        <v>14</v>
      </c>
      <c r="E650">
        <v>119</v>
      </c>
      <c r="F650">
        <v>6361570.4199999999</v>
      </c>
      <c r="G650">
        <v>1299636.43</v>
      </c>
      <c r="H650">
        <v>5061933.99</v>
      </c>
      <c r="I650">
        <v>4.3499999999999996</v>
      </c>
      <c r="J650">
        <v>4.55</v>
      </c>
    </row>
    <row r="651" spans="1:10" x14ac:dyDescent="0.25">
      <c r="A651">
        <v>45235</v>
      </c>
      <c r="B651" t="s">
        <v>19</v>
      </c>
      <c r="C651" t="s">
        <v>20</v>
      </c>
      <c r="D651" t="s">
        <v>12</v>
      </c>
      <c r="E651">
        <v>125</v>
      </c>
      <c r="F651">
        <v>8988505.0800000001</v>
      </c>
      <c r="G651">
        <v>2812819.24</v>
      </c>
      <c r="H651">
        <v>6175685.8399999999</v>
      </c>
      <c r="I651">
        <v>2.97</v>
      </c>
      <c r="J651">
        <v>3.97</v>
      </c>
    </row>
    <row r="652" spans="1:10" x14ac:dyDescent="0.25">
      <c r="A652">
        <v>44330</v>
      </c>
      <c r="B652" t="s">
        <v>19</v>
      </c>
      <c r="C652" t="s">
        <v>21</v>
      </c>
      <c r="D652" t="s">
        <v>12</v>
      </c>
      <c r="E652">
        <v>320</v>
      </c>
      <c r="F652">
        <v>20117438.620000001</v>
      </c>
      <c r="G652">
        <v>6488931.04</v>
      </c>
      <c r="H652">
        <v>13628507.58</v>
      </c>
      <c r="I652">
        <v>4.58</v>
      </c>
      <c r="J652">
        <v>3.52</v>
      </c>
    </row>
    <row r="653" spans="1:10" x14ac:dyDescent="0.25">
      <c r="A653">
        <v>44519</v>
      </c>
      <c r="B653" t="s">
        <v>19</v>
      </c>
      <c r="C653" t="s">
        <v>21</v>
      </c>
      <c r="D653" t="s">
        <v>12</v>
      </c>
      <c r="E653">
        <v>92</v>
      </c>
      <c r="F653">
        <v>7465326.4800000004</v>
      </c>
      <c r="G653">
        <v>2969082.8</v>
      </c>
      <c r="H653">
        <v>4496243.68</v>
      </c>
      <c r="I653">
        <v>3.67</v>
      </c>
      <c r="J653">
        <v>4.96</v>
      </c>
    </row>
    <row r="654" spans="1:10" x14ac:dyDescent="0.25">
      <c r="A654">
        <v>44546</v>
      </c>
      <c r="B654" t="s">
        <v>19</v>
      </c>
      <c r="C654" t="s">
        <v>21</v>
      </c>
      <c r="D654" t="s">
        <v>12</v>
      </c>
      <c r="E654">
        <v>238</v>
      </c>
      <c r="F654">
        <v>9606462.5199999996</v>
      </c>
      <c r="G654">
        <v>2768619.71</v>
      </c>
      <c r="H654">
        <v>6837842.8200000003</v>
      </c>
      <c r="I654">
        <v>2.75</v>
      </c>
      <c r="J654">
        <v>4.5599999999999996</v>
      </c>
    </row>
    <row r="655" spans="1:10" x14ac:dyDescent="0.25">
      <c r="A655">
        <v>45266</v>
      </c>
      <c r="B655" t="s">
        <v>19</v>
      </c>
      <c r="C655" t="s">
        <v>20</v>
      </c>
      <c r="D655" t="s">
        <v>14</v>
      </c>
      <c r="E655">
        <v>482</v>
      </c>
      <c r="F655">
        <v>31204873.370000001</v>
      </c>
      <c r="G655">
        <v>9800851.9499999993</v>
      </c>
      <c r="H655">
        <v>21404021.43</v>
      </c>
      <c r="I655">
        <v>1.89</v>
      </c>
      <c r="J655">
        <v>4.22</v>
      </c>
    </row>
    <row r="656" spans="1:10" x14ac:dyDescent="0.25">
      <c r="A656">
        <v>44993</v>
      </c>
      <c r="B656" t="s">
        <v>19</v>
      </c>
      <c r="C656" t="s">
        <v>24</v>
      </c>
      <c r="D656" t="s">
        <v>14</v>
      </c>
      <c r="E656">
        <v>62</v>
      </c>
      <c r="F656">
        <v>5448760.4900000002</v>
      </c>
      <c r="G656">
        <v>1400973.57</v>
      </c>
      <c r="H656">
        <v>4047786.92</v>
      </c>
      <c r="I656">
        <v>4.79</v>
      </c>
      <c r="J656">
        <v>3.84</v>
      </c>
    </row>
    <row r="657" spans="1:10" x14ac:dyDescent="0.25">
      <c r="A657">
        <v>44379</v>
      </c>
      <c r="B657" t="s">
        <v>19</v>
      </c>
      <c r="C657" t="s">
        <v>22</v>
      </c>
      <c r="D657" t="s">
        <v>14</v>
      </c>
      <c r="E657">
        <v>92</v>
      </c>
      <c r="F657">
        <v>7598396.54</v>
      </c>
      <c r="G657">
        <v>2800353.78</v>
      </c>
      <c r="H657">
        <v>4798042.76</v>
      </c>
      <c r="I657">
        <v>1.89</v>
      </c>
      <c r="J657">
        <v>3.94</v>
      </c>
    </row>
    <row r="658" spans="1:10" x14ac:dyDescent="0.25">
      <c r="A658">
        <v>45477</v>
      </c>
      <c r="B658" t="s">
        <v>19</v>
      </c>
      <c r="C658" t="s">
        <v>20</v>
      </c>
      <c r="D658" t="s">
        <v>12</v>
      </c>
      <c r="E658">
        <v>425</v>
      </c>
      <c r="F658">
        <v>33958602.100000001</v>
      </c>
      <c r="G658">
        <v>10177288.039999999</v>
      </c>
      <c r="H658">
        <v>23781314.059999999</v>
      </c>
      <c r="I658">
        <v>0.82</v>
      </c>
      <c r="J658">
        <v>3.97</v>
      </c>
    </row>
    <row r="659" spans="1:10" x14ac:dyDescent="0.25">
      <c r="A659">
        <v>45417</v>
      </c>
      <c r="B659" t="s">
        <v>19</v>
      </c>
      <c r="C659" t="s">
        <v>23</v>
      </c>
      <c r="D659" t="s">
        <v>17</v>
      </c>
      <c r="E659">
        <v>424</v>
      </c>
      <c r="F659">
        <v>28173116.329999998</v>
      </c>
      <c r="G659">
        <v>6576561.1100000003</v>
      </c>
      <c r="H659">
        <v>21596555.210000001</v>
      </c>
      <c r="I659">
        <v>4.58</v>
      </c>
      <c r="J659">
        <v>3.52</v>
      </c>
    </row>
    <row r="660" spans="1:10" x14ac:dyDescent="0.25">
      <c r="A660">
        <v>44786</v>
      </c>
      <c r="B660" t="s">
        <v>19</v>
      </c>
      <c r="C660" t="s">
        <v>22</v>
      </c>
      <c r="D660" t="s">
        <v>12</v>
      </c>
      <c r="E660">
        <v>377</v>
      </c>
      <c r="F660">
        <v>14269815.289999999</v>
      </c>
      <c r="G660">
        <v>4141503.76</v>
      </c>
      <c r="H660">
        <v>10128311.529999999</v>
      </c>
      <c r="I660">
        <v>1.79</v>
      </c>
      <c r="J660">
        <v>3.96</v>
      </c>
    </row>
    <row r="661" spans="1:10" x14ac:dyDescent="0.25">
      <c r="A661">
        <v>45543</v>
      </c>
      <c r="B661" t="s">
        <v>19</v>
      </c>
      <c r="C661" t="s">
        <v>21</v>
      </c>
      <c r="D661" t="s">
        <v>17</v>
      </c>
      <c r="E661">
        <v>332</v>
      </c>
      <c r="F661">
        <v>19136828.710000001</v>
      </c>
      <c r="G661">
        <v>4076165.83</v>
      </c>
      <c r="H661">
        <v>15060662.880000001</v>
      </c>
      <c r="I661">
        <v>2.44</v>
      </c>
      <c r="J661">
        <v>4.82</v>
      </c>
    </row>
    <row r="662" spans="1:10" x14ac:dyDescent="0.25">
      <c r="A662">
        <v>44616</v>
      </c>
      <c r="B662" t="s">
        <v>19</v>
      </c>
      <c r="C662" t="s">
        <v>23</v>
      </c>
      <c r="D662" t="s">
        <v>12</v>
      </c>
      <c r="E662">
        <v>118</v>
      </c>
      <c r="F662">
        <v>4573612.2699999996</v>
      </c>
      <c r="G662">
        <v>1112522.18</v>
      </c>
      <c r="H662">
        <v>3461090.09</v>
      </c>
      <c r="I662">
        <v>1.79</v>
      </c>
      <c r="J662">
        <v>4.1500000000000004</v>
      </c>
    </row>
    <row r="663" spans="1:10" x14ac:dyDescent="0.25">
      <c r="A663">
        <v>44838</v>
      </c>
      <c r="B663" t="s">
        <v>19</v>
      </c>
      <c r="C663" t="s">
        <v>20</v>
      </c>
      <c r="D663" t="s">
        <v>17</v>
      </c>
      <c r="E663">
        <v>68</v>
      </c>
      <c r="F663">
        <v>4914003.1399999997</v>
      </c>
      <c r="G663">
        <v>1894730.43</v>
      </c>
      <c r="H663">
        <v>3019272.71</v>
      </c>
      <c r="I663">
        <v>1.42</v>
      </c>
      <c r="J663">
        <v>4.07</v>
      </c>
    </row>
    <row r="664" spans="1:10" x14ac:dyDescent="0.25">
      <c r="A664">
        <v>44160</v>
      </c>
      <c r="B664" t="s">
        <v>19</v>
      </c>
      <c r="C664" t="s">
        <v>24</v>
      </c>
      <c r="D664" t="s">
        <v>12</v>
      </c>
      <c r="E664">
        <v>338</v>
      </c>
      <c r="F664">
        <v>23759842.449999999</v>
      </c>
      <c r="G664">
        <v>6313089.2199999997</v>
      </c>
      <c r="H664">
        <v>17446753.219999999</v>
      </c>
      <c r="I664">
        <v>3.35</v>
      </c>
      <c r="J664">
        <v>3.8</v>
      </c>
    </row>
    <row r="665" spans="1:10" x14ac:dyDescent="0.25">
      <c r="A665">
        <v>44292</v>
      </c>
      <c r="B665" t="s">
        <v>19</v>
      </c>
      <c r="C665" t="s">
        <v>21</v>
      </c>
      <c r="D665" t="s">
        <v>14</v>
      </c>
      <c r="E665">
        <v>452</v>
      </c>
      <c r="F665">
        <v>35341782.649999999</v>
      </c>
      <c r="G665">
        <v>9887904.9000000004</v>
      </c>
      <c r="H665">
        <v>25453877.760000002</v>
      </c>
      <c r="I665">
        <v>4.96</v>
      </c>
      <c r="J665">
        <v>3.99</v>
      </c>
    </row>
    <row r="666" spans="1:10" x14ac:dyDescent="0.25">
      <c r="A666">
        <v>44658</v>
      </c>
      <c r="B666" t="s">
        <v>19</v>
      </c>
      <c r="C666" t="s">
        <v>20</v>
      </c>
      <c r="D666" t="s">
        <v>12</v>
      </c>
      <c r="E666">
        <v>368</v>
      </c>
      <c r="F666">
        <v>21624063.09</v>
      </c>
      <c r="G666">
        <v>4409714.1399999997</v>
      </c>
      <c r="H666">
        <v>17214348.960000001</v>
      </c>
      <c r="I666">
        <v>0.8</v>
      </c>
      <c r="J666">
        <v>4.28</v>
      </c>
    </row>
    <row r="667" spans="1:10" x14ac:dyDescent="0.25">
      <c r="A667">
        <v>45132</v>
      </c>
      <c r="B667" t="s">
        <v>19</v>
      </c>
      <c r="C667" t="s">
        <v>21</v>
      </c>
      <c r="D667" t="s">
        <v>12</v>
      </c>
      <c r="E667">
        <v>66</v>
      </c>
      <c r="F667">
        <v>2684330.5499999998</v>
      </c>
      <c r="G667">
        <v>779645.18</v>
      </c>
      <c r="H667">
        <v>1904685.36</v>
      </c>
      <c r="I667">
        <v>4.91</v>
      </c>
      <c r="J667">
        <v>4.33</v>
      </c>
    </row>
    <row r="668" spans="1:10" x14ac:dyDescent="0.25">
      <c r="A668">
        <v>45460</v>
      </c>
      <c r="B668" t="s">
        <v>19</v>
      </c>
      <c r="C668" t="s">
        <v>24</v>
      </c>
      <c r="D668" t="s">
        <v>14</v>
      </c>
      <c r="E668">
        <v>131</v>
      </c>
      <c r="F668">
        <v>9661314.6500000004</v>
      </c>
      <c r="G668">
        <v>3047702.99</v>
      </c>
      <c r="H668">
        <v>6613611.6699999999</v>
      </c>
      <c r="I668">
        <v>2.06</v>
      </c>
      <c r="J668">
        <v>4.0999999999999996</v>
      </c>
    </row>
    <row r="669" spans="1:10" x14ac:dyDescent="0.25">
      <c r="A669">
        <v>43896</v>
      </c>
      <c r="B669" t="s">
        <v>19</v>
      </c>
      <c r="C669" t="s">
        <v>23</v>
      </c>
      <c r="D669" t="s">
        <v>12</v>
      </c>
      <c r="E669">
        <v>436</v>
      </c>
      <c r="F669">
        <v>20183883.870000001</v>
      </c>
      <c r="G669">
        <v>6123630.1200000001</v>
      </c>
      <c r="H669">
        <v>14060253.75</v>
      </c>
      <c r="I669">
        <v>1.71</v>
      </c>
      <c r="J669">
        <v>3.93</v>
      </c>
    </row>
    <row r="670" spans="1:10" x14ac:dyDescent="0.25">
      <c r="A670">
        <v>44725</v>
      </c>
      <c r="B670" t="s">
        <v>19</v>
      </c>
      <c r="C670" t="s">
        <v>23</v>
      </c>
      <c r="D670" t="s">
        <v>12</v>
      </c>
      <c r="E670">
        <v>123</v>
      </c>
      <c r="F670">
        <v>8971353.9199999999</v>
      </c>
      <c r="G670">
        <v>3330270.8</v>
      </c>
      <c r="H670">
        <v>5641083.1200000001</v>
      </c>
      <c r="I670">
        <v>3.18</v>
      </c>
      <c r="J670">
        <v>3.76</v>
      </c>
    </row>
    <row r="671" spans="1:10" x14ac:dyDescent="0.25">
      <c r="A671">
        <v>44562</v>
      </c>
      <c r="B671" t="s">
        <v>19</v>
      </c>
      <c r="C671" t="s">
        <v>21</v>
      </c>
      <c r="D671" t="s">
        <v>17</v>
      </c>
      <c r="E671">
        <v>279</v>
      </c>
      <c r="F671">
        <v>10813586.84</v>
      </c>
      <c r="G671">
        <v>3394655.79</v>
      </c>
      <c r="H671">
        <v>7418931.0499999998</v>
      </c>
      <c r="I671">
        <v>3.63</v>
      </c>
      <c r="J671">
        <v>4.1900000000000004</v>
      </c>
    </row>
    <row r="672" spans="1:10" x14ac:dyDescent="0.25">
      <c r="A672">
        <v>44558</v>
      </c>
      <c r="B672" t="s">
        <v>19</v>
      </c>
      <c r="C672" t="s">
        <v>23</v>
      </c>
      <c r="D672" t="s">
        <v>17</v>
      </c>
      <c r="E672">
        <v>416</v>
      </c>
      <c r="F672">
        <v>27221311.890000001</v>
      </c>
      <c r="G672">
        <v>7395312.29</v>
      </c>
      <c r="H672">
        <v>19825999.600000001</v>
      </c>
      <c r="I672">
        <v>3.67</v>
      </c>
      <c r="J672">
        <v>4.0599999999999996</v>
      </c>
    </row>
    <row r="673" spans="1:10" x14ac:dyDescent="0.25">
      <c r="A673">
        <v>44344</v>
      </c>
      <c r="B673" t="s">
        <v>19</v>
      </c>
      <c r="C673" t="s">
        <v>24</v>
      </c>
      <c r="D673" t="s">
        <v>17</v>
      </c>
      <c r="E673">
        <v>332</v>
      </c>
      <c r="F673">
        <v>23964240.02</v>
      </c>
      <c r="G673">
        <v>6198926.4500000002</v>
      </c>
      <c r="H673">
        <v>17765313.57</v>
      </c>
      <c r="I673">
        <v>3.25</v>
      </c>
      <c r="J673">
        <v>3.97</v>
      </c>
    </row>
    <row r="674" spans="1:10" x14ac:dyDescent="0.25">
      <c r="A674">
        <v>44348</v>
      </c>
      <c r="B674" t="s">
        <v>19</v>
      </c>
      <c r="C674" t="s">
        <v>20</v>
      </c>
      <c r="D674" t="s">
        <v>12</v>
      </c>
      <c r="E674">
        <v>149</v>
      </c>
      <c r="F674">
        <v>7259852.1900000004</v>
      </c>
      <c r="G674">
        <v>2901010.05</v>
      </c>
      <c r="H674">
        <v>4358842.1399999997</v>
      </c>
      <c r="I674">
        <v>1.28</v>
      </c>
      <c r="J674">
        <v>3.68</v>
      </c>
    </row>
    <row r="675" spans="1:10" x14ac:dyDescent="0.25">
      <c r="A675">
        <v>44732</v>
      </c>
      <c r="B675" t="s">
        <v>19</v>
      </c>
      <c r="C675" t="s">
        <v>21</v>
      </c>
      <c r="D675" t="s">
        <v>14</v>
      </c>
      <c r="E675">
        <v>315</v>
      </c>
      <c r="F675">
        <v>21632372.460000001</v>
      </c>
      <c r="G675">
        <v>7731042.1299999999</v>
      </c>
      <c r="H675">
        <v>13901330.33</v>
      </c>
      <c r="I675">
        <v>4.7300000000000004</v>
      </c>
      <c r="J675">
        <v>3.51</v>
      </c>
    </row>
    <row r="676" spans="1:10" x14ac:dyDescent="0.25">
      <c r="A676">
        <v>44674</v>
      </c>
      <c r="B676" t="s">
        <v>19</v>
      </c>
      <c r="C676" t="s">
        <v>21</v>
      </c>
      <c r="D676" t="s">
        <v>12</v>
      </c>
      <c r="E676">
        <v>297</v>
      </c>
      <c r="F676">
        <v>19993215.199999999</v>
      </c>
      <c r="G676">
        <v>5193679.12</v>
      </c>
      <c r="H676">
        <v>14799536.08</v>
      </c>
      <c r="I676">
        <v>3.56</v>
      </c>
      <c r="J676">
        <v>4.1100000000000003</v>
      </c>
    </row>
    <row r="677" spans="1:10" x14ac:dyDescent="0.25">
      <c r="A677">
        <v>44166</v>
      </c>
      <c r="B677" t="s">
        <v>19</v>
      </c>
      <c r="C677" t="s">
        <v>20</v>
      </c>
      <c r="D677" t="s">
        <v>12</v>
      </c>
      <c r="E677">
        <v>418</v>
      </c>
      <c r="F677">
        <v>23495254.66</v>
      </c>
      <c r="G677">
        <v>4998534.8899999997</v>
      </c>
      <c r="H677">
        <v>18496719.77</v>
      </c>
      <c r="I677">
        <v>2.94</v>
      </c>
      <c r="J677">
        <v>4.91</v>
      </c>
    </row>
    <row r="678" spans="1:10" x14ac:dyDescent="0.25">
      <c r="A678">
        <v>44527</v>
      </c>
      <c r="B678" t="s">
        <v>19</v>
      </c>
      <c r="C678" t="s">
        <v>22</v>
      </c>
      <c r="D678" t="s">
        <v>12</v>
      </c>
      <c r="E678">
        <v>187</v>
      </c>
      <c r="F678">
        <v>10649078.24</v>
      </c>
      <c r="G678">
        <v>2471008.69</v>
      </c>
      <c r="H678">
        <v>8178069.5499999998</v>
      </c>
      <c r="I678">
        <v>1.35</v>
      </c>
      <c r="J678">
        <v>4.51</v>
      </c>
    </row>
    <row r="679" spans="1:10" x14ac:dyDescent="0.25">
      <c r="A679">
        <v>45053</v>
      </c>
      <c r="B679" t="s">
        <v>19</v>
      </c>
      <c r="C679" t="s">
        <v>23</v>
      </c>
      <c r="D679" t="s">
        <v>12</v>
      </c>
      <c r="E679">
        <v>225</v>
      </c>
      <c r="F679">
        <v>16104307.140000001</v>
      </c>
      <c r="G679">
        <v>4837603.76</v>
      </c>
      <c r="H679">
        <v>11266703.369999999</v>
      </c>
      <c r="I679">
        <v>3.84</v>
      </c>
      <c r="J679">
        <v>3.99</v>
      </c>
    </row>
    <row r="680" spans="1:10" x14ac:dyDescent="0.25">
      <c r="A680">
        <v>45623</v>
      </c>
      <c r="B680" t="s">
        <v>19</v>
      </c>
      <c r="C680" t="s">
        <v>24</v>
      </c>
      <c r="D680" t="s">
        <v>14</v>
      </c>
      <c r="E680">
        <v>293</v>
      </c>
      <c r="F680">
        <v>22315213.800000001</v>
      </c>
      <c r="G680">
        <v>4844415.7300000004</v>
      </c>
      <c r="H680">
        <v>17470798.07</v>
      </c>
      <c r="I680">
        <v>2.4500000000000002</v>
      </c>
      <c r="J680">
        <v>3.89</v>
      </c>
    </row>
    <row r="681" spans="1:10" x14ac:dyDescent="0.25">
      <c r="A681">
        <v>45597</v>
      </c>
      <c r="B681" t="s">
        <v>19</v>
      </c>
      <c r="C681" t="s">
        <v>20</v>
      </c>
      <c r="D681" t="s">
        <v>14</v>
      </c>
      <c r="E681">
        <v>142</v>
      </c>
      <c r="F681">
        <v>8974393.1400000006</v>
      </c>
      <c r="G681">
        <v>2802909.42</v>
      </c>
      <c r="H681">
        <v>6171483.71</v>
      </c>
      <c r="I681">
        <v>4.9800000000000004</v>
      </c>
      <c r="J681">
        <v>3.84</v>
      </c>
    </row>
    <row r="682" spans="1:10" x14ac:dyDescent="0.25">
      <c r="A682">
        <v>44875</v>
      </c>
      <c r="B682" t="s">
        <v>19</v>
      </c>
      <c r="C682" t="s">
        <v>24</v>
      </c>
      <c r="D682" t="s">
        <v>14</v>
      </c>
      <c r="E682">
        <v>92</v>
      </c>
      <c r="F682">
        <v>6446702.5300000003</v>
      </c>
      <c r="G682">
        <v>2266632.14</v>
      </c>
      <c r="H682">
        <v>4180070.39</v>
      </c>
      <c r="I682">
        <v>3.71</v>
      </c>
      <c r="J682">
        <v>3.64</v>
      </c>
    </row>
    <row r="683" spans="1:10" x14ac:dyDescent="0.25">
      <c r="A683">
        <v>45047</v>
      </c>
      <c r="B683" t="s">
        <v>19</v>
      </c>
      <c r="C683" t="s">
        <v>20</v>
      </c>
      <c r="D683" t="s">
        <v>12</v>
      </c>
      <c r="E683">
        <v>418</v>
      </c>
      <c r="F683">
        <v>33444316.329999998</v>
      </c>
      <c r="G683">
        <v>13043159.109999999</v>
      </c>
      <c r="H683">
        <v>20401157.219999999</v>
      </c>
      <c r="I683">
        <v>4.5999999999999996</v>
      </c>
      <c r="J683">
        <v>3.54</v>
      </c>
    </row>
    <row r="684" spans="1:10" x14ac:dyDescent="0.25">
      <c r="A684">
        <v>45629</v>
      </c>
      <c r="B684" t="s">
        <v>19</v>
      </c>
      <c r="C684" t="s">
        <v>22</v>
      </c>
      <c r="D684" t="s">
        <v>17</v>
      </c>
      <c r="E684">
        <v>274</v>
      </c>
      <c r="F684">
        <v>12821105.699999999</v>
      </c>
      <c r="G684">
        <v>4434034.97</v>
      </c>
      <c r="H684">
        <v>8387070.7300000004</v>
      </c>
      <c r="I684">
        <v>1.61</v>
      </c>
      <c r="J684">
        <v>3.59</v>
      </c>
    </row>
    <row r="685" spans="1:10" x14ac:dyDescent="0.25">
      <c r="A685">
        <v>45330</v>
      </c>
      <c r="B685" t="s">
        <v>19</v>
      </c>
      <c r="C685" t="s">
        <v>21</v>
      </c>
      <c r="D685" t="s">
        <v>17</v>
      </c>
      <c r="E685">
        <v>110</v>
      </c>
      <c r="F685">
        <v>6419867.7599999998</v>
      </c>
      <c r="G685">
        <v>2291450.61</v>
      </c>
      <c r="H685">
        <v>4128417.15</v>
      </c>
      <c r="I685">
        <v>3.19</v>
      </c>
      <c r="J685">
        <v>4.3899999999999997</v>
      </c>
    </row>
    <row r="686" spans="1:10" x14ac:dyDescent="0.25">
      <c r="A686">
        <v>44089</v>
      </c>
      <c r="B686" t="s">
        <v>19</v>
      </c>
      <c r="C686" t="s">
        <v>20</v>
      </c>
      <c r="D686" t="s">
        <v>12</v>
      </c>
      <c r="E686">
        <v>143</v>
      </c>
      <c r="F686">
        <v>12488474.439999999</v>
      </c>
      <c r="G686">
        <v>2901093.01</v>
      </c>
      <c r="H686">
        <v>9587381.4299999997</v>
      </c>
      <c r="I686">
        <v>4.12</v>
      </c>
      <c r="J686">
        <v>4.7300000000000004</v>
      </c>
    </row>
    <row r="687" spans="1:10" x14ac:dyDescent="0.25">
      <c r="A687">
        <v>44979</v>
      </c>
      <c r="B687" t="s">
        <v>19</v>
      </c>
      <c r="C687" t="s">
        <v>22</v>
      </c>
      <c r="D687" t="s">
        <v>17</v>
      </c>
      <c r="E687">
        <v>492</v>
      </c>
      <c r="F687">
        <v>24886226.870000001</v>
      </c>
      <c r="G687">
        <v>6038545.8799999999</v>
      </c>
      <c r="H687">
        <v>18847680.989999998</v>
      </c>
      <c r="I687">
        <v>2.29</v>
      </c>
      <c r="J687">
        <v>4.2699999999999996</v>
      </c>
    </row>
    <row r="688" spans="1:10" x14ac:dyDescent="0.25">
      <c r="A688">
        <v>44336</v>
      </c>
      <c r="B688" t="s">
        <v>19</v>
      </c>
      <c r="C688" t="s">
        <v>24</v>
      </c>
      <c r="D688" t="s">
        <v>14</v>
      </c>
      <c r="E688">
        <v>425</v>
      </c>
      <c r="F688">
        <v>37961542.969999999</v>
      </c>
      <c r="G688">
        <v>12971491.57</v>
      </c>
      <c r="H688">
        <v>24990051.399999999</v>
      </c>
      <c r="I688">
        <v>3.97</v>
      </c>
      <c r="J688">
        <v>4.1399999999999997</v>
      </c>
    </row>
    <row r="689" spans="1:10" x14ac:dyDescent="0.25">
      <c r="A689">
        <v>44214</v>
      </c>
      <c r="B689" t="s">
        <v>19</v>
      </c>
      <c r="C689" t="s">
        <v>22</v>
      </c>
      <c r="D689" t="s">
        <v>12</v>
      </c>
      <c r="E689">
        <v>439</v>
      </c>
      <c r="F689">
        <v>34674209.560000002</v>
      </c>
      <c r="G689">
        <v>11556173.48</v>
      </c>
      <c r="H689">
        <v>23118036.079999998</v>
      </c>
      <c r="I689">
        <v>4.3899999999999997</v>
      </c>
      <c r="J689">
        <v>4.87</v>
      </c>
    </row>
    <row r="690" spans="1:10" x14ac:dyDescent="0.25">
      <c r="A690">
        <v>44729</v>
      </c>
      <c r="B690" t="s">
        <v>19</v>
      </c>
      <c r="C690" t="s">
        <v>23</v>
      </c>
      <c r="D690" t="s">
        <v>14</v>
      </c>
      <c r="E690">
        <v>86</v>
      </c>
      <c r="F690">
        <v>6162370.21</v>
      </c>
      <c r="G690">
        <v>1494514.01</v>
      </c>
      <c r="H690">
        <v>4667856.2</v>
      </c>
      <c r="I690">
        <v>2.54</v>
      </c>
      <c r="J690">
        <v>4.45</v>
      </c>
    </row>
    <row r="691" spans="1:10" x14ac:dyDescent="0.25">
      <c r="A691">
        <v>44589</v>
      </c>
      <c r="B691" t="s">
        <v>19</v>
      </c>
      <c r="C691" t="s">
        <v>20</v>
      </c>
      <c r="D691" t="s">
        <v>17</v>
      </c>
      <c r="E691">
        <v>412</v>
      </c>
      <c r="F691">
        <v>28876043.59</v>
      </c>
      <c r="G691">
        <v>6735954.3399999999</v>
      </c>
      <c r="H691">
        <v>22140089.25</v>
      </c>
      <c r="I691">
        <v>2.75</v>
      </c>
      <c r="J691">
        <v>4.3</v>
      </c>
    </row>
    <row r="692" spans="1:10" x14ac:dyDescent="0.25">
      <c r="A692">
        <v>45379</v>
      </c>
      <c r="B692" t="s">
        <v>19</v>
      </c>
      <c r="C692" t="s">
        <v>21</v>
      </c>
      <c r="D692" t="s">
        <v>14</v>
      </c>
      <c r="E692">
        <v>156</v>
      </c>
      <c r="F692">
        <v>13493287.73</v>
      </c>
      <c r="G692">
        <v>5224583.88</v>
      </c>
      <c r="H692">
        <v>8268703.8499999996</v>
      </c>
      <c r="I692">
        <v>4.21</v>
      </c>
      <c r="J692">
        <v>3.94</v>
      </c>
    </row>
    <row r="693" spans="1:10" x14ac:dyDescent="0.25">
      <c r="A693">
        <v>45516</v>
      </c>
      <c r="B693" t="s">
        <v>19</v>
      </c>
      <c r="C693" t="s">
        <v>22</v>
      </c>
      <c r="D693" t="s">
        <v>14</v>
      </c>
      <c r="E693">
        <v>188</v>
      </c>
      <c r="F693">
        <v>12772061.439999999</v>
      </c>
      <c r="G693">
        <v>4595135.51</v>
      </c>
      <c r="H693">
        <v>8176925.9199999999</v>
      </c>
      <c r="I693">
        <v>3.16</v>
      </c>
      <c r="J693">
        <v>4.1100000000000003</v>
      </c>
    </row>
    <row r="694" spans="1:10" x14ac:dyDescent="0.25">
      <c r="A694">
        <v>44735</v>
      </c>
      <c r="B694" t="s">
        <v>19</v>
      </c>
      <c r="C694" t="s">
        <v>22</v>
      </c>
      <c r="D694" t="s">
        <v>12</v>
      </c>
      <c r="E694">
        <v>412</v>
      </c>
      <c r="F694">
        <v>25548229.23</v>
      </c>
      <c r="G694">
        <v>5482084.7199999997</v>
      </c>
      <c r="H694">
        <v>20066144.510000002</v>
      </c>
      <c r="I694">
        <v>0.97</v>
      </c>
      <c r="J694">
        <v>4.6500000000000004</v>
      </c>
    </row>
    <row r="695" spans="1:10" x14ac:dyDescent="0.25">
      <c r="A695">
        <v>45484</v>
      </c>
      <c r="B695" t="s">
        <v>19</v>
      </c>
      <c r="C695" t="s">
        <v>23</v>
      </c>
      <c r="D695" t="s">
        <v>12</v>
      </c>
      <c r="E695">
        <v>471</v>
      </c>
      <c r="F695">
        <v>33457275.07</v>
      </c>
      <c r="G695">
        <v>11641548.539999999</v>
      </c>
      <c r="H695">
        <v>21815726.530000001</v>
      </c>
      <c r="I695">
        <v>1.22</v>
      </c>
      <c r="J695">
        <v>3.74</v>
      </c>
    </row>
    <row r="696" spans="1:10" x14ac:dyDescent="0.25">
      <c r="A696">
        <v>44478</v>
      </c>
      <c r="B696" t="s">
        <v>19</v>
      </c>
      <c r="C696" t="s">
        <v>23</v>
      </c>
      <c r="D696" t="s">
        <v>12</v>
      </c>
      <c r="E696">
        <v>182</v>
      </c>
      <c r="F696">
        <v>14243089.050000001</v>
      </c>
      <c r="G696">
        <v>3012324.15</v>
      </c>
      <c r="H696">
        <v>11230764.9</v>
      </c>
      <c r="I696">
        <v>3.86</v>
      </c>
      <c r="J696">
        <v>4.58</v>
      </c>
    </row>
    <row r="697" spans="1:10" x14ac:dyDescent="0.25">
      <c r="A697">
        <v>44979</v>
      </c>
      <c r="B697" t="s">
        <v>19</v>
      </c>
      <c r="C697" t="s">
        <v>24</v>
      </c>
      <c r="D697" t="s">
        <v>17</v>
      </c>
      <c r="E697">
        <v>352</v>
      </c>
      <c r="F697">
        <v>25584200.239999998</v>
      </c>
      <c r="G697">
        <v>9668617.9100000001</v>
      </c>
      <c r="H697">
        <v>15915582.32</v>
      </c>
      <c r="I697">
        <v>1.8</v>
      </c>
      <c r="J697">
        <v>3.96</v>
      </c>
    </row>
    <row r="698" spans="1:10" x14ac:dyDescent="0.25">
      <c r="A698">
        <v>44558</v>
      </c>
      <c r="B698" t="s">
        <v>19</v>
      </c>
      <c r="C698" t="s">
        <v>22</v>
      </c>
      <c r="D698" t="s">
        <v>14</v>
      </c>
      <c r="E698">
        <v>493</v>
      </c>
      <c r="F698">
        <v>29275256.010000002</v>
      </c>
      <c r="G698">
        <v>8470033.0700000003</v>
      </c>
      <c r="H698">
        <v>20805222.940000001</v>
      </c>
      <c r="I698">
        <v>1.65</v>
      </c>
      <c r="J698">
        <v>4.6100000000000003</v>
      </c>
    </row>
    <row r="699" spans="1:10" x14ac:dyDescent="0.25">
      <c r="A699">
        <v>45407</v>
      </c>
      <c r="B699" t="s">
        <v>19</v>
      </c>
      <c r="C699" t="s">
        <v>24</v>
      </c>
      <c r="D699" t="s">
        <v>14</v>
      </c>
      <c r="E699">
        <v>427</v>
      </c>
      <c r="F699">
        <v>34403628.219999999</v>
      </c>
      <c r="G699">
        <v>8330543.75</v>
      </c>
      <c r="H699">
        <v>26073084.469999999</v>
      </c>
      <c r="I699">
        <v>1.89</v>
      </c>
      <c r="J699">
        <v>4.87</v>
      </c>
    </row>
    <row r="700" spans="1:10" x14ac:dyDescent="0.25">
      <c r="A700">
        <v>44029</v>
      </c>
      <c r="B700" t="s">
        <v>19</v>
      </c>
      <c r="C700" t="s">
        <v>22</v>
      </c>
      <c r="D700" t="s">
        <v>17</v>
      </c>
      <c r="E700">
        <v>401</v>
      </c>
      <c r="F700">
        <v>31378119.800000001</v>
      </c>
      <c r="G700">
        <v>8583694.2899999991</v>
      </c>
      <c r="H700">
        <v>22794425.510000002</v>
      </c>
      <c r="I700">
        <v>2.1800000000000002</v>
      </c>
      <c r="J700">
        <v>3.91</v>
      </c>
    </row>
    <row r="701" spans="1:10" x14ac:dyDescent="0.25">
      <c r="A701">
        <v>45135</v>
      </c>
      <c r="B701" t="s">
        <v>19</v>
      </c>
      <c r="C701" t="s">
        <v>20</v>
      </c>
      <c r="D701" t="s">
        <v>14</v>
      </c>
      <c r="E701">
        <v>385</v>
      </c>
      <c r="F701">
        <v>32031064</v>
      </c>
      <c r="G701">
        <v>12155353.4</v>
      </c>
      <c r="H701">
        <v>19875710.59</v>
      </c>
      <c r="I701">
        <v>2.27</v>
      </c>
      <c r="J701">
        <v>4.33</v>
      </c>
    </row>
    <row r="702" spans="1:10" x14ac:dyDescent="0.25">
      <c r="A702">
        <v>44165</v>
      </c>
      <c r="B702" t="s">
        <v>19</v>
      </c>
      <c r="C702" t="s">
        <v>21</v>
      </c>
      <c r="D702" t="s">
        <v>14</v>
      </c>
      <c r="E702">
        <v>84</v>
      </c>
      <c r="F702">
        <v>4551872.1500000004</v>
      </c>
      <c r="G702">
        <v>1345898.11</v>
      </c>
      <c r="H702">
        <v>3205974.04</v>
      </c>
      <c r="I702">
        <v>4.08</v>
      </c>
      <c r="J702">
        <v>4.83</v>
      </c>
    </row>
    <row r="703" spans="1:10" x14ac:dyDescent="0.25">
      <c r="A703">
        <v>44176</v>
      </c>
      <c r="B703" t="s">
        <v>19</v>
      </c>
      <c r="C703" t="s">
        <v>22</v>
      </c>
      <c r="D703" t="s">
        <v>12</v>
      </c>
      <c r="E703">
        <v>125</v>
      </c>
      <c r="F703">
        <v>10279004.42</v>
      </c>
      <c r="G703">
        <v>2573131.14</v>
      </c>
      <c r="H703">
        <v>7705873.2800000003</v>
      </c>
      <c r="I703">
        <v>2.48</v>
      </c>
      <c r="J703">
        <v>4.42</v>
      </c>
    </row>
    <row r="704" spans="1:10" x14ac:dyDescent="0.25">
      <c r="A704">
        <v>44736</v>
      </c>
      <c r="B704" t="s">
        <v>19</v>
      </c>
      <c r="C704" t="s">
        <v>23</v>
      </c>
      <c r="D704" t="s">
        <v>14</v>
      </c>
      <c r="E704">
        <v>334</v>
      </c>
      <c r="F704">
        <v>20125306.219999999</v>
      </c>
      <c r="G704">
        <v>6395445.54</v>
      </c>
      <c r="H704">
        <v>13729860.689999999</v>
      </c>
      <c r="I704">
        <v>3.75</v>
      </c>
      <c r="J704">
        <v>4.08</v>
      </c>
    </row>
    <row r="705" spans="1:10" x14ac:dyDescent="0.25">
      <c r="A705">
        <v>44768</v>
      </c>
      <c r="B705" t="s">
        <v>19</v>
      </c>
      <c r="C705" t="s">
        <v>22</v>
      </c>
      <c r="D705" t="s">
        <v>17</v>
      </c>
      <c r="E705">
        <v>161</v>
      </c>
      <c r="F705">
        <v>6675916.7599999998</v>
      </c>
      <c r="G705">
        <v>2449681.61</v>
      </c>
      <c r="H705">
        <v>4226235.16</v>
      </c>
      <c r="I705">
        <v>0.51</v>
      </c>
      <c r="J705">
        <v>4.58</v>
      </c>
    </row>
    <row r="706" spans="1:10" x14ac:dyDescent="0.25">
      <c r="A706">
        <v>44270</v>
      </c>
      <c r="B706" t="s">
        <v>19</v>
      </c>
      <c r="C706" t="s">
        <v>22</v>
      </c>
      <c r="D706" t="s">
        <v>14</v>
      </c>
      <c r="E706">
        <v>183</v>
      </c>
      <c r="F706">
        <v>14350635.029999999</v>
      </c>
      <c r="G706">
        <v>4888438.54</v>
      </c>
      <c r="H706">
        <v>9462196.4900000002</v>
      </c>
      <c r="I706">
        <v>2.94</v>
      </c>
      <c r="J706">
        <v>4.0199999999999996</v>
      </c>
    </row>
    <row r="707" spans="1:10" x14ac:dyDescent="0.25">
      <c r="A707">
        <v>44030</v>
      </c>
      <c r="B707" t="s">
        <v>19</v>
      </c>
      <c r="C707" t="s">
        <v>20</v>
      </c>
      <c r="D707" t="s">
        <v>12</v>
      </c>
      <c r="E707">
        <v>175</v>
      </c>
      <c r="F707">
        <v>7720326.2000000002</v>
      </c>
      <c r="G707">
        <v>1712591.42</v>
      </c>
      <c r="H707">
        <v>6007734.79</v>
      </c>
      <c r="I707">
        <v>1.59</v>
      </c>
      <c r="J707">
        <v>4.03</v>
      </c>
    </row>
    <row r="708" spans="1:10" x14ac:dyDescent="0.25">
      <c r="A708">
        <v>44278</v>
      </c>
      <c r="B708" t="s">
        <v>19</v>
      </c>
      <c r="C708" t="s">
        <v>21</v>
      </c>
      <c r="D708" t="s">
        <v>12</v>
      </c>
      <c r="E708">
        <v>164</v>
      </c>
      <c r="F708">
        <v>7745698.9699999997</v>
      </c>
      <c r="G708">
        <v>2293928.14</v>
      </c>
      <c r="H708">
        <v>5451770.8300000001</v>
      </c>
      <c r="I708">
        <v>3.23</v>
      </c>
      <c r="J708">
        <v>3.87</v>
      </c>
    </row>
    <row r="709" spans="1:10" x14ac:dyDescent="0.25">
      <c r="A709">
        <v>43965</v>
      </c>
      <c r="B709" t="s">
        <v>19</v>
      </c>
      <c r="C709" t="s">
        <v>20</v>
      </c>
      <c r="D709" t="s">
        <v>14</v>
      </c>
      <c r="E709">
        <v>296</v>
      </c>
      <c r="F709">
        <v>14327915.98</v>
      </c>
      <c r="G709">
        <v>4964334.04</v>
      </c>
      <c r="H709">
        <v>9363581.9399999995</v>
      </c>
      <c r="I709">
        <v>2.0099999999999998</v>
      </c>
      <c r="J709">
        <v>4.62</v>
      </c>
    </row>
    <row r="710" spans="1:10" x14ac:dyDescent="0.25">
      <c r="A710">
        <v>44347</v>
      </c>
      <c r="B710" t="s">
        <v>19</v>
      </c>
      <c r="C710" t="s">
        <v>21</v>
      </c>
      <c r="D710" t="s">
        <v>14</v>
      </c>
      <c r="E710">
        <v>201</v>
      </c>
      <c r="F710">
        <v>13848201.869999999</v>
      </c>
      <c r="G710">
        <v>3996927.73</v>
      </c>
      <c r="H710">
        <v>9851274.1400000006</v>
      </c>
      <c r="I710">
        <v>2.37</v>
      </c>
      <c r="J710">
        <v>4.1399999999999997</v>
      </c>
    </row>
    <row r="711" spans="1:10" x14ac:dyDescent="0.25">
      <c r="A711">
        <v>44412</v>
      </c>
      <c r="B711" t="s">
        <v>19</v>
      </c>
      <c r="C711" t="s">
        <v>20</v>
      </c>
      <c r="D711" t="s">
        <v>14</v>
      </c>
      <c r="E711">
        <v>68</v>
      </c>
      <c r="F711">
        <v>4919379.5599999996</v>
      </c>
      <c r="G711">
        <v>1562528.03</v>
      </c>
      <c r="H711">
        <v>3356851.54</v>
      </c>
      <c r="I711">
        <v>3.89</v>
      </c>
      <c r="J711">
        <v>3.81</v>
      </c>
    </row>
    <row r="712" spans="1:10" x14ac:dyDescent="0.25">
      <c r="A712">
        <v>44634</v>
      </c>
      <c r="B712" t="s">
        <v>19</v>
      </c>
      <c r="C712" t="s">
        <v>23</v>
      </c>
      <c r="D712" t="s">
        <v>14</v>
      </c>
      <c r="E712">
        <v>403</v>
      </c>
      <c r="F712">
        <v>23236051.18</v>
      </c>
      <c r="G712">
        <v>5248898.6399999997</v>
      </c>
      <c r="H712">
        <v>17987152.530000001</v>
      </c>
      <c r="I712">
        <v>3.34</v>
      </c>
      <c r="J712">
        <v>4.3</v>
      </c>
    </row>
    <row r="713" spans="1:10" x14ac:dyDescent="0.25">
      <c r="A713">
        <v>44963</v>
      </c>
      <c r="B713" t="s">
        <v>19</v>
      </c>
      <c r="C713" t="s">
        <v>21</v>
      </c>
      <c r="D713" t="s">
        <v>17</v>
      </c>
      <c r="E713">
        <v>254</v>
      </c>
      <c r="F713">
        <v>18621882.98</v>
      </c>
      <c r="G713">
        <v>5602565.75</v>
      </c>
      <c r="H713">
        <v>13019317.23</v>
      </c>
      <c r="I713">
        <v>4.7</v>
      </c>
      <c r="J713">
        <v>4.16</v>
      </c>
    </row>
    <row r="714" spans="1:10" x14ac:dyDescent="0.25">
      <c r="A714">
        <v>43951</v>
      </c>
      <c r="B714" t="s">
        <v>19</v>
      </c>
      <c r="C714" t="s">
        <v>24</v>
      </c>
      <c r="D714" t="s">
        <v>17</v>
      </c>
      <c r="E714">
        <v>393</v>
      </c>
      <c r="F714">
        <v>28714171.879999999</v>
      </c>
      <c r="G714">
        <v>10301197.02</v>
      </c>
      <c r="H714">
        <v>18412974.859999999</v>
      </c>
      <c r="I714">
        <v>2.2599999999999998</v>
      </c>
      <c r="J714">
        <v>4.84</v>
      </c>
    </row>
    <row r="715" spans="1:10" x14ac:dyDescent="0.25">
      <c r="A715">
        <v>45586</v>
      </c>
      <c r="B715" t="s">
        <v>19</v>
      </c>
      <c r="C715" t="s">
        <v>24</v>
      </c>
      <c r="D715" t="s">
        <v>14</v>
      </c>
      <c r="E715">
        <v>56</v>
      </c>
      <c r="F715">
        <v>4340799.0999999996</v>
      </c>
      <c r="G715">
        <v>910315.9</v>
      </c>
      <c r="H715">
        <v>3430483.2</v>
      </c>
      <c r="I715">
        <v>3.99</v>
      </c>
      <c r="J715">
        <v>4.42</v>
      </c>
    </row>
    <row r="716" spans="1:10" x14ac:dyDescent="0.25">
      <c r="A716">
        <v>44453</v>
      </c>
      <c r="B716" t="s">
        <v>19</v>
      </c>
      <c r="C716" t="s">
        <v>21</v>
      </c>
      <c r="D716" t="s">
        <v>14</v>
      </c>
      <c r="E716">
        <v>220</v>
      </c>
      <c r="F716">
        <v>8535455.4700000007</v>
      </c>
      <c r="G716">
        <v>2604585.66</v>
      </c>
      <c r="H716">
        <v>5930869.7999999998</v>
      </c>
      <c r="I716">
        <v>3.02</v>
      </c>
      <c r="J716">
        <v>4.4400000000000004</v>
      </c>
    </row>
    <row r="717" spans="1:10" x14ac:dyDescent="0.25">
      <c r="A717">
        <v>44744</v>
      </c>
      <c r="B717" t="s">
        <v>19</v>
      </c>
      <c r="C717" t="s">
        <v>24</v>
      </c>
      <c r="D717" t="s">
        <v>17</v>
      </c>
      <c r="E717">
        <v>465</v>
      </c>
      <c r="F717">
        <v>34551950.609999999</v>
      </c>
      <c r="G717">
        <v>7728832.8499999996</v>
      </c>
      <c r="H717">
        <v>26823117.75</v>
      </c>
      <c r="I717">
        <v>3.79</v>
      </c>
      <c r="J717">
        <v>4.55</v>
      </c>
    </row>
    <row r="718" spans="1:10" x14ac:dyDescent="0.25">
      <c r="A718">
        <v>44868</v>
      </c>
      <c r="B718" t="s">
        <v>19</v>
      </c>
      <c r="C718" t="s">
        <v>20</v>
      </c>
      <c r="D718" t="s">
        <v>12</v>
      </c>
      <c r="E718">
        <v>361</v>
      </c>
      <c r="F718">
        <v>29236117</v>
      </c>
      <c r="G718">
        <v>6891605.54</v>
      </c>
      <c r="H718">
        <v>22344511.449999999</v>
      </c>
      <c r="I718">
        <v>4.29</v>
      </c>
      <c r="J718">
        <v>4.2300000000000004</v>
      </c>
    </row>
    <row r="719" spans="1:10" x14ac:dyDescent="0.25">
      <c r="A719">
        <v>43844</v>
      </c>
      <c r="B719" t="s">
        <v>19</v>
      </c>
      <c r="C719" t="s">
        <v>20</v>
      </c>
      <c r="D719" t="s">
        <v>14</v>
      </c>
      <c r="E719">
        <v>484</v>
      </c>
      <c r="F719">
        <v>24540243.73</v>
      </c>
      <c r="G719">
        <v>7207089.7199999997</v>
      </c>
      <c r="H719">
        <v>17333154.010000002</v>
      </c>
      <c r="I719">
        <v>2.8</v>
      </c>
      <c r="J719">
        <v>4.7300000000000004</v>
      </c>
    </row>
    <row r="720" spans="1:10" x14ac:dyDescent="0.25">
      <c r="A720">
        <v>45426</v>
      </c>
      <c r="B720" t="s">
        <v>19</v>
      </c>
      <c r="C720" t="s">
        <v>22</v>
      </c>
      <c r="D720" t="s">
        <v>14</v>
      </c>
      <c r="E720">
        <v>474</v>
      </c>
      <c r="F720">
        <v>39598335.990000002</v>
      </c>
      <c r="G720">
        <v>12146316.32</v>
      </c>
      <c r="H720">
        <v>27452019.670000002</v>
      </c>
      <c r="I720">
        <v>0.84</v>
      </c>
      <c r="J720">
        <v>4.08</v>
      </c>
    </row>
    <row r="721" spans="1:10" x14ac:dyDescent="0.25">
      <c r="A721">
        <v>45479</v>
      </c>
      <c r="B721" t="s">
        <v>19</v>
      </c>
      <c r="C721" t="s">
        <v>21</v>
      </c>
      <c r="D721" t="s">
        <v>12</v>
      </c>
      <c r="E721">
        <v>281</v>
      </c>
      <c r="F721">
        <v>10074681.25</v>
      </c>
      <c r="G721">
        <v>3463913.25</v>
      </c>
      <c r="H721">
        <v>6610768</v>
      </c>
      <c r="I721">
        <v>1.44</v>
      </c>
      <c r="J721">
        <v>3.56</v>
      </c>
    </row>
    <row r="722" spans="1:10" x14ac:dyDescent="0.25">
      <c r="A722">
        <v>45651</v>
      </c>
      <c r="B722" t="s">
        <v>19</v>
      </c>
      <c r="C722" t="s">
        <v>24</v>
      </c>
      <c r="D722" t="s">
        <v>17</v>
      </c>
      <c r="E722">
        <v>55</v>
      </c>
      <c r="F722">
        <v>3102949.94</v>
      </c>
      <c r="G722">
        <v>904968.55</v>
      </c>
      <c r="H722">
        <v>2197981.39</v>
      </c>
      <c r="I722">
        <v>4.8600000000000003</v>
      </c>
      <c r="J722">
        <v>3.6</v>
      </c>
    </row>
    <row r="723" spans="1:10" x14ac:dyDescent="0.25">
      <c r="A723">
        <v>43967</v>
      </c>
      <c r="B723" t="s">
        <v>19</v>
      </c>
      <c r="C723" t="s">
        <v>20</v>
      </c>
      <c r="D723" t="s">
        <v>17</v>
      </c>
      <c r="E723">
        <v>362</v>
      </c>
      <c r="F723">
        <v>32215793.190000001</v>
      </c>
      <c r="G723">
        <v>9983812.3800000008</v>
      </c>
      <c r="H723">
        <v>22231980.809999999</v>
      </c>
      <c r="I723">
        <v>2.81</v>
      </c>
      <c r="J723">
        <v>4.9800000000000004</v>
      </c>
    </row>
    <row r="724" spans="1:10" x14ac:dyDescent="0.25">
      <c r="A724">
        <v>44661</v>
      </c>
      <c r="B724" t="s">
        <v>19</v>
      </c>
      <c r="C724" t="s">
        <v>24</v>
      </c>
      <c r="D724" t="s">
        <v>14</v>
      </c>
      <c r="E724">
        <v>69</v>
      </c>
      <c r="F724">
        <v>6199307.0300000003</v>
      </c>
      <c r="G724">
        <v>1786566.78</v>
      </c>
      <c r="H724">
        <v>4412740.25</v>
      </c>
      <c r="I724">
        <v>1.95</v>
      </c>
      <c r="J724">
        <v>3.83</v>
      </c>
    </row>
    <row r="725" spans="1:10" x14ac:dyDescent="0.25">
      <c r="A725">
        <v>44452</v>
      </c>
      <c r="B725" t="s">
        <v>19</v>
      </c>
      <c r="C725" t="s">
        <v>21</v>
      </c>
      <c r="D725" t="s">
        <v>12</v>
      </c>
      <c r="E725">
        <v>231</v>
      </c>
      <c r="F725">
        <v>17349927.41</v>
      </c>
      <c r="G725">
        <v>4828800.79</v>
      </c>
      <c r="H725">
        <v>12521126.619999999</v>
      </c>
      <c r="I725">
        <v>3.68</v>
      </c>
      <c r="J725">
        <v>4.0599999999999996</v>
      </c>
    </row>
    <row r="726" spans="1:10" x14ac:dyDescent="0.25">
      <c r="A726">
        <v>43985</v>
      </c>
      <c r="B726" t="s">
        <v>19</v>
      </c>
      <c r="C726" t="s">
        <v>24</v>
      </c>
      <c r="D726" t="s">
        <v>12</v>
      </c>
      <c r="E726">
        <v>109</v>
      </c>
      <c r="F726">
        <v>8147812.8200000003</v>
      </c>
      <c r="G726">
        <v>2188943.35</v>
      </c>
      <c r="H726">
        <v>5958869.4800000004</v>
      </c>
      <c r="I726">
        <v>3.69</v>
      </c>
      <c r="J726">
        <v>3.51</v>
      </c>
    </row>
    <row r="727" spans="1:10" x14ac:dyDescent="0.25">
      <c r="A727">
        <v>45323</v>
      </c>
      <c r="B727" t="s">
        <v>19</v>
      </c>
      <c r="C727" t="s">
        <v>22</v>
      </c>
      <c r="D727" t="s">
        <v>17</v>
      </c>
      <c r="E727">
        <v>284</v>
      </c>
      <c r="F727">
        <v>22925963.57</v>
      </c>
      <c r="G727">
        <v>5308160.66</v>
      </c>
      <c r="H727">
        <v>17617802.91</v>
      </c>
      <c r="I727">
        <v>2.1800000000000002</v>
      </c>
      <c r="J727">
        <v>4.45</v>
      </c>
    </row>
    <row r="728" spans="1:10" x14ac:dyDescent="0.25">
      <c r="A728">
        <v>44528</v>
      </c>
      <c r="B728" t="s">
        <v>19</v>
      </c>
      <c r="C728" t="s">
        <v>24</v>
      </c>
      <c r="D728" t="s">
        <v>14</v>
      </c>
      <c r="E728">
        <v>366</v>
      </c>
      <c r="F728">
        <v>14897049.83</v>
      </c>
      <c r="G728">
        <v>5813848.7999999998</v>
      </c>
      <c r="H728">
        <v>9083201.0299999993</v>
      </c>
      <c r="I728">
        <v>3.11</v>
      </c>
      <c r="J728">
        <v>4.1399999999999997</v>
      </c>
    </row>
    <row r="729" spans="1:10" x14ac:dyDescent="0.25">
      <c r="A729">
        <v>45638</v>
      </c>
      <c r="B729" t="s">
        <v>19</v>
      </c>
      <c r="C729" t="s">
        <v>20</v>
      </c>
      <c r="D729" t="s">
        <v>12</v>
      </c>
      <c r="E729">
        <v>363</v>
      </c>
      <c r="F729">
        <v>28316830.940000001</v>
      </c>
      <c r="G729">
        <v>7069313.8799999999</v>
      </c>
      <c r="H729">
        <v>21247517.07</v>
      </c>
      <c r="I729">
        <v>4.1100000000000003</v>
      </c>
      <c r="J729">
        <v>4.28</v>
      </c>
    </row>
    <row r="730" spans="1:10" x14ac:dyDescent="0.25">
      <c r="A730">
        <v>44557</v>
      </c>
      <c r="B730" t="s">
        <v>19</v>
      </c>
      <c r="C730" t="s">
        <v>21</v>
      </c>
      <c r="D730" t="s">
        <v>14</v>
      </c>
      <c r="E730">
        <v>258</v>
      </c>
      <c r="F730">
        <v>9237574.9900000002</v>
      </c>
      <c r="G730">
        <v>3312146.74</v>
      </c>
      <c r="H730">
        <v>5925428.25</v>
      </c>
      <c r="I730">
        <v>3.71</v>
      </c>
      <c r="J730">
        <v>4.08</v>
      </c>
    </row>
    <row r="731" spans="1:10" x14ac:dyDescent="0.25">
      <c r="A731">
        <v>44033</v>
      </c>
      <c r="B731" t="s">
        <v>19</v>
      </c>
      <c r="C731" t="s">
        <v>23</v>
      </c>
      <c r="D731" t="s">
        <v>12</v>
      </c>
      <c r="E731">
        <v>141</v>
      </c>
      <c r="F731">
        <v>6447032.6799999997</v>
      </c>
      <c r="G731">
        <v>1430713.22</v>
      </c>
      <c r="H731">
        <v>5016319.46</v>
      </c>
      <c r="I731">
        <v>3.87</v>
      </c>
      <c r="J731">
        <v>4.8600000000000003</v>
      </c>
    </row>
    <row r="732" spans="1:10" x14ac:dyDescent="0.25">
      <c r="A732">
        <v>44612</v>
      </c>
      <c r="B732" t="s">
        <v>19</v>
      </c>
      <c r="C732" t="s">
        <v>21</v>
      </c>
      <c r="D732" t="s">
        <v>12</v>
      </c>
      <c r="E732">
        <v>264</v>
      </c>
      <c r="F732">
        <v>18030578.719999999</v>
      </c>
      <c r="G732">
        <v>5650195.1699999999</v>
      </c>
      <c r="H732">
        <v>12380383.550000001</v>
      </c>
      <c r="I732">
        <v>3.98</v>
      </c>
      <c r="J732">
        <v>4.78</v>
      </c>
    </row>
    <row r="733" spans="1:10" x14ac:dyDescent="0.25">
      <c r="A733">
        <v>44010</v>
      </c>
      <c r="B733" t="s">
        <v>19</v>
      </c>
      <c r="C733" t="s">
        <v>24</v>
      </c>
      <c r="D733" t="s">
        <v>14</v>
      </c>
      <c r="E733">
        <v>294</v>
      </c>
      <c r="F733">
        <v>20515767.710000001</v>
      </c>
      <c r="G733">
        <v>7564259.0899999999</v>
      </c>
      <c r="H733">
        <v>12951508.619999999</v>
      </c>
      <c r="I733">
        <v>2.63</v>
      </c>
      <c r="J733">
        <v>4.57</v>
      </c>
    </row>
    <row r="734" spans="1:10" x14ac:dyDescent="0.25">
      <c r="A734">
        <v>44917</v>
      </c>
      <c r="B734" t="s">
        <v>19</v>
      </c>
      <c r="C734" t="s">
        <v>22</v>
      </c>
      <c r="D734" t="s">
        <v>12</v>
      </c>
      <c r="E734">
        <v>103</v>
      </c>
      <c r="F734">
        <v>5792890.9400000004</v>
      </c>
      <c r="G734">
        <v>1635327.39</v>
      </c>
      <c r="H734">
        <v>4157563.54</v>
      </c>
      <c r="I734">
        <v>1.33</v>
      </c>
      <c r="J734">
        <v>4.4000000000000004</v>
      </c>
    </row>
    <row r="735" spans="1:10" x14ac:dyDescent="0.25">
      <c r="A735">
        <v>45004</v>
      </c>
      <c r="B735" t="s">
        <v>19</v>
      </c>
      <c r="C735" t="s">
        <v>24</v>
      </c>
      <c r="D735" t="s">
        <v>12</v>
      </c>
      <c r="E735">
        <v>435</v>
      </c>
      <c r="F735">
        <v>25389556.420000002</v>
      </c>
      <c r="G735">
        <v>5545899.1299999999</v>
      </c>
      <c r="H735">
        <v>19843657.280000001</v>
      </c>
      <c r="I735">
        <v>2.78</v>
      </c>
      <c r="J735">
        <v>3.78</v>
      </c>
    </row>
    <row r="736" spans="1:10" x14ac:dyDescent="0.25">
      <c r="A736">
        <v>44171</v>
      </c>
      <c r="B736" t="s">
        <v>19</v>
      </c>
      <c r="C736" t="s">
        <v>23</v>
      </c>
      <c r="D736" t="s">
        <v>17</v>
      </c>
      <c r="E736">
        <v>130</v>
      </c>
      <c r="F736">
        <v>8730376.8399999999</v>
      </c>
      <c r="G736">
        <v>3258786.75</v>
      </c>
      <c r="H736">
        <v>5471590.0999999996</v>
      </c>
      <c r="I736">
        <v>2.5</v>
      </c>
      <c r="J736">
        <v>4.18</v>
      </c>
    </row>
    <row r="737" spans="1:10" x14ac:dyDescent="0.25">
      <c r="A737">
        <v>44291</v>
      </c>
      <c r="B737" t="s">
        <v>19</v>
      </c>
      <c r="C737" t="s">
        <v>23</v>
      </c>
      <c r="D737" t="s">
        <v>14</v>
      </c>
      <c r="E737">
        <v>367</v>
      </c>
      <c r="F737">
        <v>28917133.68</v>
      </c>
      <c r="G737">
        <v>9994073.4800000004</v>
      </c>
      <c r="H737">
        <v>18923060.199999999</v>
      </c>
      <c r="I737">
        <v>3.62</v>
      </c>
      <c r="J737">
        <v>3.9</v>
      </c>
    </row>
    <row r="738" spans="1:10" x14ac:dyDescent="0.25">
      <c r="A738">
        <v>45584</v>
      </c>
      <c r="B738" t="s">
        <v>19</v>
      </c>
      <c r="C738" t="s">
        <v>22</v>
      </c>
      <c r="D738" t="s">
        <v>17</v>
      </c>
      <c r="E738">
        <v>215</v>
      </c>
      <c r="F738">
        <v>16372853.23</v>
      </c>
      <c r="G738">
        <v>5812225.7699999996</v>
      </c>
      <c r="H738">
        <v>10560627.460000001</v>
      </c>
      <c r="I738">
        <v>2.88</v>
      </c>
      <c r="J738">
        <v>4.74</v>
      </c>
    </row>
    <row r="739" spans="1:10" x14ac:dyDescent="0.25">
      <c r="A739">
        <v>44437</v>
      </c>
      <c r="B739" t="s">
        <v>19</v>
      </c>
      <c r="C739" t="s">
        <v>21</v>
      </c>
      <c r="D739" t="s">
        <v>12</v>
      </c>
      <c r="E739">
        <v>454</v>
      </c>
      <c r="F739">
        <v>33235184.739999998</v>
      </c>
      <c r="G739">
        <v>11840263.140000001</v>
      </c>
      <c r="H739">
        <v>21394921.609999999</v>
      </c>
      <c r="I739">
        <v>3.18</v>
      </c>
      <c r="J739">
        <v>3.9</v>
      </c>
    </row>
    <row r="740" spans="1:10" x14ac:dyDescent="0.25">
      <c r="A740">
        <v>44371</v>
      </c>
      <c r="B740" t="s">
        <v>19</v>
      </c>
      <c r="C740" t="s">
        <v>23</v>
      </c>
      <c r="D740" t="s">
        <v>14</v>
      </c>
      <c r="E740">
        <v>486</v>
      </c>
      <c r="F740">
        <v>38793338.939999998</v>
      </c>
      <c r="G740">
        <v>9480896.1799999997</v>
      </c>
      <c r="H740">
        <v>29312442.760000002</v>
      </c>
      <c r="I740">
        <v>3.92</v>
      </c>
      <c r="J740">
        <v>3.78</v>
      </c>
    </row>
    <row r="741" spans="1:10" x14ac:dyDescent="0.25">
      <c r="A741">
        <v>44813</v>
      </c>
      <c r="B741" t="s">
        <v>19</v>
      </c>
      <c r="C741" t="s">
        <v>21</v>
      </c>
      <c r="D741" t="s">
        <v>17</v>
      </c>
      <c r="E741">
        <v>389</v>
      </c>
      <c r="F741">
        <v>30167510.579999998</v>
      </c>
      <c r="G741">
        <v>7554918.6100000003</v>
      </c>
      <c r="H741">
        <v>22612591.969999999</v>
      </c>
      <c r="I741">
        <v>1.18</v>
      </c>
      <c r="J741">
        <v>3.83</v>
      </c>
    </row>
    <row r="742" spans="1:10" x14ac:dyDescent="0.25">
      <c r="A742">
        <v>44939</v>
      </c>
      <c r="B742" t="s">
        <v>19</v>
      </c>
      <c r="C742" t="s">
        <v>21</v>
      </c>
      <c r="D742" t="s">
        <v>12</v>
      </c>
      <c r="E742">
        <v>214</v>
      </c>
      <c r="F742">
        <v>10545214.810000001</v>
      </c>
      <c r="G742">
        <v>4147060.94</v>
      </c>
      <c r="H742">
        <v>6398153.8700000001</v>
      </c>
      <c r="I742">
        <v>4.46</v>
      </c>
      <c r="J742">
        <v>3.87</v>
      </c>
    </row>
    <row r="743" spans="1:10" x14ac:dyDescent="0.25">
      <c r="A743">
        <v>44247</v>
      </c>
      <c r="B743" t="s">
        <v>19</v>
      </c>
      <c r="C743" t="s">
        <v>24</v>
      </c>
      <c r="D743" t="s">
        <v>12</v>
      </c>
      <c r="E743">
        <v>54</v>
      </c>
      <c r="F743">
        <v>3761218.44</v>
      </c>
      <c r="G743">
        <v>858971.73</v>
      </c>
      <c r="H743">
        <v>2902246.71</v>
      </c>
      <c r="I743">
        <v>4.03</v>
      </c>
      <c r="J743">
        <v>4.1399999999999997</v>
      </c>
    </row>
    <row r="744" spans="1:10" x14ac:dyDescent="0.25">
      <c r="A744">
        <v>45317</v>
      </c>
      <c r="B744" t="s">
        <v>19</v>
      </c>
      <c r="C744" t="s">
        <v>21</v>
      </c>
      <c r="D744" t="s">
        <v>12</v>
      </c>
      <c r="E744">
        <v>415</v>
      </c>
      <c r="F744">
        <v>34796297.659999996</v>
      </c>
      <c r="G744">
        <v>11654737.23</v>
      </c>
      <c r="H744">
        <v>23141560.43</v>
      </c>
      <c r="I744">
        <v>4.55</v>
      </c>
      <c r="J744">
        <v>4.99</v>
      </c>
    </row>
    <row r="745" spans="1:10" x14ac:dyDescent="0.25">
      <c r="A745">
        <v>44031</v>
      </c>
      <c r="B745" t="s">
        <v>19</v>
      </c>
      <c r="C745" t="s">
        <v>20</v>
      </c>
      <c r="D745" t="s">
        <v>17</v>
      </c>
      <c r="E745">
        <v>279</v>
      </c>
      <c r="F745">
        <v>11212454.359999999</v>
      </c>
      <c r="G745">
        <v>2807587.95</v>
      </c>
      <c r="H745">
        <v>8404866.4100000001</v>
      </c>
      <c r="I745">
        <v>4.16</v>
      </c>
      <c r="J745">
        <v>4.5599999999999996</v>
      </c>
    </row>
    <row r="746" spans="1:10" x14ac:dyDescent="0.25">
      <c r="A746">
        <v>45363</v>
      </c>
      <c r="B746" t="s">
        <v>19</v>
      </c>
      <c r="C746" t="s">
        <v>20</v>
      </c>
      <c r="D746" t="s">
        <v>12</v>
      </c>
      <c r="E746">
        <v>87</v>
      </c>
      <c r="F746">
        <v>3499182.33</v>
      </c>
      <c r="G746">
        <v>700611.46</v>
      </c>
      <c r="H746">
        <v>2798570.87</v>
      </c>
      <c r="I746">
        <v>1.97</v>
      </c>
      <c r="J746">
        <v>4.62</v>
      </c>
    </row>
    <row r="747" spans="1:10" x14ac:dyDescent="0.25">
      <c r="A747">
        <v>44951</v>
      </c>
      <c r="B747" t="s">
        <v>19</v>
      </c>
      <c r="C747" t="s">
        <v>20</v>
      </c>
      <c r="D747" t="s">
        <v>12</v>
      </c>
      <c r="E747">
        <v>110</v>
      </c>
      <c r="F747">
        <v>9041040.7899999991</v>
      </c>
      <c r="G747">
        <v>1812496.69</v>
      </c>
      <c r="H747">
        <v>7228544.0999999996</v>
      </c>
      <c r="I747">
        <v>1.59</v>
      </c>
      <c r="J747">
        <v>3.56</v>
      </c>
    </row>
    <row r="748" spans="1:10" x14ac:dyDescent="0.25">
      <c r="A748">
        <v>45652</v>
      </c>
      <c r="B748" t="s">
        <v>19</v>
      </c>
      <c r="C748" t="s">
        <v>21</v>
      </c>
      <c r="D748" t="s">
        <v>12</v>
      </c>
      <c r="E748">
        <v>302</v>
      </c>
      <c r="F748">
        <v>15853714.859999999</v>
      </c>
      <c r="G748">
        <v>3293896.48</v>
      </c>
      <c r="H748">
        <v>12559818.380000001</v>
      </c>
      <c r="I748">
        <v>4.51</v>
      </c>
      <c r="J748">
        <v>4.7699999999999996</v>
      </c>
    </row>
    <row r="749" spans="1:10" x14ac:dyDescent="0.25">
      <c r="A749">
        <v>44033</v>
      </c>
      <c r="B749" t="s">
        <v>19</v>
      </c>
      <c r="C749" t="s">
        <v>21</v>
      </c>
      <c r="D749" t="s">
        <v>17</v>
      </c>
      <c r="E749">
        <v>487</v>
      </c>
      <c r="F749">
        <v>32210149.809999999</v>
      </c>
      <c r="G749">
        <v>10869134.75</v>
      </c>
      <c r="H749">
        <v>21341015.07</v>
      </c>
      <c r="I749">
        <v>3.44</v>
      </c>
      <c r="J749">
        <v>3.85</v>
      </c>
    </row>
    <row r="750" spans="1:10" x14ac:dyDescent="0.25">
      <c r="A750">
        <v>45454</v>
      </c>
      <c r="B750" t="s">
        <v>19</v>
      </c>
      <c r="C750" t="s">
        <v>21</v>
      </c>
      <c r="D750" t="s">
        <v>12</v>
      </c>
      <c r="E750">
        <v>215</v>
      </c>
      <c r="F750">
        <v>7727796.1699999999</v>
      </c>
      <c r="G750">
        <v>1674453.77</v>
      </c>
      <c r="H750">
        <v>6053342.4000000004</v>
      </c>
      <c r="I750">
        <v>3.68</v>
      </c>
      <c r="J750">
        <v>3.96</v>
      </c>
    </row>
    <row r="751" spans="1:10" x14ac:dyDescent="0.25">
      <c r="A751">
        <v>45532</v>
      </c>
      <c r="B751" t="s">
        <v>19</v>
      </c>
      <c r="C751" t="s">
        <v>22</v>
      </c>
      <c r="D751" t="s">
        <v>14</v>
      </c>
      <c r="E751">
        <v>232</v>
      </c>
      <c r="F751">
        <v>18801646.449999999</v>
      </c>
      <c r="G751">
        <v>5191036.0599999996</v>
      </c>
      <c r="H751">
        <v>13610610.390000001</v>
      </c>
      <c r="I751">
        <v>3.04</v>
      </c>
      <c r="J751">
        <v>4.4400000000000004</v>
      </c>
    </row>
    <row r="752" spans="1:10" x14ac:dyDescent="0.25">
      <c r="A752">
        <v>45629</v>
      </c>
      <c r="B752" t="s">
        <v>19</v>
      </c>
      <c r="C752" t="s">
        <v>21</v>
      </c>
      <c r="D752" t="s">
        <v>14</v>
      </c>
      <c r="E752">
        <v>390</v>
      </c>
      <c r="F752">
        <v>22280084.789999999</v>
      </c>
      <c r="G752">
        <v>7171542.1799999997</v>
      </c>
      <c r="H752">
        <v>15108542.609999999</v>
      </c>
      <c r="I752">
        <v>0.81</v>
      </c>
      <c r="J752">
        <v>4.46</v>
      </c>
    </row>
    <row r="753" spans="1:10" x14ac:dyDescent="0.25">
      <c r="A753">
        <v>44772</v>
      </c>
      <c r="B753" t="s">
        <v>19</v>
      </c>
      <c r="C753" t="s">
        <v>21</v>
      </c>
      <c r="D753" t="s">
        <v>17</v>
      </c>
      <c r="E753">
        <v>68</v>
      </c>
      <c r="F753">
        <v>4034178.83</v>
      </c>
      <c r="G753">
        <v>1042918.33</v>
      </c>
      <c r="H753">
        <v>2991260.5</v>
      </c>
      <c r="I753">
        <v>2.25</v>
      </c>
      <c r="J753">
        <v>3.84</v>
      </c>
    </row>
    <row r="754" spans="1:10" x14ac:dyDescent="0.25">
      <c r="A754">
        <v>45553</v>
      </c>
      <c r="B754" t="s">
        <v>19</v>
      </c>
      <c r="C754" t="s">
        <v>21</v>
      </c>
      <c r="D754" t="s">
        <v>17</v>
      </c>
      <c r="E754">
        <v>260</v>
      </c>
      <c r="F754">
        <v>21518274.27</v>
      </c>
      <c r="G754">
        <v>6975675.1200000001</v>
      </c>
      <c r="H754">
        <v>14542599.15</v>
      </c>
      <c r="I754">
        <v>2.17</v>
      </c>
      <c r="J754">
        <v>4.43</v>
      </c>
    </row>
    <row r="755" spans="1:10" x14ac:dyDescent="0.25">
      <c r="A755">
        <v>45169</v>
      </c>
      <c r="B755" t="s">
        <v>19</v>
      </c>
      <c r="C755" t="s">
        <v>24</v>
      </c>
      <c r="D755" t="s">
        <v>17</v>
      </c>
      <c r="E755">
        <v>240</v>
      </c>
      <c r="F755">
        <v>11193593.859999999</v>
      </c>
      <c r="G755">
        <v>2248499.4900000002</v>
      </c>
      <c r="H755">
        <v>8945094.3699999992</v>
      </c>
      <c r="I755">
        <v>4.92</v>
      </c>
      <c r="J755">
        <v>4.47</v>
      </c>
    </row>
    <row r="756" spans="1:10" x14ac:dyDescent="0.25">
      <c r="A756">
        <v>44646</v>
      </c>
      <c r="B756" t="s">
        <v>19</v>
      </c>
      <c r="C756" t="s">
        <v>23</v>
      </c>
      <c r="D756" t="s">
        <v>14</v>
      </c>
      <c r="E756">
        <v>162</v>
      </c>
      <c r="F756">
        <v>9778997.0899999999</v>
      </c>
      <c r="G756">
        <v>2073280.78</v>
      </c>
      <c r="H756">
        <v>7705716.3099999996</v>
      </c>
      <c r="I756">
        <v>2.77</v>
      </c>
      <c r="J756">
        <v>4.92</v>
      </c>
    </row>
    <row r="757" spans="1:10" x14ac:dyDescent="0.25">
      <c r="A757">
        <v>44286</v>
      </c>
      <c r="B757" t="s">
        <v>19</v>
      </c>
      <c r="C757" t="s">
        <v>22</v>
      </c>
      <c r="D757" t="s">
        <v>14</v>
      </c>
      <c r="E757">
        <v>238</v>
      </c>
      <c r="F757">
        <v>17162952.699999999</v>
      </c>
      <c r="G757">
        <v>4539492.47</v>
      </c>
      <c r="H757">
        <v>12623460.220000001</v>
      </c>
      <c r="I757">
        <v>2.1800000000000002</v>
      </c>
      <c r="J757">
        <v>4.91</v>
      </c>
    </row>
    <row r="758" spans="1:10" x14ac:dyDescent="0.25">
      <c r="A758">
        <v>44233</v>
      </c>
      <c r="B758" t="s">
        <v>19</v>
      </c>
      <c r="C758" t="s">
        <v>22</v>
      </c>
      <c r="D758" t="s">
        <v>14</v>
      </c>
      <c r="E758">
        <v>326</v>
      </c>
      <c r="F758">
        <v>22735368.23</v>
      </c>
      <c r="G758">
        <v>8846828.5500000007</v>
      </c>
      <c r="H758">
        <v>13888539.67</v>
      </c>
      <c r="I758">
        <v>3.4</v>
      </c>
      <c r="J758">
        <v>4.96</v>
      </c>
    </row>
    <row r="759" spans="1:10" x14ac:dyDescent="0.25">
      <c r="A759">
        <v>45293</v>
      </c>
      <c r="B759" t="s">
        <v>19</v>
      </c>
      <c r="C759" t="s">
        <v>20</v>
      </c>
      <c r="D759" t="s">
        <v>12</v>
      </c>
      <c r="E759">
        <v>231</v>
      </c>
      <c r="F759">
        <v>11582536.75</v>
      </c>
      <c r="G759">
        <v>4271161.04</v>
      </c>
      <c r="H759">
        <v>7311375.7199999997</v>
      </c>
      <c r="I759">
        <v>3.36</v>
      </c>
      <c r="J759">
        <v>4.4000000000000004</v>
      </c>
    </row>
    <row r="760" spans="1:10" x14ac:dyDescent="0.25">
      <c r="A760">
        <v>44041</v>
      </c>
      <c r="B760" t="s">
        <v>19</v>
      </c>
      <c r="C760" t="s">
        <v>20</v>
      </c>
      <c r="D760" t="s">
        <v>17</v>
      </c>
      <c r="E760">
        <v>192</v>
      </c>
      <c r="F760">
        <v>8875998.8599999994</v>
      </c>
      <c r="G760">
        <v>3475233.54</v>
      </c>
      <c r="H760">
        <v>5400765.3200000003</v>
      </c>
      <c r="I760">
        <v>3.11</v>
      </c>
      <c r="J760">
        <v>4.18</v>
      </c>
    </row>
    <row r="761" spans="1:10" x14ac:dyDescent="0.25">
      <c r="A761">
        <v>45515</v>
      </c>
      <c r="B761" t="s">
        <v>19</v>
      </c>
      <c r="C761" t="s">
        <v>24</v>
      </c>
      <c r="D761" t="s">
        <v>12</v>
      </c>
      <c r="E761">
        <v>479</v>
      </c>
      <c r="F761">
        <v>21236495.449999999</v>
      </c>
      <c r="G761">
        <v>8413284.1999999993</v>
      </c>
      <c r="H761">
        <v>12823211.25</v>
      </c>
      <c r="I761">
        <v>4.01</v>
      </c>
      <c r="J761">
        <v>4.41</v>
      </c>
    </row>
    <row r="762" spans="1:10" x14ac:dyDescent="0.25">
      <c r="A762">
        <v>44841</v>
      </c>
      <c r="B762" t="s">
        <v>19</v>
      </c>
      <c r="C762" t="s">
        <v>23</v>
      </c>
      <c r="D762" t="s">
        <v>12</v>
      </c>
      <c r="E762">
        <v>92</v>
      </c>
      <c r="F762">
        <v>5515109.7400000002</v>
      </c>
      <c r="G762">
        <v>1704309.61</v>
      </c>
      <c r="H762">
        <v>3810800.13</v>
      </c>
      <c r="I762">
        <v>3.59</v>
      </c>
      <c r="J762">
        <v>4.87</v>
      </c>
    </row>
    <row r="763" spans="1:10" x14ac:dyDescent="0.25">
      <c r="A763">
        <v>44329</v>
      </c>
      <c r="B763" t="s">
        <v>19</v>
      </c>
      <c r="C763" t="s">
        <v>23</v>
      </c>
      <c r="D763" t="s">
        <v>17</v>
      </c>
      <c r="E763">
        <v>205</v>
      </c>
      <c r="F763">
        <v>12682788.26</v>
      </c>
      <c r="G763">
        <v>4053705.25</v>
      </c>
      <c r="H763">
        <v>8629083.0099999998</v>
      </c>
      <c r="I763">
        <v>1.19</v>
      </c>
      <c r="J763">
        <v>4.3600000000000003</v>
      </c>
    </row>
    <row r="764" spans="1:10" x14ac:dyDescent="0.25">
      <c r="A764">
        <v>44454</v>
      </c>
      <c r="B764" t="s">
        <v>19</v>
      </c>
      <c r="C764" t="s">
        <v>20</v>
      </c>
      <c r="D764" t="s">
        <v>12</v>
      </c>
      <c r="E764">
        <v>279</v>
      </c>
      <c r="F764">
        <v>19625353.43</v>
      </c>
      <c r="G764">
        <v>7541796.3300000001</v>
      </c>
      <c r="H764">
        <v>12083557.1</v>
      </c>
      <c r="I764">
        <v>3.83</v>
      </c>
      <c r="J764">
        <v>3.64</v>
      </c>
    </row>
    <row r="765" spans="1:10" x14ac:dyDescent="0.25">
      <c r="A765">
        <v>45103</v>
      </c>
      <c r="B765" t="s">
        <v>19</v>
      </c>
      <c r="C765" t="s">
        <v>24</v>
      </c>
      <c r="D765" t="s">
        <v>14</v>
      </c>
      <c r="E765">
        <v>348</v>
      </c>
      <c r="F765">
        <v>13175076.199999999</v>
      </c>
      <c r="G765">
        <v>5186385.17</v>
      </c>
      <c r="H765">
        <v>7988691.0199999996</v>
      </c>
      <c r="I765">
        <v>2.41</v>
      </c>
      <c r="J765">
        <v>3.63</v>
      </c>
    </row>
    <row r="766" spans="1:10" x14ac:dyDescent="0.25">
      <c r="A766">
        <v>44790</v>
      </c>
      <c r="B766" t="s">
        <v>19</v>
      </c>
      <c r="C766" t="s">
        <v>20</v>
      </c>
      <c r="D766" t="s">
        <v>17</v>
      </c>
      <c r="E766">
        <v>177</v>
      </c>
      <c r="F766">
        <v>12194821.58</v>
      </c>
      <c r="G766">
        <v>4277245.82</v>
      </c>
      <c r="H766">
        <v>7917575.7599999998</v>
      </c>
      <c r="I766">
        <v>3.61</v>
      </c>
      <c r="J766">
        <v>4.4000000000000004</v>
      </c>
    </row>
    <row r="767" spans="1:10" x14ac:dyDescent="0.25">
      <c r="A767">
        <v>44914</v>
      </c>
      <c r="B767" t="s">
        <v>19</v>
      </c>
      <c r="C767" t="s">
        <v>22</v>
      </c>
      <c r="D767" t="s">
        <v>12</v>
      </c>
      <c r="E767">
        <v>94</v>
      </c>
      <c r="F767">
        <v>8336886.6600000001</v>
      </c>
      <c r="G767">
        <v>2195179.33</v>
      </c>
      <c r="H767">
        <v>6141707.3300000001</v>
      </c>
      <c r="I767">
        <v>2.19</v>
      </c>
      <c r="J767">
        <v>4.7</v>
      </c>
    </row>
    <row r="768" spans="1:10" x14ac:dyDescent="0.25">
      <c r="A768">
        <v>44069</v>
      </c>
      <c r="B768" t="s">
        <v>19</v>
      </c>
      <c r="C768" t="s">
        <v>21</v>
      </c>
      <c r="D768" t="s">
        <v>17</v>
      </c>
      <c r="E768">
        <v>305</v>
      </c>
      <c r="F768">
        <v>24139291.239999998</v>
      </c>
      <c r="G768">
        <v>4841193.28</v>
      </c>
      <c r="H768">
        <v>19298097.960000001</v>
      </c>
      <c r="I768">
        <v>0.64</v>
      </c>
      <c r="J768">
        <v>4.8499999999999996</v>
      </c>
    </row>
    <row r="769" spans="1:10" x14ac:dyDescent="0.25">
      <c r="A769">
        <v>45011</v>
      </c>
      <c r="B769" t="s">
        <v>19</v>
      </c>
      <c r="C769" t="s">
        <v>24</v>
      </c>
      <c r="D769" t="s">
        <v>12</v>
      </c>
      <c r="E769">
        <v>288</v>
      </c>
      <c r="F769">
        <v>19632146.550000001</v>
      </c>
      <c r="G769">
        <v>5422432</v>
      </c>
      <c r="H769">
        <v>14209714.550000001</v>
      </c>
      <c r="I769">
        <v>4.7300000000000004</v>
      </c>
      <c r="J769">
        <v>4.66</v>
      </c>
    </row>
    <row r="770" spans="1:10" x14ac:dyDescent="0.25">
      <c r="A770">
        <v>45394</v>
      </c>
      <c r="B770" t="s">
        <v>19</v>
      </c>
      <c r="C770" t="s">
        <v>23</v>
      </c>
      <c r="D770" t="s">
        <v>14</v>
      </c>
      <c r="E770">
        <v>415</v>
      </c>
      <c r="F770">
        <v>22177744.32</v>
      </c>
      <c r="G770">
        <v>8573842.5999999996</v>
      </c>
      <c r="H770">
        <v>13603901.720000001</v>
      </c>
      <c r="I770">
        <v>4.8899999999999997</v>
      </c>
      <c r="J770">
        <v>4.7300000000000004</v>
      </c>
    </row>
    <row r="771" spans="1:10" x14ac:dyDescent="0.25">
      <c r="A771">
        <v>44742</v>
      </c>
      <c r="B771" t="s">
        <v>19</v>
      </c>
      <c r="C771" t="s">
        <v>24</v>
      </c>
      <c r="D771" t="s">
        <v>14</v>
      </c>
      <c r="E771">
        <v>113</v>
      </c>
      <c r="F771">
        <v>9498115.6400000006</v>
      </c>
      <c r="G771">
        <v>3217863.82</v>
      </c>
      <c r="H771">
        <v>6280251.8200000003</v>
      </c>
      <c r="I771">
        <v>2.98</v>
      </c>
      <c r="J771">
        <v>4.68</v>
      </c>
    </row>
    <row r="772" spans="1:10" x14ac:dyDescent="0.25">
      <c r="A772">
        <v>45643</v>
      </c>
      <c r="B772" t="s">
        <v>19</v>
      </c>
      <c r="C772" t="s">
        <v>22</v>
      </c>
      <c r="D772" t="s">
        <v>12</v>
      </c>
      <c r="E772">
        <v>120</v>
      </c>
      <c r="F772">
        <v>5591234.4699999997</v>
      </c>
      <c r="G772">
        <v>1980006.22</v>
      </c>
      <c r="H772">
        <v>3611228.25</v>
      </c>
      <c r="I772">
        <v>2.61</v>
      </c>
      <c r="J772">
        <v>3.9</v>
      </c>
    </row>
    <row r="773" spans="1:10" x14ac:dyDescent="0.25">
      <c r="A773">
        <v>45549</v>
      </c>
      <c r="B773" t="s">
        <v>19</v>
      </c>
      <c r="C773" t="s">
        <v>22</v>
      </c>
      <c r="D773" t="s">
        <v>14</v>
      </c>
      <c r="E773">
        <v>443</v>
      </c>
      <c r="F773">
        <v>17328018.66</v>
      </c>
      <c r="G773">
        <v>5411690.2400000002</v>
      </c>
      <c r="H773">
        <v>11916328.43</v>
      </c>
      <c r="I773">
        <v>2.88</v>
      </c>
      <c r="J773">
        <v>4.9800000000000004</v>
      </c>
    </row>
    <row r="774" spans="1:10" x14ac:dyDescent="0.25">
      <c r="A774">
        <v>44283</v>
      </c>
      <c r="B774" t="s">
        <v>19</v>
      </c>
      <c r="C774" t="s">
        <v>23</v>
      </c>
      <c r="D774" t="s">
        <v>14</v>
      </c>
      <c r="E774">
        <v>345</v>
      </c>
      <c r="F774">
        <v>14246338.07</v>
      </c>
      <c r="G774">
        <v>5673729.0800000001</v>
      </c>
      <c r="H774">
        <v>8572608.9800000004</v>
      </c>
      <c r="I774">
        <v>1.2</v>
      </c>
      <c r="J774">
        <v>3.81</v>
      </c>
    </row>
    <row r="775" spans="1:10" x14ac:dyDescent="0.25">
      <c r="A775">
        <v>45583</v>
      </c>
      <c r="B775" t="s">
        <v>19</v>
      </c>
      <c r="C775" t="s">
        <v>20</v>
      </c>
      <c r="D775" t="s">
        <v>14</v>
      </c>
      <c r="E775">
        <v>241</v>
      </c>
      <c r="F775">
        <v>12403326.619999999</v>
      </c>
      <c r="G775">
        <v>4384561.09</v>
      </c>
      <c r="H775">
        <v>8018765.5199999996</v>
      </c>
      <c r="I775">
        <v>1.08</v>
      </c>
      <c r="J775">
        <v>3.88</v>
      </c>
    </row>
    <row r="776" spans="1:10" x14ac:dyDescent="0.25">
      <c r="A776">
        <v>44377</v>
      </c>
      <c r="B776" t="s">
        <v>19</v>
      </c>
      <c r="C776" t="s">
        <v>23</v>
      </c>
      <c r="D776" t="s">
        <v>17</v>
      </c>
      <c r="E776">
        <v>98</v>
      </c>
      <c r="F776">
        <v>5336425.1399999997</v>
      </c>
      <c r="G776">
        <v>1811738.72</v>
      </c>
      <c r="H776">
        <v>3524686.42</v>
      </c>
      <c r="I776">
        <v>4.8899999999999997</v>
      </c>
      <c r="J776">
        <v>3.76</v>
      </c>
    </row>
    <row r="777" spans="1:10" x14ac:dyDescent="0.25">
      <c r="A777">
        <v>44175</v>
      </c>
      <c r="B777" t="s">
        <v>19</v>
      </c>
      <c r="C777" t="s">
        <v>22</v>
      </c>
      <c r="D777" t="s">
        <v>12</v>
      </c>
      <c r="E777">
        <v>53</v>
      </c>
      <c r="F777">
        <v>2283277.41</v>
      </c>
      <c r="G777">
        <v>756840.18</v>
      </c>
      <c r="H777">
        <v>1526437.23</v>
      </c>
      <c r="I777">
        <v>4.3899999999999997</v>
      </c>
      <c r="J777">
        <v>3.73</v>
      </c>
    </row>
    <row r="778" spans="1:10" x14ac:dyDescent="0.25">
      <c r="A778">
        <v>43870</v>
      </c>
      <c r="B778" t="s">
        <v>19</v>
      </c>
      <c r="C778" t="s">
        <v>21</v>
      </c>
      <c r="D778" t="s">
        <v>17</v>
      </c>
      <c r="E778">
        <v>327</v>
      </c>
      <c r="F778">
        <v>20159415.84</v>
      </c>
      <c r="G778">
        <v>6844446.2000000002</v>
      </c>
      <c r="H778">
        <v>13314969.640000001</v>
      </c>
      <c r="I778">
        <v>3.04</v>
      </c>
      <c r="J778">
        <v>4.71</v>
      </c>
    </row>
    <row r="779" spans="1:10" x14ac:dyDescent="0.25">
      <c r="A779">
        <v>44407</v>
      </c>
      <c r="B779" t="s">
        <v>19</v>
      </c>
      <c r="C779" t="s">
        <v>21</v>
      </c>
      <c r="D779" t="s">
        <v>14</v>
      </c>
      <c r="E779">
        <v>241</v>
      </c>
      <c r="F779">
        <v>16132166.369999999</v>
      </c>
      <c r="G779">
        <v>4821876.26</v>
      </c>
      <c r="H779">
        <v>11310290.1</v>
      </c>
      <c r="I779">
        <v>1.1499999999999999</v>
      </c>
      <c r="J779">
        <v>4.4400000000000004</v>
      </c>
    </row>
    <row r="780" spans="1:10" x14ac:dyDescent="0.25">
      <c r="A780">
        <v>44370</v>
      </c>
      <c r="B780" t="s">
        <v>19</v>
      </c>
      <c r="C780" t="s">
        <v>20</v>
      </c>
      <c r="D780" t="s">
        <v>17</v>
      </c>
      <c r="E780">
        <v>161</v>
      </c>
      <c r="F780">
        <v>7177925.3200000003</v>
      </c>
      <c r="G780">
        <v>1614450.89</v>
      </c>
      <c r="H780">
        <v>5563474.4299999997</v>
      </c>
      <c r="I780">
        <v>2.4900000000000002</v>
      </c>
      <c r="J780">
        <v>4.9800000000000004</v>
      </c>
    </row>
    <row r="781" spans="1:10" x14ac:dyDescent="0.25">
      <c r="A781">
        <v>44737</v>
      </c>
      <c r="B781" t="s">
        <v>19</v>
      </c>
      <c r="C781" t="s">
        <v>24</v>
      </c>
      <c r="D781" t="s">
        <v>12</v>
      </c>
      <c r="E781">
        <v>362</v>
      </c>
      <c r="F781">
        <v>26909362.309999999</v>
      </c>
      <c r="G781">
        <v>9246492.5899999999</v>
      </c>
      <c r="H781">
        <v>17662869.719999999</v>
      </c>
      <c r="I781">
        <v>2.14</v>
      </c>
      <c r="J781">
        <v>3.79</v>
      </c>
    </row>
    <row r="782" spans="1:10" x14ac:dyDescent="0.25">
      <c r="A782">
        <v>44314</v>
      </c>
      <c r="B782" t="s">
        <v>19</v>
      </c>
      <c r="C782" t="s">
        <v>22</v>
      </c>
      <c r="D782" t="s">
        <v>12</v>
      </c>
      <c r="E782">
        <v>138</v>
      </c>
      <c r="F782">
        <v>9188842.6899999995</v>
      </c>
      <c r="G782">
        <v>2449355.2400000002</v>
      </c>
      <c r="H782">
        <v>6739487.46</v>
      </c>
      <c r="I782">
        <v>4</v>
      </c>
      <c r="J782">
        <v>4.79</v>
      </c>
    </row>
    <row r="783" spans="1:10" x14ac:dyDescent="0.25">
      <c r="A783">
        <v>45273</v>
      </c>
      <c r="B783" t="s">
        <v>19</v>
      </c>
      <c r="C783" t="s">
        <v>22</v>
      </c>
      <c r="D783" t="s">
        <v>12</v>
      </c>
      <c r="E783">
        <v>320</v>
      </c>
      <c r="F783">
        <v>11991321.369999999</v>
      </c>
      <c r="G783">
        <v>4493492.3099999996</v>
      </c>
      <c r="H783">
        <v>7497829.0599999996</v>
      </c>
      <c r="I783">
        <v>3.03</v>
      </c>
      <c r="J783">
        <v>4.6500000000000004</v>
      </c>
    </row>
    <row r="784" spans="1:10" x14ac:dyDescent="0.25">
      <c r="A784">
        <v>45548</v>
      </c>
      <c r="B784" t="s">
        <v>19</v>
      </c>
      <c r="C784" t="s">
        <v>24</v>
      </c>
      <c r="D784" t="s">
        <v>12</v>
      </c>
      <c r="E784">
        <v>89</v>
      </c>
      <c r="F784">
        <v>4933332.25</v>
      </c>
      <c r="G784">
        <v>1780768.65</v>
      </c>
      <c r="H784">
        <v>3152563.61</v>
      </c>
      <c r="I784">
        <v>2.7</v>
      </c>
      <c r="J784">
        <v>4.6100000000000003</v>
      </c>
    </row>
    <row r="785" spans="1:10" x14ac:dyDescent="0.25">
      <c r="A785">
        <v>44194</v>
      </c>
      <c r="B785" t="s">
        <v>19</v>
      </c>
      <c r="C785" t="s">
        <v>23</v>
      </c>
      <c r="D785" t="s">
        <v>12</v>
      </c>
      <c r="E785">
        <v>496</v>
      </c>
      <c r="F785">
        <v>32625311.149999999</v>
      </c>
      <c r="G785">
        <v>8567151.25</v>
      </c>
      <c r="H785">
        <v>24058159.899999999</v>
      </c>
      <c r="I785">
        <v>3.46</v>
      </c>
      <c r="J785">
        <v>3.68</v>
      </c>
    </row>
    <row r="786" spans="1:10" x14ac:dyDescent="0.25">
      <c r="A786">
        <v>44429</v>
      </c>
      <c r="B786" t="s">
        <v>19</v>
      </c>
      <c r="C786" t="s">
        <v>23</v>
      </c>
      <c r="D786" t="s">
        <v>12</v>
      </c>
      <c r="E786">
        <v>97</v>
      </c>
      <c r="F786">
        <v>5565303.6100000003</v>
      </c>
      <c r="G786">
        <v>1860778.07</v>
      </c>
      <c r="H786">
        <v>3704525.55</v>
      </c>
      <c r="I786">
        <v>2.54</v>
      </c>
      <c r="J786">
        <v>4.6399999999999997</v>
      </c>
    </row>
    <row r="787" spans="1:10" x14ac:dyDescent="0.25">
      <c r="A787">
        <v>44535</v>
      </c>
      <c r="B787" t="s">
        <v>19</v>
      </c>
      <c r="C787" t="s">
        <v>23</v>
      </c>
      <c r="D787" t="s">
        <v>12</v>
      </c>
      <c r="E787">
        <v>367</v>
      </c>
      <c r="F787">
        <v>31078070.420000002</v>
      </c>
      <c r="G787">
        <v>6900054.3399999999</v>
      </c>
      <c r="H787">
        <v>24178016.079999998</v>
      </c>
      <c r="I787">
        <v>4.18</v>
      </c>
      <c r="J787">
        <v>4.2699999999999996</v>
      </c>
    </row>
    <row r="788" spans="1:10" x14ac:dyDescent="0.25">
      <c r="A788">
        <v>44106</v>
      </c>
      <c r="B788" t="s">
        <v>19</v>
      </c>
      <c r="C788" t="s">
        <v>22</v>
      </c>
      <c r="D788" t="s">
        <v>14</v>
      </c>
      <c r="E788">
        <v>126</v>
      </c>
      <c r="F788">
        <v>8424649.25</v>
      </c>
      <c r="G788">
        <v>2544876.83</v>
      </c>
      <c r="H788">
        <v>5879772.4199999999</v>
      </c>
      <c r="I788">
        <v>3.4</v>
      </c>
      <c r="J788">
        <v>3.84</v>
      </c>
    </row>
    <row r="789" spans="1:10" x14ac:dyDescent="0.25">
      <c r="A789">
        <v>44048</v>
      </c>
      <c r="B789" t="s">
        <v>19</v>
      </c>
      <c r="C789" t="s">
        <v>23</v>
      </c>
      <c r="D789" t="s">
        <v>17</v>
      </c>
      <c r="E789">
        <v>88</v>
      </c>
      <c r="F789">
        <v>7592442.1500000004</v>
      </c>
      <c r="G789">
        <v>1910861.86</v>
      </c>
      <c r="H789">
        <v>5681580.29</v>
      </c>
      <c r="I789">
        <v>1.76</v>
      </c>
      <c r="J789">
        <v>3.7</v>
      </c>
    </row>
    <row r="790" spans="1:10" x14ac:dyDescent="0.25">
      <c r="A790">
        <v>43927</v>
      </c>
      <c r="B790" t="s">
        <v>19</v>
      </c>
      <c r="C790" t="s">
        <v>21</v>
      </c>
      <c r="D790" t="s">
        <v>14</v>
      </c>
      <c r="E790">
        <v>169</v>
      </c>
      <c r="F790">
        <v>7637087.9500000002</v>
      </c>
      <c r="G790">
        <v>2629230.87</v>
      </c>
      <c r="H790">
        <v>5007857.09</v>
      </c>
      <c r="I790">
        <v>1.48</v>
      </c>
      <c r="J790">
        <v>3.77</v>
      </c>
    </row>
    <row r="791" spans="1:10" x14ac:dyDescent="0.25">
      <c r="A791">
        <v>44327</v>
      </c>
      <c r="B791" t="s">
        <v>19</v>
      </c>
      <c r="C791" t="s">
        <v>20</v>
      </c>
      <c r="D791" t="s">
        <v>12</v>
      </c>
      <c r="E791">
        <v>275</v>
      </c>
      <c r="F791">
        <v>23285760.530000001</v>
      </c>
      <c r="G791">
        <v>6502078.3399999999</v>
      </c>
      <c r="H791">
        <v>16783682.190000001</v>
      </c>
      <c r="I791">
        <v>3.09</v>
      </c>
      <c r="J791">
        <v>4.34</v>
      </c>
    </row>
    <row r="792" spans="1:10" x14ac:dyDescent="0.25">
      <c r="A792">
        <v>44169</v>
      </c>
      <c r="B792" t="s">
        <v>19</v>
      </c>
      <c r="C792" t="s">
        <v>22</v>
      </c>
      <c r="D792" t="s">
        <v>17</v>
      </c>
      <c r="E792">
        <v>367</v>
      </c>
      <c r="F792">
        <v>15731477.66</v>
      </c>
      <c r="G792">
        <v>5114151.5999999996</v>
      </c>
      <c r="H792">
        <v>10617326.060000001</v>
      </c>
      <c r="I792">
        <v>4.09</v>
      </c>
      <c r="J792">
        <v>4.05</v>
      </c>
    </row>
    <row r="793" spans="1:10" x14ac:dyDescent="0.25">
      <c r="A793">
        <v>45523</v>
      </c>
      <c r="B793" t="s">
        <v>19</v>
      </c>
      <c r="C793" t="s">
        <v>22</v>
      </c>
      <c r="D793" t="s">
        <v>17</v>
      </c>
      <c r="E793">
        <v>236</v>
      </c>
      <c r="F793">
        <v>12640494.630000001</v>
      </c>
      <c r="G793">
        <v>3212041.28</v>
      </c>
      <c r="H793">
        <v>9428453.3499999996</v>
      </c>
      <c r="I793">
        <v>3.08</v>
      </c>
      <c r="J793">
        <v>4.01</v>
      </c>
    </row>
    <row r="794" spans="1:10" x14ac:dyDescent="0.25">
      <c r="A794">
        <v>44019</v>
      </c>
      <c r="B794" t="s">
        <v>19</v>
      </c>
      <c r="C794" t="s">
        <v>20</v>
      </c>
      <c r="D794" t="s">
        <v>14</v>
      </c>
      <c r="E794">
        <v>357</v>
      </c>
      <c r="F794">
        <v>25704733.199999999</v>
      </c>
      <c r="G794">
        <v>9148292.6300000008</v>
      </c>
      <c r="H794">
        <v>16556440.57</v>
      </c>
      <c r="I794">
        <v>1.48</v>
      </c>
      <c r="J794">
        <v>4.8099999999999996</v>
      </c>
    </row>
    <row r="795" spans="1:10" x14ac:dyDescent="0.25">
      <c r="A795">
        <v>45327</v>
      </c>
      <c r="B795" t="s">
        <v>19</v>
      </c>
      <c r="C795" t="s">
        <v>20</v>
      </c>
      <c r="D795" t="s">
        <v>14</v>
      </c>
      <c r="E795">
        <v>432</v>
      </c>
      <c r="F795">
        <v>21374756.949999999</v>
      </c>
      <c r="G795">
        <v>8547109.5700000003</v>
      </c>
      <c r="H795">
        <v>12827647.390000001</v>
      </c>
      <c r="I795">
        <v>4.42</v>
      </c>
      <c r="J795">
        <v>4.6900000000000004</v>
      </c>
    </row>
    <row r="796" spans="1:10" x14ac:dyDescent="0.25">
      <c r="A796">
        <v>45168</v>
      </c>
      <c r="B796" t="s">
        <v>19</v>
      </c>
      <c r="C796" t="s">
        <v>20</v>
      </c>
      <c r="D796" t="s">
        <v>12</v>
      </c>
      <c r="E796">
        <v>325</v>
      </c>
      <c r="F796">
        <v>18105478.890000001</v>
      </c>
      <c r="G796">
        <v>6401895.5</v>
      </c>
      <c r="H796">
        <v>11703583.4</v>
      </c>
      <c r="I796">
        <v>1.69</v>
      </c>
      <c r="J796">
        <v>4.33</v>
      </c>
    </row>
    <row r="797" spans="1:10" x14ac:dyDescent="0.25">
      <c r="A797">
        <v>45187</v>
      </c>
      <c r="B797" t="s">
        <v>19</v>
      </c>
      <c r="C797" t="s">
        <v>21</v>
      </c>
      <c r="D797" t="s">
        <v>17</v>
      </c>
      <c r="E797">
        <v>322</v>
      </c>
      <c r="F797">
        <v>16475838.58</v>
      </c>
      <c r="G797">
        <v>5809101.5499999998</v>
      </c>
      <c r="H797">
        <v>10666737.02</v>
      </c>
      <c r="I797">
        <v>4.7699999999999996</v>
      </c>
      <c r="J797">
        <v>4.92</v>
      </c>
    </row>
    <row r="798" spans="1:10" x14ac:dyDescent="0.25">
      <c r="A798">
        <v>44688</v>
      </c>
      <c r="B798" t="s">
        <v>19</v>
      </c>
      <c r="C798" t="s">
        <v>22</v>
      </c>
      <c r="D798" t="s">
        <v>12</v>
      </c>
      <c r="E798">
        <v>377</v>
      </c>
      <c r="F798">
        <v>17498361.309999999</v>
      </c>
      <c r="G798">
        <v>6165909.29</v>
      </c>
      <c r="H798">
        <v>11332452.029999999</v>
      </c>
      <c r="I798">
        <v>4.59</v>
      </c>
      <c r="J798">
        <v>4.2</v>
      </c>
    </row>
    <row r="799" spans="1:10" x14ac:dyDescent="0.25">
      <c r="A799">
        <v>45562</v>
      </c>
      <c r="B799" t="s">
        <v>19</v>
      </c>
      <c r="C799" t="s">
        <v>21</v>
      </c>
      <c r="D799" t="s">
        <v>14</v>
      </c>
      <c r="E799">
        <v>205</v>
      </c>
      <c r="F799">
        <v>15750490.369999999</v>
      </c>
      <c r="G799">
        <v>5813530.5499999998</v>
      </c>
      <c r="H799">
        <v>9936959.8200000003</v>
      </c>
      <c r="I799">
        <v>2.69</v>
      </c>
      <c r="J799">
        <v>4.1399999999999997</v>
      </c>
    </row>
    <row r="800" spans="1:10" x14ac:dyDescent="0.25">
      <c r="A800">
        <v>44107</v>
      </c>
      <c r="B800" t="s">
        <v>19</v>
      </c>
      <c r="C800" t="s">
        <v>20</v>
      </c>
      <c r="D800" t="s">
        <v>14</v>
      </c>
      <c r="E800">
        <v>450</v>
      </c>
      <c r="F800">
        <v>33176060.969999999</v>
      </c>
      <c r="G800">
        <v>7065359.1500000004</v>
      </c>
      <c r="H800">
        <v>26110701.809999999</v>
      </c>
      <c r="I800">
        <v>2.19</v>
      </c>
      <c r="J800">
        <v>4.5599999999999996</v>
      </c>
    </row>
    <row r="801" spans="1:10" x14ac:dyDescent="0.25">
      <c r="A801">
        <v>44963</v>
      </c>
      <c r="B801" t="s">
        <v>19</v>
      </c>
      <c r="C801" t="s">
        <v>23</v>
      </c>
      <c r="D801" t="s">
        <v>12</v>
      </c>
      <c r="E801">
        <v>387</v>
      </c>
      <c r="F801">
        <v>17178527.510000002</v>
      </c>
      <c r="G801">
        <v>6766746.75</v>
      </c>
      <c r="H801">
        <v>10411780.76</v>
      </c>
      <c r="I801">
        <v>1.42</v>
      </c>
      <c r="J801">
        <v>4.01</v>
      </c>
    </row>
    <row r="802" spans="1:10" x14ac:dyDescent="0.25">
      <c r="A802">
        <v>44200</v>
      </c>
      <c r="B802" t="s">
        <v>19</v>
      </c>
      <c r="C802" t="s">
        <v>20</v>
      </c>
      <c r="D802" t="s">
        <v>17</v>
      </c>
      <c r="E802">
        <v>473</v>
      </c>
      <c r="F802">
        <v>22453671.91</v>
      </c>
      <c r="G802">
        <v>5972530.6100000003</v>
      </c>
      <c r="H802">
        <v>16481141.300000001</v>
      </c>
      <c r="I802">
        <v>2.61</v>
      </c>
      <c r="J802">
        <v>4.66</v>
      </c>
    </row>
    <row r="803" spans="1:10" x14ac:dyDescent="0.25">
      <c r="A803">
        <v>44651</v>
      </c>
      <c r="B803" t="s">
        <v>19</v>
      </c>
      <c r="C803" t="s">
        <v>22</v>
      </c>
      <c r="D803" t="s">
        <v>14</v>
      </c>
      <c r="E803">
        <v>102</v>
      </c>
      <c r="F803">
        <v>3851863.29</v>
      </c>
      <c r="G803">
        <v>1513850.41</v>
      </c>
      <c r="H803">
        <v>2338012.88</v>
      </c>
      <c r="I803">
        <v>2.98</v>
      </c>
      <c r="J803">
        <v>4.16</v>
      </c>
    </row>
    <row r="804" spans="1:10" x14ac:dyDescent="0.25">
      <c r="A804">
        <v>45302</v>
      </c>
      <c r="B804" t="s">
        <v>19</v>
      </c>
      <c r="C804" t="s">
        <v>20</v>
      </c>
      <c r="D804" t="s">
        <v>14</v>
      </c>
      <c r="E804">
        <v>231</v>
      </c>
      <c r="F804">
        <v>20744240.32</v>
      </c>
      <c r="G804">
        <v>4995182.3600000003</v>
      </c>
      <c r="H804">
        <v>15749057.960000001</v>
      </c>
      <c r="I804">
        <v>3.89</v>
      </c>
      <c r="J804">
        <v>3.82</v>
      </c>
    </row>
    <row r="805" spans="1:10" x14ac:dyDescent="0.25">
      <c r="A805">
        <v>43953</v>
      </c>
      <c r="B805" t="s">
        <v>19</v>
      </c>
      <c r="C805" t="s">
        <v>24</v>
      </c>
      <c r="D805" t="s">
        <v>14</v>
      </c>
      <c r="E805">
        <v>337</v>
      </c>
      <c r="F805">
        <v>12714602.41</v>
      </c>
      <c r="G805">
        <v>3243245.14</v>
      </c>
      <c r="H805">
        <v>9471357.2699999996</v>
      </c>
      <c r="I805">
        <v>1</v>
      </c>
      <c r="J805">
        <v>4.41</v>
      </c>
    </row>
    <row r="806" spans="1:10" x14ac:dyDescent="0.25">
      <c r="A806">
        <v>44039</v>
      </c>
      <c r="B806" t="s">
        <v>19</v>
      </c>
      <c r="C806" t="s">
        <v>24</v>
      </c>
      <c r="D806" t="s">
        <v>14</v>
      </c>
      <c r="E806">
        <v>121</v>
      </c>
      <c r="F806">
        <v>10373355.609999999</v>
      </c>
      <c r="G806">
        <v>2706149.87</v>
      </c>
      <c r="H806">
        <v>7667205.7400000002</v>
      </c>
      <c r="I806">
        <v>3.25</v>
      </c>
      <c r="J806">
        <v>3.8</v>
      </c>
    </row>
    <row r="807" spans="1:10" x14ac:dyDescent="0.25">
      <c r="A807">
        <v>44103</v>
      </c>
      <c r="B807" t="s">
        <v>19</v>
      </c>
      <c r="C807" t="s">
        <v>21</v>
      </c>
      <c r="D807" t="s">
        <v>17</v>
      </c>
      <c r="E807">
        <v>420</v>
      </c>
      <c r="F807">
        <v>32042778.899999999</v>
      </c>
      <c r="G807">
        <v>12012925.630000001</v>
      </c>
      <c r="H807">
        <v>20029853.27</v>
      </c>
      <c r="I807">
        <v>3.98</v>
      </c>
      <c r="J807">
        <v>3.86</v>
      </c>
    </row>
    <row r="808" spans="1:10" x14ac:dyDescent="0.25">
      <c r="A808">
        <v>44550</v>
      </c>
      <c r="B808" t="s">
        <v>19</v>
      </c>
      <c r="C808" t="s">
        <v>20</v>
      </c>
      <c r="D808" t="s">
        <v>14</v>
      </c>
      <c r="E808">
        <v>270</v>
      </c>
      <c r="F808">
        <v>22168927.030000001</v>
      </c>
      <c r="G808">
        <v>5165067.6100000003</v>
      </c>
      <c r="H808">
        <v>17003859.420000002</v>
      </c>
      <c r="I808">
        <v>4.67</v>
      </c>
      <c r="J808">
        <v>4.05</v>
      </c>
    </row>
    <row r="809" spans="1:10" x14ac:dyDescent="0.25">
      <c r="A809">
        <v>44631</v>
      </c>
      <c r="B809" t="s">
        <v>19</v>
      </c>
      <c r="C809" t="s">
        <v>21</v>
      </c>
      <c r="D809" t="s">
        <v>12</v>
      </c>
      <c r="E809">
        <v>151</v>
      </c>
      <c r="F809">
        <v>5444086.3099999996</v>
      </c>
      <c r="G809">
        <v>1277336.6499999999</v>
      </c>
      <c r="H809">
        <v>4166749.66</v>
      </c>
      <c r="I809">
        <v>2.86</v>
      </c>
      <c r="J809">
        <v>4.66</v>
      </c>
    </row>
    <row r="810" spans="1:10" x14ac:dyDescent="0.25">
      <c r="A810">
        <v>44538</v>
      </c>
      <c r="B810" t="s">
        <v>19</v>
      </c>
      <c r="C810" t="s">
        <v>20</v>
      </c>
      <c r="D810" t="s">
        <v>17</v>
      </c>
      <c r="E810">
        <v>276</v>
      </c>
      <c r="F810">
        <v>16014079.09</v>
      </c>
      <c r="G810">
        <v>5468755.4000000004</v>
      </c>
      <c r="H810">
        <v>10545323.689999999</v>
      </c>
      <c r="I810">
        <v>1.99</v>
      </c>
      <c r="J810">
        <v>3.94</v>
      </c>
    </row>
    <row r="811" spans="1:10" x14ac:dyDescent="0.25">
      <c r="A811">
        <v>44111</v>
      </c>
      <c r="B811" t="s">
        <v>19</v>
      </c>
      <c r="C811" t="s">
        <v>23</v>
      </c>
      <c r="D811" t="s">
        <v>17</v>
      </c>
      <c r="E811">
        <v>153</v>
      </c>
      <c r="F811">
        <v>13207920.810000001</v>
      </c>
      <c r="G811">
        <v>4581837.22</v>
      </c>
      <c r="H811">
        <v>8626083.5899999999</v>
      </c>
      <c r="I811">
        <v>3.25</v>
      </c>
      <c r="J811">
        <v>4.5199999999999996</v>
      </c>
    </row>
    <row r="812" spans="1:10" x14ac:dyDescent="0.25">
      <c r="A812">
        <v>44920</v>
      </c>
      <c r="B812" t="s">
        <v>19</v>
      </c>
      <c r="C812" t="s">
        <v>21</v>
      </c>
      <c r="D812" t="s">
        <v>12</v>
      </c>
      <c r="E812">
        <v>77</v>
      </c>
      <c r="F812">
        <v>6286742.6100000003</v>
      </c>
      <c r="G812">
        <v>1323784.98</v>
      </c>
      <c r="H812">
        <v>4962957.63</v>
      </c>
      <c r="I812">
        <v>4.4800000000000004</v>
      </c>
      <c r="J812">
        <v>4.6100000000000003</v>
      </c>
    </row>
    <row r="813" spans="1:10" x14ac:dyDescent="0.25">
      <c r="A813">
        <v>43889</v>
      </c>
      <c r="B813" t="s">
        <v>19</v>
      </c>
      <c r="C813" t="s">
        <v>23</v>
      </c>
      <c r="D813" t="s">
        <v>12</v>
      </c>
      <c r="E813">
        <v>267</v>
      </c>
      <c r="F813">
        <v>22751391.809999999</v>
      </c>
      <c r="G813">
        <v>7554507.54</v>
      </c>
      <c r="H813">
        <v>15196884.26</v>
      </c>
      <c r="I813">
        <v>2.5499999999999998</v>
      </c>
      <c r="J813">
        <v>4.5199999999999996</v>
      </c>
    </row>
    <row r="814" spans="1:10" x14ac:dyDescent="0.25">
      <c r="A814">
        <v>45530</v>
      </c>
      <c r="B814" t="s">
        <v>19</v>
      </c>
      <c r="C814" t="s">
        <v>22</v>
      </c>
      <c r="D814" t="s">
        <v>12</v>
      </c>
      <c r="E814">
        <v>154</v>
      </c>
      <c r="F814">
        <v>8328124.2199999997</v>
      </c>
      <c r="G814">
        <v>2605628.9</v>
      </c>
      <c r="H814">
        <v>5722495.3200000003</v>
      </c>
      <c r="I814">
        <v>4.08</v>
      </c>
      <c r="J814">
        <v>3.92</v>
      </c>
    </row>
    <row r="815" spans="1:10" x14ac:dyDescent="0.25">
      <c r="A815">
        <v>44084</v>
      </c>
      <c r="B815" t="s">
        <v>19</v>
      </c>
      <c r="C815" t="s">
        <v>24</v>
      </c>
      <c r="D815" t="s">
        <v>17</v>
      </c>
      <c r="E815">
        <v>287</v>
      </c>
      <c r="F815">
        <v>11291058.48</v>
      </c>
      <c r="G815">
        <v>3516491.46</v>
      </c>
      <c r="H815">
        <v>7774567.0199999996</v>
      </c>
      <c r="I815">
        <v>1.67</v>
      </c>
      <c r="J815">
        <v>4.0199999999999996</v>
      </c>
    </row>
    <row r="816" spans="1:10" x14ac:dyDescent="0.25">
      <c r="A816">
        <v>44989</v>
      </c>
      <c r="B816" t="s">
        <v>19</v>
      </c>
      <c r="C816" t="s">
        <v>21</v>
      </c>
      <c r="D816" t="s">
        <v>12</v>
      </c>
      <c r="E816">
        <v>345</v>
      </c>
      <c r="F816">
        <v>22340530.010000002</v>
      </c>
      <c r="G816">
        <v>4535816.82</v>
      </c>
      <c r="H816">
        <v>17804713.18</v>
      </c>
      <c r="I816">
        <v>4.7300000000000004</v>
      </c>
      <c r="J816">
        <v>4.18</v>
      </c>
    </row>
    <row r="817" spans="1:10" x14ac:dyDescent="0.25">
      <c r="A817">
        <v>44094</v>
      </c>
      <c r="B817" t="s">
        <v>19</v>
      </c>
      <c r="C817" t="s">
        <v>20</v>
      </c>
      <c r="D817" t="s">
        <v>17</v>
      </c>
      <c r="E817">
        <v>471</v>
      </c>
      <c r="F817">
        <v>18086148.170000002</v>
      </c>
      <c r="G817">
        <v>6900370.0300000003</v>
      </c>
      <c r="H817">
        <v>11185778.140000001</v>
      </c>
      <c r="I817">
        <v>1.23</v>
      </c>
      <c r="J817">
        <v>4.3899999999999997</v>
      </c>
    </row>
    <row r="818" spans="1:10" x14ac:dyDescent="0.25">
      <c r="A818">
        <v>44154</v>
      </c>
      <c r="B818" t="s">
        <v>19</v>
      </c>
      <c r="C818" t="s">
        <v>20</v>
      </c>
      <c r="D818" t="s">
        <v>14</v>
      </c>
      <c r="E818">
        <v>424</v>
      </c>
      <c r="F818">
        <v>37415541.219999999</v>
      </c>
      <c r="G818">
        <v>11623403.32</v>
      </c>
      <c r="H818">
        <v>25792137.890000001</v>
      </c>
      <c r="I818">
        <v>2.76</v>
      </c>
      <c r="J818">
        <v>3.87</v>
      </c>
    </row>
    <row r="819" spans="1:10" x14ac:dyDescent="0.25">
      <c r="A819">
        <v>45216</v>
      </c>
      <c r="B819" t="s">
        <v>19</v>
      </c>
      <c r="C819" t="s">
        <v>23</v>
      </c>
      <c r="D819" t="s">
        <v>17</v>
      </c>
      <c r="E819">
        <v>167</v>
      </c>
      <c r="F819">
        <v>11924676.720000001</v>
      </c>
      <c r="G819">
        <v>2978361.78</v>
      </c>
      <c r="H819">
        <v>8946314.9299999997</v>
      </c>
      <c r="I819">
        <v>3.89</v>
      </c>
      <c r="J819">
        <v>4.37</v>
      </c>
    </row>
    <row r="820" spans="1:10" x14ac:dyDescent="0.25">
      <c r="A820">
        <v>44528</v>
      </c>
      <c r="B820" t="s">
        <v>19</v>
      </c>
      <c r="C820" t="s">
        <v>21</v>
      </c>
      <c r="D820" t="s">
        <v>17</v>
      </c>
      <c r="E820">
        <v>372</v>
      </c>
      <c r="F820">
        <v>19040697.43</v>
      </c>
      <c r="G820">
        <v>7179116.2599999998</v>
      </c>
      <c r="H820">
        <v>11861581.17</v>
      </c>
      <c r="I820">
        <v>4.74</v>
      </c>
      <c r="J820">
        <v>4.68</v>
      </c>
    </row>
    <row r="821" spans="1:10" x14ac:dyDescent="0.25">
      <c r="A821">
        <v>44394</v>
      </c>
      <c r="B821" t="s">
        <v>19</v>
      </c>
      <c r="C821" t="s">
        <v>24</v>
      </c>
      <c r="D821" t="s">
        <v>17</v>
      </c>
      <c r="E821">
        <v>212</v>
      </c>
      <c r="F821">
        <v>9897135.25</v>
      </c>
      <c r="G821">
        <v>2645457.5499999998</v>
      </c>
      <c r="H821">
        <v>7251677.7000000002</v>
      </c>
      <c r="I821">
        <v>2.35</v>
      </c>
      <c r="J821">
        <v>4.0999999999999996</v>
      </c>
    </row>
    <row r="822" spans="1:10" x14ac:dyDescent="0.25">
      <c r="A822">
        <v>44326</v>
      </c>
      <c r="B822" t="s">
        <v>19</v>
      </c>
      <c r="C822" t="s">
        <v>22</v>
      </c>
      <c r="D822" t="s">
        <v>14</v>
      </c>
      <c r="E822">
        <v>400</v>
      </c>
      <c r="F822">
        <v>21848911.66</v>
      </c>
      <c r="G822">
        <v>5429609.9100000001</v>
      </c>
      <c r="H822">
        <v>16419301.74</v>
      </c>
      <c r="I822">
        <v>1.83</v>
      </c>
      <c r="J822">
        <v>3.95</v>
      </c>
    </row>
    <row r="823" spans="1:10" x14ac:dyDescent="0.25">
      <c r="A823">
        <v>44409</v>
      </c>
      <c r="B823" t="s">
        <v>19</v>
      </c>
      <c r="C823" t="s">
        <v>23</v>
      </c>
      <c r="D823" t="s">
        <v>17</v>
      </c>
      <c r="E823">
        <v>417</v>
      </c>
      <c r="F823">
        <v>20824907.010000002</v>
      </c>
      <c r="G823">
        <v>7536076.4000000004</v>
      </c>
      <c r="H823">
        <v>13288830.619999999</v>
      </c>
      <c r="I823">
        <v>1.33</v>
      </c>
      <c r="J823">
        <v>4.01</v>
      </c>
    </row>
    <row r="824" spans="1:10" x14ac:dyDescent="0.25">
      <c r="A824">
        <v>43964</v>
      </c>
      <c r="B824" t="s">
        <v>19</v>
      </c>
      <c r="C824" t="s">
        <v>21</v>
      </c>
      <c r="D824" t="s">
        <v>17</v>
      </c>
      <c r="E824">
        <v>389</v>
      </c>
      <c r="F824">
        <v>31393157.510000002</v>
      </c>
      <c r="G824">
        <v>11804511.01</v>
      </c>
      <c r="H824">
        <v>19588646.510000002</v>
      </c>
      <c r="I824">
        <v>3.81</v>
      </c>
      <c r="J824">
        <v>4.3</v>
      </c>
    </row>
    <row r="825" spans="1:10" x14ac:dyDescent="0.25">
      <c r="A825">
        <v>45266</v>
      </c>
      <c r="B825" t="s">
        <v>19</v>
      </c>
      <c r="C825" t="s">
        <v>24</v>
      </c>
      <c r="D825" t="s">
        <v>14</v>
      </c>
      <c r="E825">
        <v>343</v>
      </c>
      <c r="F825">
        <v>24873819.390000001</v>
      </c>
      <c r="G825">
        <v>5224001.2</v>
      </c>
      <c r="H825">
        <v>19649818.190000001</v>
      </c>
      <c r="I825">
        <v>1.1200000000000001</v>
      </c>
      <c r="J825">
        <v>4.5999999999999996</v>
      </c>
    </row>
    <row r="826" spans="1:10" x14ac:dyDescent="0.25">
      <c r="A826">
        <v>45268</v>
      </c>
      <c r="B826" t="s">
        <v>19</v>
      </c>
      <c r="C826" t="s">
        <v>20</v>
      </c>
      <c r="D826" t="s">
        <v>17</v>
      </c>
      <c r="E826">
        <v>74</v>
      </c>
      <c r="F826">
        <v>3259130.5</v>
      </c>
      <c r="G826">
        <v>1227660.31</v>
      </c>
      <c r="H826">
        <v>2031470.19</v>
      </c>
      <c r="I826">
        <v>2.96</v>
      </c>
      <c r="J826">
        <v>4.8499999999999996</v>
      </c>
    </row>
    <row r="827" spans="1:10" x14ac:dyDescent="0.25">
      <c r="A827">
        <v>44599</v>
      </c>
      <c r="B827" t="s">
        <v>19</v>
      </c>
      <c r="C827" t="s">
        <v>24</v>
      </c>
      <c r="D827" t="s">
        <v>17</v>
      </c>
      <c r="E827">
        <v>161</v>
      </c>
      <c r="F827">
        <v>7564581.6100000003</v>
      </c>
      <c r="G827">
        <v>3002871.29</v>
      </c>
      <c r="H827">
        <v>4561710.32</v>
      </c>
      <c r="I827">
        <v>3.12</v>
      </c>
      <c r="J827">
        <v>3.66</v>
      </c>
    </row>
    <row r="828" spans="1:10" x14ac:dyDescent="0.25">
      <c r="A828">
        <v>44791</v>
      </c>
      <c r="B828" t="s">
        <v>19</v>
      </c>
      <c r="C828" t="s">
        <v>20</v>
      </c>
      <c r="D828" t="s">
        <v>17</v>
      </c>
      <c r="E828">
        <v>276</v>
      </c>
      <c r="F828">
        <v>18261067.829999998</v>
      </c>
      <c r="G828">
        <v>4904811.43</v>
      </c>
      <c r="H828">
        <v>13356256.4</v>
      </c>
      <c r="I828">
        <v>4.54</v>
      </c>
      <c r="J828">
        <v>4.0999999999999996</v>
      </c>
    </row>
    <row r="829" spans="1:10" x14ac:dyDescent="0.25">
      <c r="A829">
        <v>44709</v>
      </c>
      <c r="B829" t="s">
        <v>19</v>
      </c>
      <c r="C829" t="s">
        <v>22</v>
      </c>
      <c r="D829" t="s">
        <v>12</v>
      </c>
      <c r="E829">
        <v>394</v>
      </c>
      <c r="F829">
        <v>34217424.359999999</v>
      </c>
      <c r="G829">
        <v>13120780.6</v>
      </c>
      <c r="H829">
        <v>21096643.77</v>
      </c>
      <c r="I829">
        <v>1.64</v>
      </c>
      <c r="J829">
        <v>4.67</v>
      </c>
    </row>
    <row r="830" spans="1:10" x14ac:dyDescent="0.25">
      <c r="A830">
        <v>44342</v>
      </c>
      <c r="B830" t="s">
        <v>19</v>
      </c>
      <c r="C830" t="s">
        <v>21</v>
      </c>
      <c r="D830" t="s">
        <v>17</v>
      </c>
      <c r="E830">
        <v>427</v>
      </c>
      <c r="F830">
        <v>28492495.600000001</v>
      </c>
      <c r="G830">
        <v>8752998.9399999995</v>
      </c>
      <c r="H830">
        <v>19739496.66</v>
      </c>
      <c r="I830">
        <v>1.03</v>
      </c>
      <c r="J830">
        <v>4.97</v>
      </c>
    </row>
    <row r="831" spans="1:10" x14ac:dyDescent="0.25">
      <c r="A831">
        <v>45357</v>
      </c>
      <c r="B831" t="s">
        <v>19</v>
      </c>
      <c r="C831" t="s">
        <v>21</v>
      </c>
      <c r="D831" t="s">
        <v>14</v>
      </c>
      <c r="E831">
        <v>398</v>
      </c>
      <c r="F831">
        <v>18883165.239999998</v>
      </c>
      <c r="G831">
        <v>4170543.57</v>
      </c>
      <c r="H831">
        <v>14712621.67</v>
      </c>
      <c r="I831">
        <v>4.03</v>
      </c>
      <c r="J831">
        <v>4.55</v>
      </c>
    </row>
    <row r="832" spans="1:10" x14ac:dyDescent="0.25">
      <c r="A832">
        <v>45354</v>
      </c>
      <c r="B832" t="s">
        <v>19</v>
      </c>
      <c r="C832" t="s">
        <v>22</v>
      </c>
      <c r="D832" t="s">
        <v>17</v>
      </c>
      <c r="E832">
        <v>356</v>
      </c>
      <c r="F832">
        <v>25357691.370000001</v>
      </c>
      <c r="G832">
        <v>7443537.9299999997</v>
      </c>
      <c r="H832">
        <v>17914153.440000001</v>
      </c>
      <c r="I832">
        <v>0.96</v>
      </c>
      <c r="J832">
        <v>3.76</v>
      </c>
    </row>
    <row r="833" spans="1:10" x14ac:dyDescent="0.25">
      <c r="A833">
        <v>45119</v>
      </c>
      <c r="B833" t="s">
        <v>19</v>
      </c>
      <c r="C833" t="s">
        <v>22</v>
      </c>
      <c r="D833" t="s">
        <v>12</v>
      </c>
      <c r="E833">
        <v>428</v>
      </c>
      <c r="F833">
        <v>32591705.850000001</v>
      </c>
      <c r="G833">
        <v>9378226.3499999996</v>
      </c>
      <c r="H833">
        <v>23213479.510000002</v>
      </c>
      <c r="I833">
        <v>1.61</v>
      </c>
      <c r="J833">
        <v>4.1399999999999997</v>
      </c>
    </row>
    <row r="834" spans="1:10" x14ac:dyDescent="0.25">
      <c r="A834">
        <v>44953</v>
      </c>
      <c r="B834" t="s">
        <v>19</v>
      </c>
      <c r="C834" t="s">
        <v>22</v>
      </c>
      <c r="D834" t="s">
        <v>12</v>
      </c>
      <c r="E834">
        <v>143</v>
      </c>
      <c r="F834">
        <v>7047311.1500000004</v>
      </c>
      <c r="G834">
        <v>1452135.63</v>
      </c>
      <c r="H834">
        <v>5595175.5199999996</v>
      </c>
      <c r="I834">
        <v>2.44</v>
      </c>
      <c r="J834">
        <v>4.0199999999999996</v>
      </c>
    </row>
    <row r="835" spans="1:10" x14ac:dyDescent="0.25">
      <c r="A835">
        <v>45474</v>
      </c>
      <c r="B835" t="s">
        <v>19</v>
      </c>
      <c r="C835" t="s">
        <v>20</v>
      </c>
      <c r="D835" t="s">
        <v>12</v>
      </c>
      <c r="E835">
        <v>296</v>
      </c>
      <c r="F835">
        <v>12243617.460000001</v>
      </c>
      <c r="G835">
        <v>4830719.24</v>
      </c>
      <c r="H835">
        <v>7412898.2199999997</v>
      </c>
      <c r="I835">
        <v>2.86</v>
      </c>
      <c r="J835">
        <v>3.83</v>
      </c>
    </row>
    <row r="836" spans="1:10" x14ac:dyDescent="0.25">
      <c r="A836">
        <v>45413</v>
      </c>
      <c r="B836" t="s">
        <v>19</v>
      </c>
      <c r="C836" t="s">
        <v>22</v>
      </c>
      <c r="D836" t="s">
        <v>17</v>
      </c>
      <c r="E836">
        <v>150</v>
      </c>
      <c r="F836">
        <v>10315255.029999999</v>
      </c>
      <c r="G836">
        <v>3604442.82</v>
      </c>
      <c r="H836">
        <v>6710812.21</v>
      </c>
      <c r="I836">
        <v>3.1</v>
      </c>
      <c r="J836">
        <v>4.04</v>
      </c>
    </row>
    <row r="837" spans="1:10" x14ac:dyDescent="0.25">
      <c r="A837">
        <v>45428</v>
      </c>
      <c r="B837" t="s">
        <v>19</v>
      </c>
      <c r="C837" t="s">
        <v>20</v>
      </c>
      <c r="D837" t="s">
        <v>12</v>
      </c>
      <c r="E837">
        <v>454</v>
      </c>
      <c r="F837">
        <v>34497132</v>
      </c>
      <c r="G837">
        <v>13271461.6</v>
      </c>
      <c r="H837">
        <v>21225670.390000001</v>
      </c>
      <c r="I837">
        <v>4.53</v>
      </c>
      <c r="J837">
        <v>4.6900000000000004</v>
      </c>
    </row>
    <row r="838" spans="1:10" x14ac:dyDescent="0.25">
      <c r="A838">
        <v>45329</v>
      </c>
      <c r="B838" t="s">
        <v>19</v>
      </c>
      <c r="C838" t="s">
        <v>21</v>
      </c>
      <c r="D838" t="s">
        <v>17</v>
      </c>
      <c r="E838">
        <v>239</v>
      </c>
      <c r="F838">
        <v>18956117.440000001</v>
      </c>
      <c r="G838">
        <v>6338245.21</v>
      </c>
      <c r="H838">
        <v>12617872.23</v>
      </c>
      <c r="I838">
        <v>1.44</v>
      </c>
      <c r="J838">
        <v>3.63</v>
      </c>
    </row>
    <row r="839" spans="1:10" x14ac:dyDescent="0.25">
      <c r="A839">
        <v>45010</v>
      </c>
      <c r="B839" t="s">
        <v>19</v>
      </c>
      <c r="C839" t="s">
        <v>22</v>
      </c>
      <c r="D839" t="s">
        <v>17</v>
      </c>
      <c r="E839">
        <v>386</v>
      </c>
      <c r="F839">
        <v>21117444.760000002</v>
      </c>
      <c r="G839">
        <v>4591386.75</v>
      </c>
      <c r="H839">
        <v>16526058.01</v>
      </c>
      <c r="I839">
        <v>3.05</v>
      </c>
      <c r="J839">
        <v>3.77</v>
      </c>
    </row>
    <row r="840" spans="1:10" x14ac:dyDescent="0.25">
      <c r="A840">
        <v>44243</v>
      </c>
      <c r="B840" t="s">
        <v>19</v>
      </c>
      <c r="C840" t="s">
        <v>20</v>
      </c>
      <c r="D840" t="s">
        <v>12</v>
      </c>
      <c r="E840">
        <v>121</v>
      </c>
      <c r="F840">
        <v>9614940.1899999995</v>
      </c>
      <c r="G840">
        <v>2262157.73</v>
      </c>
      <c r="H840">
        <v>7352782.4699999997</v>
      </c>
      <c r="I840">
        <v>2.23</v>
      </c>
      <c r="J840">
        <v>4.1900000000000004</v>
      </c>
    </row>
    <row r="841" spans="1:10" x14ac:dyDescent="0.25">
      <c r="A841">
        <v>45488</v>
      </c>
      <c r="B841" t="s">
        <v>19</v>
      </c>
      <c r="C841" t="s">
        <v>24</v>
      </c>
      <c r="D841" t="s">
        <v>14</v>
      </c>
      <c r="E841">
        <v>294</v>
      </c>
      <c r="F841">
        <v>13592670.09</v>
      </c>
      <c r="G841">
        <v>5391515.4500000002</v>
      </c>
      <c r="H841">
        <v>8201154.6399999997</v>
      </c>
      <c r="I841">
        <v>3.56</v>
      </c>
      <c r="J841">
        <v>3.61</v>
      </c>
    </row>
    <row r="842" spans="1:10" x14ac:dyDescent="0.25">
      <c r="A842">
        <v>44306</v>
      </c>
      <c r="B842" t="s">
        <v>19</v>
      </c>
      <c r="C842" t="s">
        <v>22</v>
      </c>
      <c r="D842" t="s">
        <v>14</v>
      </c>
      <c r="E842">
        <v>456</v>
      </c>
      <c r="F842">
        <v>29291829.59</v>
      </c>
      <c r="G842">
        <v>11525403.109999999</v>
      </c>
      <c r="H842">
        <v>17766426.48</v>
      </c>
      <c r="I842">
        <v>2.64</v>
      </c>
      <c r="J842">
        <v>4.1100000000000003</v>
      </c>
    </row>
    <row r="843" spans="1:10" x14ac:dyDescent="0.25">
      <c r="A843">
        <v>45274</v>
      </c>
      <c r="B843" t="s">
        <v>19</v>
      </c>
      <c r="C843" t="s">
        <v>23</v>
      </c>
      <c r="D843" t="s">
        <v>14</v>
      </c>
      <c r="E843">
        <v>247</v>
      </c>
      <c r="F843">
        <v>17531765.699999999</v>
      </c>
      <c r="G843">
        <v>4841435.55</v>
      </c>
      <c r="H843">
        <v>12690330.140000001</v>
      </c>
      <c r="I843">
        <v>1.99</v>
      </c>
      <c r="J843">
        <v>4.8899999999999997</v>
      </c>
    </row>
    <row r="844" spans="1:10" x14ac:dyDescent="0.25">
      <c r="A844">
        <v>45196</v>
      </c>
      <c r="B844" t="s">
        <v>19</v>
      </c>
      <c r="C844" t="s">
        <v>21</v>
      </c>
      <c r="D844" t="s">
        <v>14</v>
      </c>
      <c r="E844">
        <v>62</v>
      </c>
      <c r="F844">
        <v>2933780.48</v>
      </c>
      <c r="G844">
        <v>1033193.85</v>
      </c>
      <c r="H844">
        <v>1900586.64</v>
      </c>
      <c r="I844">
        <v>2.81</v>
      </c>
      <c r="J844">
        <v>4.66</v>
      </c>
    </row>
    <row r="845" spans="1:10" x14ac:dyDescent="0.25">
      <c r="A845">
        <v>43954</v>
      </c>
      <c r="B845" t="s">
        <v>19</v>
      </c>
      <c r="C845" t="s">
        <v>24</v>
      </c>
      <c r="D845" t="s">
        <v>12</v>
      </c>
      <c r="E845">
        <v>288</v>
      </c>
      <c r="F845">
        <v>20562559.280000001</v>
      </c>
      <c r="G845">
        <v>7909170.2699999996</v>
      </c>
      <c r="H845">
        <v>12653389.02</v>
      </c>
      <c r="I845">
        <v>2.1</v>
      </c>
      <c r="J845">
        <v>4.33</v>
      </c>
    </row>
    <row r="846" spans="1:10" x14ac:dyDescent="0.25">
      <c r="A846">
        <v>45329</v>
      </c>
      <c r="B846" t="s">
        <v>19</v>
      </c>
      <c r="C846" t="s">
        <v>24</v>
      </c>
      <c r="D846" t="s">
        <v>17</v>
      </c>
      <c r="E846">
        <v>465</v>
      </c>
      <c r="F846">
        <v>40320185.119999997</v>
      </c>
      <c r="G846">
        <v>15750791.26</v>
      </c>
      <c r="H846">
        <v>24569393.859999999</v>
      </c>
      <c r="I846">
        <v>1.94</v>
      </c>
      <c r="J846">
        <v>4.16</v>
      </c>
    </row>
    <row r="847" spans="1:10" x14ac:dyDescent="0.25">
      <c r="A847">
        <v>45378</v>
      </c>
      <c r="B847" t="s">
        <v>19</v>
      </c>
      <c r="C847" t="s">
        <v>24</v>
      </c>
      <c r="D847" t="s">
        <v>17</v>
      </c>
      <c r="E847">
        <v>376</v>
      </c>
      <c r="F847">
        <v>18440356.210000001</v>
      </c>
      <c r="G847">
        <v>6985670.46</v>
      </c>
      <c r="H847">
        <v>11454685.75</v>
      </c>
      <c r="I847">
        <v>2.1</v>
      </c>
      <c r="J847">
        <v>4.12</v>
      </c>
    </row>
    <row r="848" spans="1:10" x14ac:dyDescent="0.25">
      <c r="A848">
        <v>45528</v>
      </c>
      <c r="B848" t="s">
        <v>19</v>
      </c>
      <c r="C848" t="s">
        <v>24</v>
      </c>
      <c r="D848" t="s">
        <v>12</v>
      </c>
      <c r="E848">
        <v>363</v>
      </c>
      <c r="F848">
        <v>23441836.289999999</v>
      </c>
      <c r="G848">
        <v>8072901.8600000003</v>
      </c>
      <c r="H848">
        <v>15368934.439999999</v>
      </c>
      <c r="I848">
        <v>1.48</v>
      </c>
      <c r="J848">
        <v>3.93</v>
      </c>
    </row>
    <row r="849" spans="1:10" x14ac:dyDescent="0.25">
      <c r="A849">
        <v>44221</v>
      </c>
      <c r="B849" t="s">
        <v>19</v>
      </c>
      <c r="C849" t="s">
        <v>24</v>
      </c>
      <c r="D849" t="s">
        <v>12</v>
      </c>
      <c r="E849">
        <v>345</v>
      </c>
      <c r="F849">
        <v>15050521.08</v>
      </c>
      <c r="G849">
        <v>3529942.74</v>
      </c>
      <c r="H849">
        <v>11520578.34</v>
      </c>
      <c r="I849">
        <v>0.69</v>
      </c>
      <c r="J849">
        <v>4.13</v>
      </c>
    </row>
    <row r="850" spans="1:10" x14ac:dyDescent="0.25">
      <c r="A850">
        <v>44665</v>
      </c>
      <c r="B850" t="s">
        <v>19</v>
      </c>
      <c r="C850" t="s">
        <v>23</v>
      </c>
      <c r="D850" t="s">
        <v>14</v>
      </c>
      <c r="E850">
        <v>333</v>
      </c>
      <c r="F850">
        <v>21147228.170000002</v>
      </c>
      <c r="G850">
        <v>5455499.4699999997</v>
      </c>
      <c r="H850">
        <v>15691728.699999999</v>
      </c>
      <c r="I850">
        <v>0.93</v>
      </c>
      <c r="J850">
        <v>3.98</v>
      </c>
    </row>
    <row r="851" spans="1:10" x14ac:dyDescent="0.25">
      <c r="A851">
        <v>44920</v>
      </c>
      <c r="B851" t="s">
        <v>19</v>
      </c>
      <c r="C851" t="s">
        <v>23</v>
      </c>
      <c r="D851" t="s">
        <v>17</v>
      </c>
      <c r="E851">
        <v>320</v>
      </c>
      <c r="F851">
        <v>24074159.93</v>
      </c>
      <c r="G851">
        <v>5016486.74</v>
      </c>
      <c r="H851">
        <v>19057673.190000001</v>
      </c>
      <c r="I851">
        <v>1.49</v>
      </c>
      <c r="J851">
        <v>4.83</v>
      </c>
    </row>
    <row r="852" spans="1:10" x14ac:dyDescent="0.25">
      <c r="A852">
        <v>44570</v>
      </c>
      <c r="B852" t="s">
        <v>19</v>
      </c>
      <c r="C852" t="s">
        <v>22</v>
      </c>
      <c r="D852" t="s">
        <v>12</v>
      </c>
      <c r="E852">
        <v>413</v>
      </c>
      <c r="F852">
        <v>35271492.670000002</v>
      </c>
      <c r="G852">
        <v>9626194.5</v>
      </c>
      <c r="H852">
        <v>25645298.170000002</v>
      </c>
      <c r="I852">
        <v>3.33</v>
      </c>
      <c r="J852">
        <v>4.0999999999999996</v>
      </c>
    </row>
    <row r="853" spans="1:10" x14ac:dyDescent="0.25">
      <c r="A853">
        <v>43875</v>
      </c>
      <c r="B853" t="s">
        <v>19</v>
      </c>
      <c r="C853" t="s">
        <v>23</v>
      </c>
      <c r="D853" t="s">
        <v>12</v>
      </c>
      <c r="E853">
        <v>279</v>
      </c>
      <c r="F853">
        <v>17917706.710000001</v>
      </c>
      <c r="G853">
        <v>4739455.3499999996</v>
      </c>
      <c r="H853">
        <v>13178251.359999999</v>
      </c>
      <c r="I853">
        <v>2.4300000000000002</v>
      </c>
      <c r="J853">
        <v>4.5999999999999996</v>
      </c>
    </row>
    <row r="854" spans="1:10" x14ac:dyDescent="0.25">
      <c r="A854">
        <v>45088</v>
      </c>
      <c r="B854" t="s">
        <v>19</v>
      </c>
      <c r="C854" t="s">
        <v>21</v>
      </c>
      <c r="D854" t="s">
        <v>17</v>
      </c>
      <c r="E854">
        <v>220</v>
      </c>
      <c r="F854">
        <v>18512494.5</v>
      </c>
      <c r="G854">
        <v>4968549.95</v>
      </c>
      <c r="H854">
        <v>13543944.550000001</v>
      </c>
      <c r="I854">
        <v>0.54</v>
      </c>
      <c r="J854">
        <v>4.91</v>
      </c>
    </row>
    <row r="855" spans="1:10" x14ac:dyDescent="0.25">
      <c r="A855">
        <v>45245</v>
      </c>
      <c r="B855" t="s">
        <v>19</v>
      </c>
      <c r="C855" t="s">
        <v>21</v>
      </c>
      <c r="D855" t="s">
        <v>17</v>
      </c>
      <c r="E855">
        <v>157</v>
      </c>
      <c r="F855">
        <v>8768014.5899999999</v>
      </c>
      <c r="G855">
        <v>1902552.67</v>
      </c>
      <c r="H855">
        <v>6865461.9299999997</v>
      </c>
      <c r="I855">
        <v>1.63</v>
      </c>
      <c r="J855">
        <v>4.7699999999999996</v>
      </c>
    </row>
    <row r="856" spans="1:10" x14ac:dyDescent="0.25">
      <c r="A856">
        <v>44696</v>
      </c>
      <c r="B856" t="s">
        <v>19</v>
      </c>
      <c r="C856" t="s">
        <v>23</v>
      </c>
      <c r="D856" t="s">
        <v>14</v>
      </c>
      <c r="E856">
        <v>473</v>
      </c>
      <c r="F856">
        <v>30797470.809999999</v>
      </c>
      <c r="G856">
        <v>10628917.949999999</v>
      </c>
      <c r="H856">
        <v>20168552.859999999</v>
      </c>
      <c r="I856">
        <v>4.5599999999999996</v>
      </c>
      <c r="J856">
        <v>3.82</v>
      </c>
    </row>
    <row r="857" spans="1:10" x14ac:dyDescent="0.25">
      <c r="A857">
        <v>44252</v>
      </c>
      <c r="B857" t="s">
        <v>19</v>
      </c>
      <c r="C857" t="s">
        <v>20</v>
      </c>
      <c r="D857" t="s">
        <v>12</v>
      </c>
      <c r="E857">
        <v>425</v>
      </c>
      <c r="F857">
        <v>15792922.560000001</v>
      </c>
      <c r="G857">
        <v>5458038.4400000004</v>
      </c>
      <c r="H857">
        <v>10334884.119999999</v>
      </c>
      <c r="I857">
        <v>0.53</v>
      </c>
      <c r="J857">
        <v>4.97</v>
      </c>
    </row>
    <row r="858" spans="1:10" x14ac:dyDescent="0.25">
      <c r="A858">
        <v>45100</v>
      </c>
      <c r="B858" t="s">
        <v>19</v>
      </c>
      <c r="C858" t="s">
        <v>21</v>
      </c>
      <c r="D858" t="s">
        <v>14</v>
      </c>
      <c r="E858">
        <v>437</v>
      </c>
      <c r="F858">
        <v>23090651.489999998</v>
      </c>
      <c r="G858">
        <v>8156094.0899999999</v>
      </c>
      <c r="H858">
        <v>14934557.4</v>
      </c>
      <c r="I858">
        <v>1.45</v>
      </c>
      <c r="J858">
        <v>4.79</v>
      </c>
    </row>
    <row r="859" spans="1:10" x14ac:dyDescent="0.25">
      <c r="A859">
        <v>44810</v>
      </c>
      <c r="B859" t="s">
        <v>19</v>
      </c>
      <c r="C859" t="s">
        <v>24</v>
      </c>
      <c r="D859" t="s">
        <v>14</v>
      </c>
      <c r="E859">
        <v>340</v>
      </c>
      <c r="F859">
        <v>29604341.780000001</v>
      </c>
      <c r="G859">
        <v>9472132.5099999998</v>
      </c>
      <c r="H859">
        <v>20132209.260000002</v>
      </c>
      <c r="I859">
        <v>4.0199999999999996</v>
      </c>
      <c r="J859">
        <v>3.9</v>
      </c>
    </row>
    <row r="860" spans="1:10" x14ac:dyDescent="0.25">
      <c r="A860">
        <v>45634</v>
      </c>
      <c r="B860" t="s">
        <v>19</v>
      </c>
      <c r="C860" t="s">
        <v>20</v>
      </c>
      <c r="D860" t="s">
        <v>12</v>
      </c>
      <c r="E860">
        <v>300</v>
      </c>
      <c r="F860">
        <v>23373122.93</v>
      </c>
      <c r="G860">
        <v>4685737</v>
      </c>
      <c r="H860">
        <v>18687385.93</v>
      </c>
      <c r="I860">
        <v>1.36</v>
      </c>
      <c r="J860">
        <v>4.1900000000000004</v>
      </c>
    </row>
    <row r="861" spans="1:10" x14ac:dyDescent="0.25">
      <c r="A861">
        <v>44334</v>
      </c>
      <c r="B861" t="s">
        <v>19</v>
      </c>
      <c r="C861" t="s">
        <v>23</v>
      </c>
      <c r="D861" t="s">
        <v>17</v>
      </c>
      <c r="E861">
        <v>67</v>
      </c>
      <c r="F861">
        <v>2788628.23</v>
      </c>
      <c r="G861">
        <v>592009.16</v>
      </c>
      <c r="H861">
        <v>2196619.0699999998</v>
      </c>
      <c r="I861">
        <v>1.32</v>
      </c>
      <c r="J861">
        <v>4.43</v>
      </c>
    </row>
    <row r="862" spans="1:10" x14ac:dyDescent="0.25">
      <c r="A862">
        <v>45177</v>
      </c>
      <c r="B862" t="s">
        <v>19</v>
      </c>
      <c r="C862" t="s">
        <v>23</v>
      </c>
      <c r="D862" t="s">
        <v>14</v>
      </c>
      <c r="E862">
        <v>224</v>
      </c>
      <c r="F862">
        <v>13012535.960000001</v>
      </c>
      <c r="G862">
        <v>3911840.22</v>
      </c>
      <c r="H862">
        <v>9100695.7300000004</v>
      </c>
      <c r="I862">
        <v>4.63</v>
      </c>
      <c r="J862">
        <v>4.66</v>
      </c>
    </row>
    <row r="863" spans="1:10" x14ac:dyDescent="0.25">
      <c r="A863">
        <v>45429</v>
      </c>
      <c r="B863" t="s">
        <v>19</v>
      </c>
      <c r="C863" t="s">
        <v>21</v>
      </c>
      <c r="D863" t="s">
        <v>17</v>
      </c>
      <c r="E863">
        <v>286</v>
      </c>
      <c r="F863">
        <v>18904056.09</v>
      </c>
      <c r="G863">
        <v>5889550.0700000003</v>
      </c>
      <c r="H863">
        <v>13014506.02</v>
      </c>
      <c r="I863">
        <v>4.09</v>
      </c>
      <c r="J863">
        <v>4.59</v>
      </c>
    </row>
    <row r="864" spans="1:10" x14ac:dyDescent="0.25">
      <c r="A864">
        <v>44368</v>
      </c>
      <c r="B864" t="s">
        <v>19</v>
      </c>
      <c r="C864" t="s">
        <v>22</v>
      </c>
      <c r="D864" t="s">
        <v>17</v>
      </c>
      <c r="E864">
        <v>363</v>
      </c>
      <c r="F864">
        <v>19503977.640000001</v>
      </c>
      <c r="G864">
        <v>4661592.1399999997</v>
      </c>
      <c r="H864">
        <v>14842385.5</v>
      </c>
      <c r="I864">
        <v>0.74</v>
      </c>
      <c r="J864">
        <v>3.74</v>
      </c>
    </row>
    <row r="865" spans="1:10" x14ac:dyDescent="0.25">
      <c r="A865">
        <v>45443</v>
      </c>
      <c r="B865" t="s">
        <v>19</v>
      </c>
      <c r="C865" t="s">
        <v>22</v>
      </c>
      <c r="D865" t="s">
        <v>17</v>
      </c>
      <c r="E865">
        <v>97</v>
      </c>
      <c r="F865">
        <v>4264706.97</v>
      </c>
      <c r="G865">
        <v>1506454.14</v>
      </c>
      <c r="H865">
        <v>2758252.83</v>
      </c>
      <c r="I865">
        <v>0.61</v>
      </c>
      <c r="J865">
        <v>4.75</v>
      </c>
    </row>
    <row r="866" spans="1:10" x14ac:dyDescent="0.25">
      <c r="A866">
        <v>45033</v>
      </c>
      <c r="B866" t="s">
        <v>19</v>
      </c>
      <c r="C866" t="s">
        <v>20</v>
      </c>
      <c r="D866" t="s">
        <v>17</v>
      </c>
      <c r="E866">
        <v>222</v>
      </c>
      <c r="F866">
        <v>11489194.76</v>
      </c>
      <c r="G866">
        <v>3987863.19</v>
      </c>
      <c r="H866">
        <v>7501331.5800000001</v>
      </c>
      <c r="I866">
        <v>1.76</v>
      </c>
      <c r="J866">
        <v>3.92</v>
      </c>
    </row>
    <row r="867" spans="1:10" x14ac:dyDescent="0.25">
      <c r="A867">
        <v>45325</v>
      </c>
      <c r="B867" t="s">
        <v>19</v>
      </c>
      <c r="C867" t="s">
        <v>23</v>
      </c>
      <c r="D867" t="s">
        <v>14</v>
      </c>
      <c r="E867">
        <v>170</v>
      </c>
      <c r="F867">
        <v>9873516.0299999993</v>
      </c>
      <c r="G867">
        <v>3849442.05</v>
      </c>
      <c r="H867">
        <v>6024073.9800000004</v>
      </c>
      <c r="I867">
        <v>0.68</v>
      </c>
      <c r="J867">
        <v>4.3600000000000003</v>
      </c>
    </row>
    <row r="868" spans="1:10" x14ac:dyDescent="0.25">
      <c r="A868">
        <v>44029</v>
      </c>
      <c r="B868" t="s">
        <v>19</v>
      </c>
      <c r="C868" t="s">
        <v>20</v>
      </c>
      <c r="D868" t="s">
        <v>14</v>
      </c>
      <c r="E868">
        <v>67</v>
      </c>
      <c r="F868">
        <v>5506564.5099999998</v>
      </c>
      <c r="G868">
        <v>1397392.79</v>
      </c>
      <c r="H868">
        <v>4109171.72</v>
      </c>
      <c r="I868">
        <v>4.76</v>
      </c>
      <c r="J868">
        <v>4.67</v>
      </c>
    </row>
    <row r="869" spans="1:10" x14ac:dyDescent="0.25">
      <c r="A869">
        <v>43925</v>
      </c>
      <c r="B869" t="s">
        <v>19</v>
      </c>
      <c r="C869" t="s">
        <v>24</v>
      </c>
      <c r="D869" t="s">
        <v>14</v>
      </c>
      <c r="E869">
        <v>480</v>
      </c>
      <c r="F869">
        <v>23343856.670000002</v>
      </c>
      <c r="G869">
        <v>6080064.7699999996</v>
      </c>
      <c r="H869">
        <v>17263791.899999999</v>
      </c>
      <c r="I869">
        <v>2.14</v>
      </c>
      <c r="J869">
        <v>4.3499999999999996</v>
      </c>
    </row>
    <row r="870" spans="1:10" x14ac:dyDescent="0.25">
      <c r="A870">
        <v>44665</v>
      </c>
      <c r="B870" t="s">
        <v>19</v>
      </c>
      <c r="C870" t="s">
        <v>22</v>
      </c>
      <c r="D870" t="s">
        <v>12</v>
      </c>
      <c r="E870">
        <v>295</v>
      </c>
      <c r="F870">
        <v>19154623.300000001</v>
      </c>
      <c r="G870">
        <v>6607428.75</v>
      </c>
      <c r="H870">
        <v>12547194.550000001</v>
      </c>
      <c r="I870">
        <v>3.69</v>
      </c>
      <c r="J870">
        <v>3.91</v>
      </c>
    </row>
    <row r="871" spans="1:10" x14ac:dyDescent="0.25">
      <c r="A871">
        <v>44922</v>
      </c>
      <c r="B871" t="s">
        <v>19</v>
      </c>
      <c r="C871" t="s">
        <v>23</v>
      </c>
      <c r="D871" t="s">
        <v>14</v>
      </c>
      <c r="E871">
        <v>312</v>
      </c>
      <c r="F871">
        <v>13184524.880000001</v>
      </c>
      <c r="G871">
        <v>3920594.93</v>
      </c>
      <c r="H871">
        <v>9263929.9600000009</v>
      </c>
      <c r="I871">
        <v>1.38</v>
      </c>
      <c r="J871">
        <v>3.64</v>
      </c>
    </row>
    <row r="872" spans="1:10" x14ac:dyDescent="0.25">
      <c r="A872">
        <v>43853</v>
      </c>
      <c r="B872" t="s">
        <v>19</v>
      </c>
      <c r="C872" t="s">
        <v>23</v>
      </c>
      <c r="D872" t="s">
        <v>12</v>
      </c>
      <c r="E872">
        <v>190</v>
      </c>
      <c r="F872">
        <v>15348198.99</v>
      </c>
      <c r="G872">
        <v>3666227.96</v>
      </c>
      <c r="H872">
        <v>11681971.029999999</v>
      </c>
      <c r="I872">
        <v>1.51</v>
      </c>
      <c r="J872">
        <v>3.84</v>
      </c>
    </row>
    <row r="873" spans="1:10" x14ac:dyDescent="0.25">
      <c r="A873">
        <v>44248</v>
      </c>
      <c r="B873" t="s">
        <v>19</v>
      </c>
      <c r="C873" t="s">
        <v>21</v>
      </c>
      <c r="D873" t="s">
        <v>17</v>
      </c>
      <c r="E873">
        <v>57</v>
      </c>
      <c r="F873">
        <v>4911799.05</v>
      </c>
      <c r="G873">
        <v>1871040.88</v>
      </c>
      <c r="H873">
        <v>3040758.16</v>
      </c>
      <c r="I873">
        <v>2.5299999999999998</v>
      </c>
      <c r="J873">
        <v>4.01</v>
      </c>
    </row>
    <row r="874" spans="1:10" x14ac:dyDescent="0.25">
      <c r="A874">
        <v>44457</v>
      </c>
      <c r="B874" t="s">
        <v>19</v>
      </c>
      <c r="C874" t="s">
        <v>23</v>
      </c>
      <c r="D874" t="s">
        <v>12</v>
      </c>
      <c r="E874">
        <v>125</v>
      </c>
      <c r="F874">
        <v>6350371.1799999997</v>
      </c>
      <c r="G874">
        <v>2184850.3199999998</v>
      </c>
      <c r="H874">
        <v>4165520.85</v>
      </c>
      <c r="I874">
        <v>1.99</v>
      </c>
      <c r="J874">
        <v>4.49</v>
      </c>
    </row>
    <row r="875" spans="1:10" x14ac:dyDescent="0.25">
      <c r="A875">
        <v>44714</v>
      </c>
      <c r="B875" t="s">
        <v>19</v>
      </c>
      <c r="C875" t="s">
        <v>22</v>
      </c>
      <c r="D875" t="s">
        <v>14</v>
      </c>
      <c r="E875">
        <v>229</v>
      </c>
      <c r="F875">
        <v>14218483.119999999</v>
      </c>
      <c r="G875">
        <v>4430174.97</v>
      </c>
      <c r="H875">
        <v>9788308.1500000004</v>
      </c>
      <c r="I875">
        <v>2</v>
      </c>
      <c r="J875">
        <v>4.09</v>
      </c>
    </row>
    <row r="876" spans="1:10" x14ac:dyDescent="0.25">
      <c r="A876">
        <v>45065</v>
      </c>
      <c r="B876" t="s">
        <v>19</v>
      </c>
      <c r="C876" t="s">
        <v>21</v>
      </c>
      <c r="D876" t="s">
        <v>17</v>
      </c>
      <c r="E876">
        <v>479</v>
      </c>
      <c r="F876">
        <v>31327524.59</v>
      </c>
      <c r="G876">
        <v>11176091.09</v>
      </c>
      <c r="H876">
        <v>20151433.5</v>
      </c>
      <c r="I876">
        <v>1.44</v>
      </c>
      <c r="J876">
        <v>3.94</v>
      </c>
    </row>
    <row r="877" spans="1:10" x14ac:dyDescent="0.25">
      <c r="A877">
        <v>43988</v>
      </c>
      <c r="B877" t="s">
        <v>19</v>
      </c>
      <c r="C877" t="s">
        <v>20</v>
      </c>
      <c r="D877" t="s">
        <v>14</v>
      </c>
      <c r="E877">
        <v>360</v>
      </c>
      <c r="F877">
        <v>15647218.109999999</v>
      </c>
      <c r="G877">
        <v>5791819.4400000004</v>
      </c>
      <c r="H877">
        <v>9855398.6699999999</v>
      </c>
      <c r="I877">
        <v>1.71</v>
      </c>
      <c r="J877">
        <v>4.04</v>
      </c>
    </row>
    <row r="878" spans="1:10" x14ac:dyDescent="0.25">
      <c r="A878">
        <v>44093</v>
      </c>
      <c r="B878" t="s">
        <v>19</v>
      </c>
      <c r="C878" t="s">
        <v>24</v>
      </c>
      <c r="D878" t="s">
        <v>12</v>
      </c>
      <c r="E878">
        <v>455</v>
      </c>
      <c r="F878">
        <v>19067278.609999999</v>
      </c>
      <c r="G878">
        <v>6973685.71</v>
      </c>
      <c r="H878">
        <v>12093592.9</v>
      </c>
      <c r="I878">
        <v>4.22</v>
      </c>
      <c r="J878">
        <v>4.38</v>
      </c>
    </row>
    <row r="879" spans="1:10" x14ac:dyDescent="0.25">
      <c r="A879">
        <v>44413</v>
      </c>
      <c r="B879" t="s">
        <v>19</v>
      </c>
      <c r="C879" t="s">
        <v>21</v>
      </c>
      <c r="D879" t="s">
        <v>12</v>
      </c>
      <c r="E879">
        <v>324</v>
      </c>
      <c r="F879">
        <v>23763456.989999998</v>
      </c>
      <c r="G879">
        <v>8586044.3100000005</v>
      </c>
      <c r="H879">
        <v>15177412.689999999</v>
      </c>
      <c r="I879">
        <v>3.39</v>
      </c>
      <c r="J879">
        <v>3.89</v>
      </c>
    </row>
    <row r="880" spans="1:10" x14ac:dyDescent="0.25">
      <c r="A880">
        <v>44485</v>
      </c>
      <c r="B880" t="s">
        <v>19</v>
      </c>
      <c r="C880" t="s">
        <v>24</v>
      </c>
      <c r="D880" t="s">
        <v>14</v>
      </c>
      <c r="E880">
        <v>71</v>
      </c>
      <c r="F880">
        <v>3802199.28</v>
      </c>
      <c r="G880">
        <v>1283689.47</v>
      </c>
      <c r="H880">
        <v>2518509.81</v>
      </c>
      <c r="I880">
        <v>1.05</v>
      </c>
      <c r="J880">
        <v>3.67</v>
      </c>
    </row>
    <row r="881" spans="1:10" x14ac:dyDescent="0.25">
      <c r="A881">
        <v>45563</v>
      </c>
      <c r="B881" t="s">
        <v>19</v>
      </c>
      <c r="C881" t="s">
        <v>21</v>
      </c>
      <c r="D881" t="s">
        <v>14</v>
      </c>
      <c r="E881">
        <v>87</v>
      </c>
      <c r="F881">
        <v>4195943.6399999997</v>
      </c>
      <c r="G881">
        <v>1114120.51</v>
      </c>
      <c r="H881">
        <v>3081823.12</v>
      </c>
      <c r="I881">
        <v>4.22</v>
      </c>
      <c r="J881">
        <v>4.51</v>
      </c>
    </row>
    <row r="882" spans="1:10" x14ac:dyDescent="0.25">
      <c r="A882">
        <v>43945</v>
      </c>
      <c r="B882" t="s">
        <v>19</v>
      </c>
      <c r="C882" t="s">
        <v>20</v>
      </c>
      <c r="D882" t="s">
        <v>14</v>
      </c>
      <c r="E882">
        <v>437</v>
      </c>
      <c r="F882">
        <v>17832892.809999999</v>
      </c>
      <c r="G882">
        <v>6971610.2199999997</v>
      </c>
      <c r="H882">
        <v>10861282.59</v>
      </c>
      <c r="I882">
        <v>3.45</v>
      </c>
      <c r="J882">
        <v>4.3</v>
      </c>
    </row>
    <row r="883" spans="1:10" x14ac:dyDescent="0.25">
      <c r="A883">
        <v>44025</v>
      </c>
      <c r="B883" t="s">
        <v>19</v>
      </c>
      <c r="C883" t="s">
        <v>22</v>
      </c>
      <c r="D883" t="s">
        <v>17</v>
      </c>
      <c r="E883">
        <v>327</v>
      </c>
      <c r="F883">
        <v>23517805.789999999</v>
      </c>
      <c r="G883">
        <v>8134131.9800000004</v>
      </c>
      <c r="H883">
        <v>15383673.810000001</v>
      </c>
      <c r="I883">
        <v>0.87</v>
      </c>
      <c r="J883">
        <v>4.99</v>
      </c>
    </row>
    <row r="884" spans="1:10" x14ac:dyDescent="0.25">
      <c r="A884">
        <v>44398</v>
      </c>
      <c r="B884" t="s">
        <v>19</v>
      </c>
      <c r="C884" t="s">
        <v>24</v>
      </c>
      <c r="D884" t="s">
        <v>17</v>
      </c>
      <c r="E884">
        <v>155</v>
      </c>
      <c r="F884">
        <v>9726877.1799999997</v>
      </c>
      <c r="G884">
        <v>3662596.96</v>
      </c>
      <c r="H884">
        <v>6064280.2300000004</v>
      </c>
      <c r="I884">
        <v>1.26</v>
      </c>
      <c r="J884">
        <v>4.03</v>
      </c>
    </row>
    <row r="885" spans="1:10" x14ac:dyDescent="0.25">
      <c r="A885">
        <v>45361</v>
      </c>
      <c r="B885" t="s">
        <v>19</v>
      </c>
      <c r="C885" t="s">
        <v>23</v>
      </c>
      <c r="D885" t="s">
        <v>12</v>
      </c>
      <c r="E885">
        <v>212</v>
      </c>
      <c r="F885">
        <v>14157230.210000001</v>
      </c>
      <c r="G885">
        <v>3210572.29</v>
      </c>
      <c r="H885">
        <v>10946657.92</v>
      </c>
      <c r="I885">
        <v>1.8</v>
      </c>
      <c r="J885">
        <v>4.2</v>
      </c>
    </row>
    <row r="886" spans="1:10" x14ac:dyDescent="0.25">
      <c r="A886">
        <v>45460</v>
      </c>
      <c r="B886" t="s">
        <v>19</v>
      </c>
      <c r="C886" t="s">
        <v>23</v>
      </c>
      <c r="D886" t="s">
        <v>12</v>
      </c>
      <c r="E886">
        <v>371</v>
      </c>
      <c r="F886">
        <v>21848146.370000001</v>
      </c>
      <c r="G886">
        <v>6788472.8600000003</v>
      </c>
      <c r="H886">
        <v>15059673.51</v>
      </c>
      <c r="I886">
        <v>3.28</v>
      </c>
      <c r="J886">
        <v>4.5</v>
      </c>
    </row>
    <row r="887" spans="1:10" x14ac:dyDescent="0.25">
      <c r="A887">
        <v>44592</v>
      </c>
      <c r="B887" t="s">
        <v>19</v>
      </c>
      <c r="C887" t="s">
        <v>22</v>
      </c>
      <c r="D887" t="s">
        <v>12</v>
      </c>
      <c r="E887">
        <v>401</v>
      </c>
      <c r="F887">
        <v>32794421.219999999</v>
      </c>
      <c r="G887">
        <v>11795967.18</v>
      </c>
      <c r="H887">
        <v>20998454.030000001</v>
      </c>
      <c r="I887">
        <v>4.7</v>
      </c>
      <c r="J887">
        <v>4.53</v>
      </c>
    </row>
    <row r="888" spans="1:10" x14ac:dyDescent="0.25">
      <c r="A888">
        <v>44270</v>
      </c>
      <c r="B888" t="s">
        <v>19</v>
      </c>
      <c r="C888" t="s">
        <v>21</v>
      </c>
      <c r="D888" t="s">
        <v>14</v>
      </c>
      <c r="E888">
        <v>178</v>
      </c>
      <c r="F888">
        <v>7494617.8200000003</v>
      </c>
      <c r="G888">
        <v>2848634.51</v>
      </c>
      <c r="H888">
        <v>4645983.3099999996</v>
      </c>
      <c r="I888">
        <v>3.21</v>
      </c>
      <c r="J888">
        <v>4.29</v>
      </c>
    </row>
    <row r="889" spans="1:10" x14ac:dyDescent="0.25">
      <c r="A889">
        <v>45210</v>
      </c>
      <c r="B889" t="s">
        <v>19</v>
      </c>
      <c r="C889" t="s">
        <v>23</v>
      </c>
      <c r="D889" t="s">
        <v>17</v>
      </c>
      <c r="E889">
        <v>445</v>
      </c>
      <c r="F889">
        <v>16557398.58</v>
      </c>
      <c r="G889">
        <v>3676029.34</v>
      </c>
      <c r="H889">
        <v>12881369.24</v>
      </c>
      <c r="I889">
        <v>4.96</v>
      </c>
      <c r="J889">
        <v>3.94</v>
      </c>
    </row>
    <row r="890" spans="1:10" x14ac:dyDescent="0.25">
      <c r="A890">
        <v>44019</v>
      </c>
      <c r="B890" t="s">
        <v>19</v>
      </c>
      <c r="C890" t="s">
        <v>20</v>
      </c>
      <c r="D890" t="s">
        <v>12</v>
      </c>
      <c r="E890">
        <v>230</v>
      </c>
      <c r="F890">
        <v>17731846.550000001</v>
      </c>
      <c r="G890">
        <v>6195413.7699999996</v>
      </c>
      <c r="H890">
        <v>11536432.779999999</v>
      </c>
      <c r="I890">
        <v>4.4000000000000004</v>
      </c>
      <c r="J890">
        <v>3.65</v>
      </c>
    </row>
    <row r="891" spans="1:10" x14ac:dyDescent="0.25">
      <c r="A891">
        <v>44546</v>
      </c>
      <c r="B891" t="s">
        <v>19</v>
      </c>
      <c r="C891" t="s">
        <v>22</v>
      </c>
      <c r="D891" t="s">
        <v>14</v>
      </c>
      <c r="E891">
        <v>459</v>
      </c>
      <c r="F891">
        <v>23331301.140000001</v>
      </c>
      <c r="G891">
        <v>8897291.6099999994</v>
      </c>
      <c r="H891">
        <v>14434009.529999999</v>
      </c>
      <c r="I891">
        <v>4.84</v>
      </c>
      <c r="J891">
        <v>3.7</v>
      </c>
    </row>
    <row r="892" spans="1:10" x14ac:dyDescent="0.25">
      <c r="A892">
        <v>44673</v>
      </c>
      <c r="B892" t="s">
        <v>19</v>
      </c>
      <c r="C892" t="s">
        <v>22</v>
      </c>
      <c r="D892" t="s">
        <v>12</v>
      </c>
      <c r="E892">
        <v>244</v>
      </c>
      <c r="F892">
        <v>17618411.920000002</v>
      </c>
      <c r="G892">
        <v>4953445.3099999996</v>
      </c>
      <c r="H892">
        <v>12664966.609999999</v>
      </c>
      <c r="I892">
        <v>3.21</v>
      </c>
      <c r="J892">
        <v>4.5199999999999996</v>
      </c>
    </row>
    <row r="893" spans="1:10" x14ac:dyDescent="0.25">
      <c r="A893">
        <v>44604</v>
      </c>
      <c r="B893" t="s">
        <v>19</v>
      </c>
      <c r="C893" t="s">
        <v>22</v>
      </c>
      <c r="D893" t="s">
        <v>12</v>
      </c>
      <c r="E893">
        <v>365</v>
      </c>
      <c r="F893">
        <v>12802026.390000001</v>
      </c>
      <c r="G893">
        <v>4152719.35</v>
      </c>
      <c r="H893">
        <v>8649307.0399999991</v>
      </c>
      <c r="I893">
        <v>1.1499999999999999</v>
      </c>
      <c r="J893">
        <v>3.53</v>
      </c>
    </row>
    <row r="894" spans="1:10" x14ac:dyDescent="0.25">
      <c r="A894">
        <v>44338</v>
      </c>
      <c r="B894" t="s">
        <v>19</v>
      </c>
      <c r="C894" t="s">
        <v>24</v>
      </c>
      <c r="D894" t="s">
        <v>17</v>
      </c>
      <c r="E894">
        <v>315</v>
      </c>
      <c r="F894">
        <v>23020038.350000001</v>
      </c>
      <c r="G894">
        <v>8133749.2400000002</v>
      </c>
      <c r="H894">
        <v>14886289.119999999</v>
      </c>
      <c r="I894">
        <v>3.31</v>
      </c>
      <c r="J894">
        <v>4.62</v>
      </c>
    </row>
    <row r="895" spans="1:10" x14ac:dyDescent="0.25">
      <c r="A895">
        <v>44152</v>
      </c>
      <c r="B895" t="s">
        <v>19</v>
      </c>
      <c r="C895" t="s">
        <v>23</v>
      </c>
      <c r="D895" t="s">
        <v>12</v>
      </c>
      <c r="E895">
        <v>91</v>
      </c>
      <c r="F895">
        <v>4441655.92</v>
      </c>
      <c r="G895">
        <v>1198869.3400000001</v>
      </c>
      <c r="H895">
        <v>3242786.58</v>
      </c>
      <c r="I895">
        <v>1.46</v>
      </c>
      <c r="J895">
        <v>3.68</v>
      </c>
    </row>
    <row r="896" spans="1:10" x14ac:dyDescent="0.25">
      <c r="A896">
        <v>44198</v>
      </c>
      <c r="B896" t="s">
        <v>19</v>
      </c>
      <c r="C896" t="s">
        <v>23</v>
      </c>
      <c r="D896" t="s">
        <v>17</v>
      </c>
      <c r="E896">
        <v>291</v>
      </c>
      <c r="F896">
        <v>10905174.119999999</v>
      </c>
      <c r="G896">
        <v>2760860.19</v>
      </c>
      <c r="H896">
        <v>8144313.9400000004</v>
      </c>
      <c r="I896">
        <v>2.04</v>
      </c>
      <c r="J896">
        <v>4.22</v>
      </c>
    </row>
    <row r="897" spans="1:10" x14ac:dyDescent="0.25">
      <c r="A897">
        <v>45454</v>
      </c>
      <c r="B897" t="s">
        <v>19</v>
      </c>
      <c r="C897" t="s">
        <v>20</v>
      </c>
      <c r="D897" t="s">
        <v>14</v>
      </c>
      <c r="E897">
        <v>371</v>
      </c>
      <c r="F897">
        <v>21379098.129999999</v>
      </c>
      <c r="G897">
        <v>8011233.71</v>
      </c>
      <c r="H897">
        <v>13367864.42</v>
      </c>
      <c r="I897">
        <v>0.63</v>
      </c>
      <c r="J897">
        <v>4.43</v>
      </c>
    </row>
    <row r="898" spans="1:10" x14ac:dyDescent="0.25">
      <c r="A898">
        <v>44909</v>
      </c>
      <c r="B898" t="s">
        <v>19</v>
      </c>
      <c r="C898" t="s">
        <v>20</v>
      </c>
      <c r="D898" t="s">
        <v>12</v>
      </c>
      <c r="E898">
        <v>275</v>
      </c>
      <c r="F898">
        <v>22360486.879999999</v>
      </c>
      <c r="G898">
        <v>6785453.0999999996</v>
      </c>
      <c r="H898">
        <v>15575033.779999999</v>
      </c>
      <c r="I898">
        <v>4</v>
      </c>
      <c r="J898">
        <v>4.51</v>
      </c>
    </row>
    <row r="899" spans="1:10" x14ac:dyDescent="0.25">
      <c r="A899">
        <v>43930</v>
      </c>
      <c r="B899" t="s">
        <v>19</v>
      </c>
      <c r="C899" t="s">
        <v>22</v>
      </c>
      <c r="D899" t="s">
        <v>14</v>
      </c>
      <c r="E899">
        <v>213</v>
      </c>
      <c r="F899">
        <v>9500991.7799999993</v>
      </c>
      <c r="G899">
        <v>3238067.16</v>
      </c>
      <c r="H899">
        <v>6262924.6299999999</v>
      </c>
      <c r="I899">
        <v>3.49</v>
      </c>
      <c r="J899">
        <v>4.95</v>
      </c>
    </row>
    <row r="900" spans="1:10" x14ac:dyDescent="0.25">
      <c r="A900">
        <v>44796</v>
      </c>
      <c r="B900" t="s">
        <v>19</v>
      </c>
      <c r="C900" t="s">
        <v>22</v>
      </c>
      <c r="D900" t="s">
        <v>14</v>
      </c>
      <c r="E900">
        <v>334</v>
      </c>
      <c r="F900">
        <v>26495832.41</v>
      </c>
      <c r="G900">
        <v>7461137.1500000004</v>
      </c>
      <c r="H900">
        <v>19034695.260000002</v>
      </c>
      <c r="I900">
        <v>1.25</v>
      </c>
      <c r="J900">
        <v>3.54</v>
      </c>
    </row>
    <row r="901" spans="1:10" x14ac:dyDescent="0.25">
      <c r="A901">
        <v>43948</v>
      </c>
      <c r="B901" t="s">
        <v>19</v>
      </c>
      <c r="C901" t="s">
        <v>24</v>
      </c>
      <c r="D901" t="s">
        <v>17</v>
      </c>
      <c r="E901">
        <v>454</v>
      </c>
      <c r="F901">
        <v>17622770.329999998</v>
      </c>
      <c r="G901">
        <v>6732332.3099999996</v>
      </c>
      <c r="H901">
        <v>10890438.02</v>
      </c>
      <c r="I901">
        <v>3.2</v>
      </c>
      <c r="J901">
        <v>4.01</v>
      </c>
    </row>
    <row r="902" spans="1:10" x14ac:dyDescent="0.25">
      <c r="A902">
        <v>44719</v>
      </c>
      <c r="B902" t="s">
        <v>19</v>
      </c>
      <c r="C902" t="s">
        <v>22</v>
      </c>
      <c r="D902" t="s">
        <v>14</v>
      </c>
      <c r="E902">
        <v>177</v>
      </c>
      <c r="F902">
        <v>14596393.060000001</v>
      </c>
      <c r="G902">
        <v>5398658.4699999997</v>
      </c>
      <c r="H902">
        <v>9197734.5999999996</v>
      </c>
      <c r="I902">
        <v>4.33</v>
      </c>
      <c r="J902">
        <v>4.99</v>
      </c>
    </row>
    <row r="903" spans="1:10" x14ac:dyDescent="0.25">
      <c r="A903">
        <v>44100</v>
      </c>
      <c r="B903" t="s">
        <v>19</v>
      </c>
      <c r="C903" t="s">
        <v>22</v>
      </c>
      <c r="D903" t="s">
        <v>14</v>
      </c>
      <c r="E903">
        <v>71</v>
      </c>
      <c r="F903">
        <v>4536961.55</v>
      </c>
      <c r="G903">
        <v>1181576.52</v>
      </c>
      <c r="H903">
        <v>3355385.03</v>
      </c>
      <c r="I903">
        <v>4.55</v>
      </c>
      <c r="J903">
        <v>4.6900000000000004</v>
      </c>
    </row>
    <row r="904" spans="1:10" x14ac:dyDescent="0.25">
      <c r="A904">
        <v>44811</v>
      </c>
      <c r="B904" t="s">
        <v>19</v>
      </c>
      <c r="C904" t="s">
        <v>21</v>
      </c>
      <c r="D904" t="s">
        <v>14</v>
      </c>
      <c r="E904">
        <v>466</v>
      </c>
      <c r="F904">
        <v>37775915.280000001</v>
      </c>
      <c r="G904">
        <v>10467813.58</v>
      </c>
      <c r="H904">
        <v>27308101.699999999</v>
      </c>
      <c r="I904">
        <v>3.12</v>
      </c>
      <c r="J904">
        <v>3.88</v>
      </c>
    </row>
    <row r="905" spans="1:10" x14ac:dyDescent="0.25">
      <c r="A905">
        <v>43929</v>
      </c>
      <c r="B905" t="s">
        <v>19</v>
      </c>
      <c r="C905" t="s">
        <v>20</v>
      </c>
      <c r="D905" t="s">
        <v>12</v>
      </c>
      <c r="E905">
        <v>414</v>
      </c>
      <c r="F905">
        <v>20682405.32</v>
      </c>
      <c r="G905">
        <v>7371658.5599999996</v>
      </c>
      <c r="H905">
        <v>13310746.76</v>
      </c>
      <c r="I905">
        <v>3.48</v>
      </c>
      <c r="J905">
        <v>4.45</v>
      </c>
    </row>
    <row r="906" spans="1:10" x14ac:dyDescent="0.25">
      <c r="A906">
        <v>44745</v>
      </c>
      <c r="B906" t="s">
        <v>19</v>
      </c>
      <c r="C906" t="s">
        <v>23</v>
      </c>
      <c r="D906" t="s">
        <v>12</v>
      </c>
      <c r="E906">
        <v>280</v>
      </c>
      <c r="F906">
        <v>10050149.029999999</v>
      </c>
      <c r="G906">
        <v>2555194</v>
      </c>
      <c r="H906">
        <v>7494955.0300000003</v>
      </c>
      <c r="I906">
        <v>1.96</v>
      </c>
      <c r="J906">
        <v>4.5</v>
      </c>
    </row>
    <row r="907" spans="1:10" x14ac:dyDescent="0.25">
      <c r="A907">
        <v>44493</v>
      </c>
      <c r="B907" t="s">
        <v>19</v>
      </c>
      <c r="C907" t="s">
        <v>23</v>
      </c>
      <c r="D907" t="s">
        <v>12</v>
      </c>
      <c r="E907">
        <v>191</v>
      </c>
      <c r="F907">
        <v>8023016.3200000003</v>
      </c>
      <c r="G907">
        <v>3006591.45</v>
      </c>
      <c r="H907">
        <v>5016424.87</v>
      </c>
      <c r="I907">
        <v>4.16</v>
      </c>
      <c r="J907">
        <v>4.8899999999999997</v>
      </c>
    </row>
    <row r="908" spans="1:10" x14ac:dyDescent="0.25">
      <c r="A908">
        <v>43854</v>
      </c>
      <c r="B908" t="s">
        <v>19</v>
      </c>
      <c r="C908" t="s">
        <v>20</v>
      </c>
      <c r="D908" t="s">
        <v>12</v>
      </c>
      <c r="E908">
        <v>359</v>
      </c>
      <c r="F908">
        <v>30698759.469999999</v>
      </c>
      <c r="G908">
        <v>8289966.4000000004</v>
      </c>
      <c r="H908">
        <v>22408793.07</v>
      </c>
      <c r="I908">
        <v>0.97</v>
      </c>
      <c r="J908">
        <v>4.0999999999999996</v>
      </c>
    </row>
    <row r="909" spans="1:10" x14ac:dyDescent="0.25">
      <c r="A909">
        <v>44119</v>
      </c>
      <c r="B909" t="s">
        <v>19</v>
      </c>
      <c r="C909" t="s">
        <v>23</v>
      </c>
      <c r="D909" t="s">
        <v>12</v>
      </c>
      <c r="E909">
        <v>153</v>
      </c>
      <c r="F909">
        <v>7780637.0199999996</v>
      </c>
      <c r="G909">
        <v>2647310.6</v>
      </c>
      <c r="H909">
        <v>5133326.43</v>
      </c>
      <c r="I909">
        <v>4.51</v>
      </c>
      <c r="J909">
        <v>3.52</v>
      </c>
    </row>
    <row r="910" spans="1:10" x14ac:dyDescent="0.25">
      <c r="A910">
        <v>45244</v>
      </c>
      <c r="B910" t="s">
        <v>19</v>
      </c>
      <c r="C910" t="s">
        <v>23</v>
      </c>
      <c r="D910" t="s">
        <v>14</v>
      </c>
      <c r="E910">
        <v>404</v>
      </c>
      <c r="F910">
        <v>22063567.030000001</v>
      </c>
      <c r="G910">
        <v>7702473.6299999999</v>
      </c>
      <c r="H910">
        <v>14361093.4</v>
      </c>
      <c r="I910">
        <v>0.56000000000000005</v>
      </c>
      <c r="J910">
        <v>4.3099999999999996</v>
      </c>
    </row>
    <row r="911" spans="1:10" x14ac:dyDescent="0.25">
      <c r="A911">
        <v>44488</v>
      </c>
      <c r="B911" t="s">
        <v>19</v>
      </c>
      <c r="C911" t="s">
        <v>21</v>
      </c>
      <c r="D911" t="s">
        <v>12</v>
      </c>
      <c r="E911">
        <v>473</v>
      </c>
      <c r="F911">
        <v>39822930.170000002</v>
      </c>
      <c r="G911">
        <v>9369487.8699999992</v>
      </c>
      <c r="H911">
        <v>30453442.300000001</v>
      </c>
      <c r="I911">
        <v>4.54</v>
      </c>
      <c r="J911">
        <v>4.33</v>
      </c>
    </row>
    <row r="912" spans="1:10" x14ac:dyDescent="0.25">
      <c r="A912">
        <v>44573</v>
      </c>
      <c r="B912" t="s">
        <v>19</v>
      </c>
      <c r="C912" t="s">
        <v>22</v>
      </c>
      <c r="D912" t="s">
        <v>12</v>
      </c>
      <c r="E912">
        <v>458</v>
      </c>
      <c r="F912">
        <v>25704034.059999999</v>
      </c>
      <c r="G912">
        <v>6856459.2599999998</v>
      </c>
      <c r="H912">
        <v>18847574.800000001</v>
      </c>
      <c r="I912">
        <v>4.95</v>
      </c>
      <c r="J912">
        <v>3.84</v>
      </c>
    </row>
    <row r="913" spans="1:10" x14ac:dyDescent="0.25">
      <c r="A913">
        <v>44652</v>
      </c>
      <c r="B913" t="s">
        <v>19</v>
      </c>
      <c r="C913" t="s">
        <v>21</v>
      </c>
      <c r="D913" t="s">
        <v>14</v>
      </c>
      <c r="E913">
        <v>121</v>
      </c>
      <c r="F913">
        <v>4866993.91</v>
      </c>
      <c r="G913">
        <v>1640256.33</v>
      </c>
      <c r="H913">
        <v>3226737.57</v>
      </c>
      <c r="I913">
        <v>0.93</v>
      </c>
      <c r="J913">
        <v>3.77</v>
      </c>
    </row>
    <row r="914" spans="1:10" x14ac:dyDescent="0.25">
      <c r="A914">
        <v>43889</v>
      </c>
      <c r="B914" t="s">
        <v>19</v>
      </c>
      <c r="C914" t="s">
        <v>23</v>
      </c>
      <c r="D914" t="s">
        <v>12</v>
      </c>
      <c r="E914">
        <v>103</v>
      </c>
      <c r="F914">
        <v>6120846.6500000004</v>
      </c>
      <c r="G914">
        <v>1797237.56</v>
      </c>
      <c r="H914">
        <v>4323609.09</v>
      </c>
      <c r="I914">
        <v>4.43</v>
      </c>
      <c r="J914">
        <v>4.99</v>
      </c>
    </row>
    <row r="915" spans="1:10" x14ac:dyDescent="0.25">
      <c r="A915">
        <v>44452</v>
      </c>
      <c r="B915" t="s">
        <v>19</v>
      </c>
      <c r="C915" t="s">
        <v>23</v>
      </c>
      <c r="D915" t="s">
        <v>12</v>
      </c>
      <c r="E915">
        <v>95</v>
      </c>
      <c r="F915">
        <v>5748429.4500000002</v>
      </c>
      <c r="G915">
        <v>1931440.89</v>
      </c>
      <c r="H915">
        <v>3816988.56</v>
      </c>
      <c r="I915">
        <v>2.64</v>
      </c>
      <c r="J915">
        <v>3.98</v>
      </c>
    </row>
    <row r="916" spans="1:10" x14ac:dyDescent="0.25">
      <c r="A916">
        <v>45441</v>
      </c>
      <c r="B916" t="s">
        <v>19</v>
      </c>
      <c r="C916" t="s">
        <v>21</v>
      </c>
      <c r="D916" t="s">
        <v>14</v>
      </c>
      <c r="E916">
        <v>243</v>
      </c>
      <c r="F916">
        <v>17493059.57</v>
      </c>
      <c r="G916">
        <v>4610499.8600000003</v>
      </c>
      <c r="H916">
        <v>12882559.710000001</v>
      </c>
      <c r="I916">
        <v>1.92</v>
      </c>
      <c r="J916">
        <v>3.7</v>
      </c>
    </row>
    <row r="917" spans="1:10" x14ac:dyDescent="0.25">
      <c r="A917">
        <v>45409</v>
      </c>
      <c r="B917" t="s">
        <v>19</v>
      </c>
      <c r="C917" t="s">
        <v>24</v>
      </c>
      <c r="D917" t="s">
        <v>12</v>
      </c>
      <c r="E917">
        <v>180</v>
      </c>
      <c r="F917">
        <v>13611208.199999999</v>
      </c>
      <c r="G917">
        <v>3629790.49</v>
      </c>
      <c r="H917">
        <v>9981417.6999999993</v>
      </c>
      <c r="I917">
        <v>1.04</v>
      </c>
      <c r="J917">
        <v>4.3600000000000003</v>
      </c>
    </row>
    <row r="918" spans="1:10" x14ac:dyDescent="0.25">
      <c r="A918">
        <v>45040</v>
      </c>
      <c r="B918" t="s">
        <v>19</v>
      </c>
      <c r="C918" t="s">
        <v>20</v>
      </c>
      <c r="D918" t="s">
        <v>17</v>
      </c>
      <c r="E918">
        <v>325</v>
      </c>
      <c r="F918">
        <v>24843313.98</v>
      </c>
      <c r="G918">
        <v>5600381.46</v>
      </c>
      <c r="H918">
        <v>19242932.52</v>
      </c>
      <c r="I918">
        <v>2.75</v>
      </c>
      <c r="J918">
        <v>4.5999999999999996</v>
      </c>
    </row>
    <row r="919" spans="1:10" x14ac:dyDescent="0.25">
      <c r="A919">
        <v>44869</v>
      </c>
      <c r="B919" t="s">
        <v>19</v>
      </c>
      <c r="C919" t="s">
        <v>23</v>
      </c>
      <c r="D919" t="s">
        <v>12</v>
      </c>
      <c r="E919">
        <v>222</v>
      </c>
      <c r="F919">
        <v>17298047.399999999</v>
      </c>
      <c r="G919">
        <v>4588474.0599999996</v>
      </c>
      <c r="H919">
        <v>12709573.35</v>
      </c>
      <c r="I919">
        <v>3.95</v>
      </c>
      <c r="J919">
        <v>3.96</v>
      </c>
    </row>
    <row r="920" spans="1:10" x14ac:dyDescent="0.25">
      <c r="A920">
        <v>44051</v>
      </c>
      <c r="B920" t="s">
        <v>19</v>
      </c>
      <c r="C920" t="s">
        <v>21</v>
      </c>
      <c r="D920" t="s">
        <v>17</v>
      </c>
      <c r="E920">
        <v>160</v>
      </c>
      <c r="F920">
        <v>11030532.310000001</v>
      </c>
      <c r="G920">
        <v>2537112.15</v>
      </c>
      <c r="H920">
        <v>8493420.1600000001</v>
      </c>
      <c r="I920">
        <v>1.38</v>
      </c>
      <c r="J920">
        <v>3.69</v>
      </c>
    </row>
    <row r="921" spans="1:10" x14ac:dyDescent="0.25">
      <c r="A921">
        <v>44502</v>
      </c>
      <c r="B921" t="s">
        <v>19</v>
      </c>
      <c r="C921" t="s">
        <v>20</v>
      </c>
      <c r="D921" t="s">
        <v>12</v>
      </c>
      <c r="E921">
        <v>347</v>
      </c>
      <c r="F921">
        <v>22137210.920000002</v>
      </c>
      <c r="G921">
        <v>7605183.5999999996</v>
      </c>
      <c r="H921">
        <v>14532027.32</v>
      </c>
      <c r="I921">
        <v>1.84</v>
      </c>
      <c r="J921">
        <v>3.92</v>
      </c>
    </row>
    <row r="922" spans="1:10" x14ac:dyDescent="0.25">
      <c r="A922">
        <v>45624</v>
      </c>
      <c r="B922" t="s">
        <v>19</v>
      </c>
      <c r="C922" t="s">
        <v>23</v>
      </c>
      <c r="D922" t="s">
        <v>12</v>
      </c>
      <c r="E922">
        <v>186</v>
      </c>
      <c r="F922">
        <v>7390108.9699999997</v>
      </c>
      <c r="G922">
        <v>2871756.56</v>
      </c>
      <c r="H922">
        <v>4518352.4000000004</v>
      </c>
      <c r="I922">
        <v>0.97</v>
      </c>
      <c r="J922">
        <v>4.38</v>
      </c>
    </row>
    <row r="923" spans="1:10" x14ac:dyDescent="0.25">
      <c r="A923">
        <v>45583</v>
      </c>
      <c r="B923" t="s">
        <v>19</v>
      </c>
      <c r="C923" t="s">
        <v>20</v>
      </c>
      <c r="D923" t="s">
        <v>12</v>
      </c>
      <c r="E923">
        <v>488</v>
      </c>
      <c r="F923">
        <v>23353602.859999999</v>
      </c>
      <c r="G923">
        <v>6362576.3399999999</v>
      </c>
      <c r="H923">
        <v>16991026.52</v>
      </c>
      <c r="I923">
        <v>4.1900000000000004</v>
      </c>
      <c r="J923">
        <v>3.56</v>
      </c>
    </row>
    <row r="924" spans="1:10" x14ac:dyDescent="0.25">
      <c r="A924">
        <v>45166</v>
      </c>
      <c r="B924" t="s">
        <v>19</v>
      </c>
      <c r="C924" t="s">
        <v>20</v>
      </c>
      <c r="D924" t="s">
        <v>12</v>
      </c>
      <c r="E924">
        <v>476</v>
      </c>
      <c r="F924">
        <v>23775370.989999998</v>
      </c>
      <c r="G924">
        <v>7612080.6699999999</v>
      </c>
      <c r="H924">
        <v>16163290.32</v>
      </c>
      <c r="I924">
        <v>3.19</v>
      </c>
      <c r="J924">
        <v>4.4800000000000004</v>
      </c>
    </row>
    <row r="925" spans="1:10" x14ac:dyDescent="0.25">
      <c r="A925">
        <v>44036</v>
      </c>
      <c r="B925" t="s">
        <v>19</v>
      </c>
      <c r="C925" t="s">
        <v>24</v>
      </c>
      <c r="D925" t="s">
        <v>12</v>
      </c>
      <c r="E925">
        <v>269</v>
      </c>
      <c r="F925">
        <v>22699952.670000002</v>
      </c>
      <c r="G925">
        <v>5402931.8700000001</v>
      </c>
      <c r="H925">
        <v>17297020.800000001</v>
      </c>
      <c r="I925">
        <v>3.12</v>
      </c>
      <c r="J925">
        <v>4.5999999999999996</v>
      </c>
    </row>
    <row r="926" spans="1:10" x14ac:dyDescent="0.25">
      <c r="A926">
        <v>44452</v>
      </c>
      <c r="B926" t="s">
        <v>19</v>
      </c>
      <c r="C926" t="s">
        <v>21</v>
      </c>
      <c r="D926" t="s">
        <v>17</v>
      </c>
      <c r="E926">
        <v>425</v>
      </c>
      <c r="F926">
        <v>16619673.33</v>
      </c>
      <c r="G926">
        <v>3630616.06</v>
      </c>
      <c r="H926">
        <v>12989057.27</v>
      </c>
      <c r="I926">
        <v>4.9800000000000004</v>
      </c>
      <c r="J926">
        <v>4.55</v>
      </c>
    </row>
    <row r="927" spans="1:10" x14ac:dyDescent="0.25">
      <c r="A927">
        <v>44851</v>
      </c>
      <c r="B927" t="s">
        <v>19</v>
      </c>
      <c r="C927" t="s">
        <v>24</v>
      </c>
      <c r="D927" t="s">
        <v>12</v>
      </c>
      <c r="E927">
        <v>407</v>
      </c>
      <c r="F927">
        <v>26701460.91</v>
      </c>
      <c r="G927">
        <v>8765440.3300000001</v>
      </c>
      <c r="H927">
        <v>17936020.57</v>
      </c>
      <c r="I927">
        <v>4.5999999999999996</v>
      </c>
      <c r="J927">
        <v>3.53</v>
      </c>
    </row>
    <row r="928" spans="1:10" x14ac:dyDescent="0.25">
      <c r="A928">
        <v>44367</v>
      </c>
      <c r="B928" t="s">
        <v>19</v>
      </c>
      <c r="C928" t="s">
        <v>23</v>
      </c>
      <c r="D928" t="s">
        <v>12</v>
      </c>
      <c r="E928">
        <v>137</v>
      </c>
      <c r="F928">
        <v>11758151.640000001</v>
      </c>
      <c r="G928">
        <v>2409997.85</v>
      </c>
      <c r="H928">
        <v>9348153.7899999991</v>
      </c>
      <c r="I928">
        <v>4.25</v>
      </c>
      <c r="J928">
        <v>3.95</v>
      </c>
    </row>
    <row r="929" spans="1:10" x14ac:dyDescent="0.25">
      <c r="A929">
        <v>44864</v>
      </c>
      <c r="B929" t="s">
        <v>19</v>
      </c>
      <c r="C929" t="s">
        <v>24</v>
      </c>
      <c r="D929" t="s">
        <v>12</v>
      </c>
      <c r="E929">
        <v>165</v>
      </c>
      <c r="F929">
        <v>11906640.84</v>
      </c>
      <c r="G929">
        <v>3819799.87</v>
      </c>
      <c r="H929">
        <v>8086840.9699999997</v>
      </c>
      <c r="I929">
        <v>3.9</v>
      </c>
      <c r="J929">
        <v>4.18</v>
      </c>
    </row>
    <row r="930" spans="1:10" x14ac:dyDescent="0.25">
      <c r="A930">
        <v>44501</v>
      </c>
      <c r="B930" t="s">
        <v>19</v>
      </c>
      <c r="C930" t="s">
        <v>23</v>
      </c>
      <c r="D930" t="s">
        <v>12</v>
      </c>
      <c r="E930">
        <v>60</v>
      </c>
      <c r="F930">
        <v>3321080.93</v>
      </c>
      <c r="G930">
        <v>962800.11</v>
      </c>
      <c r="H930">
        <v>2358280.8199999998</v>
      </c>
      <c r="I930">
        <v>4.0599999999999996</v>
      </c>
      <c r="J930">
        <v>3.98</v>
      </c>
    </row>
    <row r="931" spans="1:10" x14ac:dyDescent="0.25">
      <c r="A931">
        <v>45602</v>
      </c>
      <c r="B931" t="s">
        <v>19</v>
      </c>
      <c r="C931" t="s">
        <v>24</v>
      </c>
      <c r="D931" t="s">
        <v>14</v>
      </c>
      <c r="E931">
        <v>284</v>
      </c>
      <c r="F931">
        <v>25080806.710000001</v>
      </c>
      <c r="G931">
        <v>8137020.2300000004</v>
      </c>
      <c r="H931">
        <v>16943786.48</v>
      </c>
      <c r="I931">
        <v>0.78</v>
      </c>
      <c r="J931">
        <v>4.01</v>
      </c>
    </row>
    <row r="932" spans="1:10" x14ac:dyDescent="0.25">
      <c r="A932">
        <v>43947</v>
      </c>
      <c r="B932" t="s">
        <v>19</v>
      </c>
      <c r="C932" t="s">
        <v>23</v>
      </c>
      <c r="D932" t="s">
        <v>14</v>
      </c>
      <c r="E932">
        <v>213</v>
      </c>
      <c r="F932">
        <v>9400305.2899999991</v>
      </c>
      <c r="G932">
        <v>3645241.61</v>
      </c>
      <c r="H932">
        <v>5755063.6799999997</v>
      </c>
      <c r="I932">
        <v>2.75</v>
      </c>
      <c r="J932">
        <v>3.66</v>
      </c>
    </row>
    <row r="933" spans="1:10" x14ac:dyDescent="0.25">
      <c r="A933">
        <v>45131</v>
      </c>
      <c r="B933" t="s">
        <v>19</v>
      </c>
      <c r="C933" t="s">
        <v>20</v>
      </c>
      <c r="D933" t="s">
        <v>17</v>
      </c>
      <c r="E933">
        <v>287</v>
      </c>
      <c r="F933">
        <v>15644390.27</v>
      </c>
      <c r="G933">
        <v>5004001.63</v>
      </c>
      <c r="H933">
        <v>10640388.630000001</v>
      </c>
      <c r="I933">
        <v>1.02</v>
      </c>
      <c r="J933">
        <v>4.82</v>
      </c>
    </row>
    <row r="934" spans="1:10" x14ac:dyDescent="0.25">
      <c r="A934">
        <v>44965</v>
      </c>
      <c r="B934" t="s">
        <v>19</v>
      </c>
      <c r="C934" t="s">
        <v>24</v>
      </c>
      <c r="D934" t="s">
        <v>17</v>
      </c>
      <c r="E934">
        <v>484</v>
      </c>
      <c r="F934">
        <v>16944965.379999999</v>
      </c>
      <c r="G934">
        <v>4697214.03</v>
      </c>
      <c r="H934">
        <v>12247751.35</v>
      </c>
      <c r="I934">
        <v>3.27</v>
      </c>
      <c r="J934">
        <v>4.1900000000000004</v>
      </c>
    </row>
    <row r="935" spans="1:10" x14ac:dyDescent="0.25">
      <c r="A935">
        <v>44827</v>
      </c>
      <c r="B935" t="s">
        <v>19</v>
      </c>
      <c r="C935" t="s">
        <v>23</v>
      </c>
      <c r="D935" t="s">
        <v>14</v>
      </c>
      <c r="E935">
        <v>471</v>
      </c>
      <c r="F935">
        <v>28281700.120000001</v>
      </c>
      <c r="G935">
        <v>8965522.7300000004</v>
      </c>
      <c r="H935">
        <v>19316177.399999999</v>
      </c>
      <c r="I935">
        <v>3.79</v>
      </c>
      <c r="J935">
        <v>3.7</v>
      </c>
    </row>
    <row r="936" spans="1:10" x14ac:dyDescent="0.25">
      <c r="A936">
        <v>43858</v>
      </c>
      <c r="B936" t="s">
        <v>19</v>
      </c>
      <c r="C936" t="s">
        <v>20</v>
      </c>
      <c r="D936" t="s">
        <v>17</v>
      </c>
      <c r="E936">
        <v>218</v>
      </c>
      <c r="F936">
        <v>9794413.5600000005</v>
      </c>
      <c r="G936">
        <v>3403616.33</v>
      </c>
      <c r="H936">
        <v>6390797.2300000004</v>
      </c>
      <c r="I936">
        <v>2.86</v>
      </c>
      <c r="J936">
        <v>3.67</v>
      </c>
    </row>
    <row r="937" spans="1:10" x14ac:dyDescent="0.25">
      <c r="A937">
        <v>45546</v>
      </c>
      <c r="B937" t="s">
        <v>19</v>
      </c>
      <c r="C937" t="s">
        <v>24</v>
      </c>
      <c r="D937" t="s">
        <v>17</v>
      </c>
      <c r="E937">
        <v>357</v>
      </c>
      <c r="F937">
        <v>18333693.670000002</v>
      </c>
      <c r="G937">
        <v>6737493.1299999999</v>
      </c>
      <c r="H937">
        <v>11596200.529999999</v>
      </c>
      <c r="I937">
        <v>3.54</v>
      </c>
      <c r="J937">
        <v>3.56</v>
      </c>
    </row>
    <row r="938" spans="1:10" x14ac:dyDescent="0.25">
      <c r="A938">
        <v>44720</v>
      </c>
      <c r="B938" t="s">
        <v>19</v>
      </c>
      <c r="C938" t="s">
        <v>21</v>
      </c>
      <c r="D938" t="s">
        <v>14</v>
      </c>
      <c r="E938">
        <v>181</v>
      </c>
      <c r="F938">
        <v>8413911.9600000009</v>
      </c>
      <c r="G938">
        <v>3267012.12</v>
      </c>
      <c r="H938">
        <v>5146899.84</v>
      </c>
      <c r="I938">
        <v>2.99</v>
      </c>
      <c r="J938">
        <v>4.3899999999999997</v>
      </c>
    </row>
    <row r="939" spans="1:10" x14ac:dyDescent="0.25">
      <c r="A939">
        <v>43891</v>
      </c>
      <c r="B939" t="s">
        <v>19</v>
      </c>
      <c r="C939" t="s">
        <v>23</v>
      </c>
      <c r="D939" t="s">
        <v>17</v>
      </c>
      <c r="E939">
        <v>238</v>
      </c>
      <c r="F939">
        <v>15882689.310000001</v>
      </c>
      <c r="G939">
        <v>5255642.71</v>
      </c>
      <c r="H939">
        <v>10627046.6</v>
      </c>
      <c r="I939">
        <v>4.1100000000000003</v>
      </c>
      <c r="J939">
        <v>4.3099999999999996</v>
      </c>
    </row>
    <row r="940" spans="1:10" x14ac:dyDescent="0.25">
      <c r="A940">
        <v>44246</v>
      </c>
      <c r="B940" t="s">
        <v>19</v>
      </c>
      <c r="C940" t="s">
        <v>22</v>
      </c>
      <c r="D940" t="s">
        <v>14</v>
      </c>
      <c r="E940">
        <v>172</v>
      </c>
      <c r="F940">
        <v>12437587.24</v>
      </c>
      <c r="G940">
        <v>3500506.84</v>
      </c>
      <c r="H940">
        <v>8937080.4000000004</v>
      </c>
      <c r="I940">
        <v>1.17</v>
      </c>
      <c r="J940">
        <v>3.76</v>
      </c>
    </row>
    <row r="941" spans="1:10" x14ac:dyDescent="0.25">
      <c r="A941">
        <v>44515</v>
      </c>
      <c r="B941" t="s">
        <v>19</v>
      </c>
      <c r="C941" t="s">
        <v>24</v>
      </c>
      <c r="D941" t="s">
        <v>12</v>
      </c>
      <c r="E941">
        <v>462</v>
      </c>
      <c r="F941">
        <v>19815558.899999999</v>
      </c>
      <c r="G941">
        <v>7326028.0300000003</v>
      </c>
      <c r="H941">
        <v>12489530.869999999</v>
      </c>
      <c r="I941">
        <v>2.4500000000000002</v>
      </c>
      <c r="J941">
        <v>4.3899999999999997</v>
      </c>
    </row>
    <row r="942" spans="1:10" x14ac:dyDescent="0.25">
      <c r="A942">
        <v>44607</v>
      </c>
      <c r="B942" t="s">
        <v>19</v>
      </c>
      <c r="C942" t="s">
        <v>21</v>
      </c>
      <c r="D942" t="s">
        <v>17</v>
      </c>
      <c r="E942">
        <v>66</v>
      </c>
      <c r="F942">
        <v>4210898.2</v>
      </c>
      <c r="G942">
        <v>1415599.97</v>
      </c>
      <c r="H942">
        <v>2795298.23</v>
      </c>
      <c r="I942">
        <v>2.61</v>
      </c>
      <c r="J942">
        <v>4.25</v>
      </c>
    </row>
    <row r="943" spans="1:10" x14ac:dyDescent="0.25">
      <c r="A943">
        <v>45321</v>
      </c>
      <c r="B943" t="s">
        <v>19</v>
      </c>
      <c r="C943" t="s">
        <v>21</v>
      </c>
      <c r="D943" t="s">
        <v>12</v>
      </c>
      <c r="E943">
        <v>79</v>
      </c>
      <c r="F943">
        <v>3113411.46</v>
      </c>
      <c r="G943">
        <v>948445.46</v>
      </c>
      <c r="H943">
        <v>2164966</v>
      </c>
      <c r="I943">
        <v>3.34</v>
      </c>
      <c r="J943">
        <v>4.74</v>
      </c>
    </row>
    <row r="944" spans="1:10" x14ac:dyDescent="0.25">
      <c r="A944">
        <v>44798</v>
      </c>
      <c r="B944" t="s">
        <v>19</v>
      </c>
      <c r="C944" t="s">
        <v>22</v>
      </c>
      <c r="D944" t="s">
        <v>12</v>
      </c>
      <c r="E944">
        <v>67</v>
      </c>
      <c r="F944">
        <v>3476192.86</v>
      </c>
      <c r="G944">
        <v>1254768.55</v>
      </c>
      <c r="H944">
        <v>2221424.31</v>
      </c>
      <c r="I944">
        <v>3.55</v>
      </c>
      <c r="J944">
        <v>3.98</v>
      </c>
    </row>
    <row r="945" spans="1:10" x14ac:dyDescent="0.25">
      <c r="A945">
        <v>45593</v>
      </c>
      <c r="B945" t="s">
        <v>19</v>
      </c>
      <c r="C945" t="s">
        <v>23</v>
      </c>
      <c r="D945" t="s">
        <v>12</v>
      </c>
      <c r="E945">
        <v>395</v>
      </c>
      <c r="F945">
        <v>34918676.920000002</v>
      </c>
      <c r="G945">
        <v>12730277.439999999</v>
      </c>
      <c r="H945">
        <v>22188399.48</v>
      </c>
      <c r="I945">
        <v>3.75</v>
      </c>
      <c r="J945">
        <v>3.56</v>
      </c>
    </row>
    <row r="946" spans="1:10" x14ac:dyDescent="0.25">
      <c r="A946">
        <v>44277</v>
      </c>
      <c r="B946" t="s">
        <v>19</v>
      </c>
      <c r="C946" t="s">
        <v>21</v>
      </c>
      <c r="D946" t="s">
        <v>14</v>
      </c>
      <c r="E946">
        <v>135</v>
      </c>
      <c r="F946">
        <v>8211176.0899999999</v>
      </c>
      <c r="G946">
        <v>2590369.81</v>
      </c>
      <c r="H946">
        <v>5620806.2800000003</v>
      </c>
      <c r="I946">
        <v>4.9800000000000004</v>
      </c>
      <c r="J946">
        <v>3.52</v>
      </c>
    </row>
    <row r="947" spans="1:10" x14ac:dyDescent="0.25">
      <c r="A947">
        <v>44465</v>
      </c>
      <c r="B947" t="s">
        <v>19</v>
      </c>
      <c r="C947" t="s">
        <v>23</v>
      </c>
      <c r="D947" t="s">
        <v>17</v>
      </c>
      <c r="E947">
        <v>475</v>
      </c>
      <c r="F947">
        <v>29198386.48</v>
      </c>
      <c r="G947">
        <v>6951113.6600000001</v>
      </c>
      <c r="H947">
        <v>22247272.809999999</v>
      </c>
      <c r="I947">
        <v>4.78</v>
      </c>
      <c r="J947">
        <v>3.53</v>
      </c>
    </row>
    <row r="948" spans="1:10" x14ac:dyDescent="0.25">
      <c r="A948">
        <v>44304</v>
      </c>
      <c r="B948" t="s">
        <v>19</v>
      </c>
      <c r="C948" t="s">
        <v>21</v>
      </c>
      <c r="D948" t="s">
        <v>12</v>
      </c>
      <c r="E948">
        <v>442</v>
      </c>
      <c r="F948">
        <v>36713900.170000002</v>
      </c>
      <c r="G948">
        <v>14590785.130000001</v>
      </c>
      <c r="H948">
        <v>22123115.039999999</v>
      </c>
      <c r="I948">
        <v>1.52</v>
      </c>
      <c r="J948">
        <v>4.3499999999999996</v>
      </c>
    </row>
    <row r="949" spans="1:10" x14ac:dyDescent="0.25">
      <c r="A949">
        <v>44894</v>
      </c>
      <c r="B949" t="s">
        <v>19</v>
      </c>
      <c r="C949" t="s">
        <v>20</v>
      </c>
      <c r="D949" t="s">
        <v>17</v>
      </c>
      <c r="E949">
        <v>166</v>
      </c>
      <c r="F949">
        <v>9825881.9900000002</v>
      </c>
      <c r="G949">
        <v>2664864.52</v>
      </c>
      <c r="H949">
        <v>7161017.4699999997</v>
      </c>
      <c r="I949">
        <v>2.21</v>
      </c>
      <c r="J949">
        <v>3.58</v>
      </c>
    </row>
    <row r="950" spans="1:10" x14ac:dyDescent="0.25">
      <c r="A950">
        <v>44207</v>
      </c>
      <c r="B950" t="s">
        <v>19</v>
      </c>
      <c r="C950" t="s">
        <v>20</v>
      </c>
      <c r="D950" t="s">
        <v>14</v>
      </c>
      <c r="E950">
        <v>308</v>
      </c>
      <c r="F950">
        <v>13986464.960000001</v>
      </c>
      <c r="G950">
        <v>4309701.3600000003</v>
      </c>
      <c r="H950">
        <v>9676763.5999999996</v>
      </c>
      <c r="I950">
        <v>3.88</v>
      </c>
      <c r="J950">
        <v>4.8600000000000003</v>
      </c>
    </row>
    <row r="951" spans="1:10" x14ac:dyDescent="0.25">
      <c r="A951">
        <v>44948</v>
      </c>
      <c r="B951" t="s">
        <v>19</v>
      </c>
      <c r="C951" t="s">
        <v>20</v>
      </c>
      <c r="D951" t="s">
        <v>14</v>
      </c>
      <c r="E951">
        <v>413</v>
      </c>
      <c r="F951">
        <v>15553558.98</v>
      </c>
      <c r="G951">
        <v>3669123.18</v>
      </c>
      <c r="H951">
        <v>11884435.800000001</v>
      </c>
      <c r="I951">
        <v>4.22</v>
      </c>
      <c r="J951">
        <v>4.38</v>
      </c>
    </row>
    <row r="952" spans="1:10" x14ac:dyDescent="0.25">
      <c r="A952">
        <v>45036</v>
      </c>
      <c r="B952" t="s">
        <v>19</v>
      </c>
      <c r="C952" t="s">
        <v>20</v>
      </c>
      <c r="D952" t="s">
        <v>12</v>
      </c>
      <c r="E952">
        <v>418</v>
      </c>
      <c r="F952">
        <v>26206545.100000001</v>
      </c>
      <c r="G952">
        <v>10125637.6</v>
      </c>
      <c r="H952">
        <v>16080907.51</v>
      </c>
      <c r="I952">
        <v>1.48</v>
      </c>
      <c r="J952">
        <v>4.9000000000000004</v>
      </c>
    </row>
    <row r="953" spans="1:10" x14ac:dyDescent="0.25">
      <c r="A953">
        <v>44699</v>
      </c>
      <c r="B953" t="s">
        <v>19</v>
      </c>
      <c r="C953" t="s">
        <v>20</v>
      </c>
      <c r="D953" t="s">
        <v>14</v>
      </c>
      <c r="E953">
        <v>475</v>
      </c>
      <c r="F953">
        <v>37117592.990000002</v>
      </c>
      <c r="G953">
        <v>10403593.68</v>
      </c>
      <c r="H953">
        <v>26713999.300000001</v>
      </c>
      <c r="I953">
        <v>2.36</v>
      </c>
      <c r="J953">
        <v>4.9400000000000004</v>
      </c>
    </row>
    <row r="954" spans="1:10" x14ac:dyDescent="0.25">
      <c r="A954">
        <v>45562</v>
      </c>
      <c r="B954" t="s">
        <v>19</v>
      </c>
      <c r="C954" t="s">
        <v>23</v>
      </c>
      <c r="D954" t="s">
        <v>14</v>
      </c>
      <c r="E954">
        <v>447</v>
      </c>
      <c r="F954">
        <v>19692389.91</v>
      </c>
      <c r="G954">
        <v>6241995.5300000003</v>
      </c>
      <c r="H954">
        <v>13450394.380000001</v>
      </c>
      <c r="I954">
        <v>0.56000000000000005</v>
      </c>
      <c r="J954">
        <v>4.22</v>
      </c>
    </row>
    <row r="955" spans="1:10" x14ac:dyDescent="0.25">
      <c r="A955">
        <v>45543</v>
      </c>
      <c r="B955" t="s">
        <v>19</v>
      </c>
      <c r="C955" t="s">
        <v>22</v>
      </c>
      <c r="D955" t="s">
        <v>14</v>
      </c>
      <c r="E955">
        <v>491</v>
      </c>
      <c r="F955">
        <v>22176560.940000001</v>
      </c>
      <c r="G955">
        <v>8606337</v>
      </c>
      <c r="H955">
        <v>13570223.939999999</v>
      </c>
      <c r="I955">
        <v>3.22</v>
      </c>
      <c r="J955">
        <v>4.6500000000000004</v>
      </c>
    </row>
    <row r="956" spans="1:10" x14ac:dyDescent="0.25">
      <c r="A956">
        <v>44194</v>
      </c>
      <c r="B956" t="s">
        <v>19</v>
      </c>
      <c r="C956" t="s">
        <v>23</v>
      </c>
      <c r="D956" t="s">
        <v>12</v>
      </c>
      <c r="E956">
        <v>492</v>
      </c>
      <c r="F956">
        <v>23356467.239999998</v>
      </c>
      <c r="G956">
        <v>6229067.1500000004</v>
      </c>
      <c r="H956">
        <v>17127400.09</v>
      </c>
      <c r="I956">
        <v>0.86</v>
      </c>
      <c r="J956">
        <v>4.16</v>
      </c>
    </row>
    <row r="957" spans="1:10" x14ac:dyDescent="0.25">
      <c r="A957">
        <v>44041</v>
      </c>
      <c r="B957" t="s">
        <v>19</v>
      </c>
      <c r="C957" t="s">
        <v>23</v>
      </c>
      <c r="D957" t="s">
        <v>14</v>
      </c>
      <c r="E957">
        <v>416</v>
      </c>
      <c r="F957">
        <v>17830944.879999999</v>
      </c>
      <c r="G957">
        <v>4485218.92</v>
      </c>
      <c r="H957">
        <v>13345725.960000001</v>
      </c>
      <c r="I957">
        <v>1.6</v>
      </c>
      <c r="J957">
        <v>4.4000000000000004</v>
      </c>
    </row>
    <row r="958" spans="1:10" x14ac:dyDescent="0.25">
      <c r="A958">
        <v>45481</v>
      </c>
      <c r="B958" t="s">
        <v>19</v>
      </c>
      <c r="C958" t="s">
        <v>21</v>
      </c>
      <c r="D958" t="s">
        <v>12</v>
      </c>
      <c r="E958">
        <v>445</v>
      </c>
      <c r="F958">
        <v>25310994.469999999</v>
      </c>
      <c r="G958">
        <v>7534032.9100000001</v>
      </c>
      <c r="H958">
        <v>17776961.550000001</v>
      </c>
      <c r="I958">
        <v>2.67</v>
      </c>
      <c r="J958">
        <v>4.07</v>
      </c>
    </row>
    <row r="959" spans="1:10" x14ac:dyDescent="0.25">
      <c r="A959">
        <v>43864</v>
      </c>
      <c r="B959" t="s">
        <v>19</v>
      </c>
      <c r="C959" t="s">
        <v>21</v>
      </c>
      <c r="D959" t="s">
        <v>14</v>
      </c>
      <c r="E959">
        <v>171</v>
      </c>
      <c r="F959">
        <v>7351797.54</v>
      </c>
      <c r="G959">
        <v>2197163</v>
      </c>
      <c r="H959">
        <v>5154634.54</v>
      </c>
      <c r="I959">
        <v>0.78</v>
      </c>
      <c r="J959">
        <v>3.61</v>
      </c>
    </row>
    <row r="960" spans="1:10" x14ac:dyDescent="0.25">
      <c r="A960">
        <v>45593</v>
      </c>
      <c r="B960" t="s">
        <v>19</v>
      </c>
      <c r="C960" t="s">
        <v>24</v>
      </c>
      <c r="D960" t="s">
        <v>17</v>
      </c>
      <c r="E960">
        <v>392</v>
      </c>
      <c r="F960">
        <v>24940889.149999999</v>
      </c>
      <c r="G960">
        <v>5015203.83</v>
      </c>
      <c r="H960">
        <v>19925685.32</v>
      </c>
      <c r="I960">
        <v>1.41</v>
      </c>
      <c r="J960">
        <v>3.89</v>
      </c>
    </row>
    <row r="961" spans="1:10" x14ac:dyDescent="0.25">
      <c r="A961">
        <v>43832</v>
      </c>
      <c r="B961" t="s">
        <v>19</v>
      </c>
      <c r="C961" t="s">
        <v>23</v>
      </c>
      <c r="D961" t="s">
        <v>14</v>
      </c>
      <c r="E961">
        <v>376</v>
      </c>
      <c r="F961">
        <v>15186798.92</v>
      </c>
      <c r="G961">
        <v>5940875.6900000004</v>
      </c>
      <c r="H961">
        <v>9245923.2300000004</v>
      </c>
      <c r="I961">
        <v>1.33</v>
      </c>
      <c r="J961">
        <v>4.3099999999999996</v>
      </c>
    </row>
    <row r="962" spans="1:10" x14ac:dyDescent="0.25">
      <c r="A962">
        <v>45363</v>
      </c>
      <c r="B962" t="s">
        <v>19</v>
      </c>
      <c r="C962" t="s">
        <v>23</v>
      </c>
      <c r="D962" t="s">
        <v>14</v>
      </c>
      <c r="E962">
        <v>477</v>
      </c>
      <c r="F962">
        <v>17890926.620000001</v>
      </c>
      <c r="G962">
        <v>3771511.49</v>
      </c>
      <c r="H962">
        <v>14119415.130000001</v>
      </c>
      <c r="I962">
        <v>4.29</v>
      </c>
      <c r="J962">
        <v>3.94</v>
      </c>
    </row>
    <row r="963" spans="1:10" x14ac:dyDescent="0.25">
      <c r="A963">
        <v>43894</v>
      </c>
      <c r="B963" t="s">
        <v>19</v>
      </c>
      <c r="C963" t="s">
        <v>24</v>
      </c>
      <c r="D963" t="s">
        <v>14</v>
      </c>
      <c r="E963">
        <v>355</v>
      </c>
      <c r="F963">
        <v>15742045.1</v>
      </c>
      <c r="G963">
        <v>5897145.0999999996</v>
      </c>
      <c r="H963">
        <v>9844900</v>
      </c>
      <c r="I963">
        <v>1.05</v>
      </c>
      <c r="J963">
        <v>4.28</v>
      </c>
    </row>
    <row r="964" spans="1:10" x14ac:dyDescent="0.25">
      <c r="A964">
        <v>45306</v>
      </c>
      <c r="B964" t="s">
        <v>19</v>
      </c>
      <c r="C964" t="s">
        <v>23</v>
      </c>
      <c r="D964" t="s">
        <v>14</v>
      </c>
      <c r="E964">
        <v>474</v>
      </c>
      <c r="F964">
        <v>20919571.399999999</v>
      </c>
      <c r="G964">
        <v>8120534.8700000001</v>
      </c>
      <c r="H964">
        <v>12799036.529999999</v>
      </c>
      <c r="I964">
        <v>3.61</v>
      </c>
      <c r="J964">
        <v>4.59</v>
      </c>
    </row>
    <row r="965" spans="1:10" x14ac:dyDescent="0.25">
      <c r="A965">
        <v>45331</v>
      </c>
      <c r="B965" t="s">
        <v>19</v>
      </c>
      <c r="C965" t="s">
        <v>22</v>
      </c>
      <c r="D965" t="s">
        <v>12</v>
      </c>
      <c r="E965">
        <v>74</v>
      </c>
      <c r="F965">
        <v>3170205.18</v>
      </c>
      <c r="G965">
        <v>1025789.96</v>
      </c>
      <c r="H965">
        <v>2144415.2200000002</v>
      </c>
      <c r="I965">
        <v>3</v>
      </c>
      <c r="J965">
        <v>3.62</v>
      </c>
    </row>
    <row r="966" spans="1:10" x14ac:dyDescent="0.25">
      <c r="A966">
        <v>44850</v>
      </c>
      <c r="B966" t="s">
        <v>19</v>
      </c>
      <c r="C966" t="s">
        <v>22</v>
      </c>
      <c r="D966" t="s">
        <v>14</v>
      </c>
      <c r="E966">
        <v>493</v>
      </c>
      <c r="F966">
        <v>21861095.399999999</v>
      </c>
      <c r="G966">
        <v>8502147.75</v>
      </c>
      <c r="H966">
        <v>13358947.640000001</v>
      </c>
      <c r="I966">
        <v>1.99</v>
      </c>
      <c r="J966">
        <v>4.6500000000000004</v>
      </c>
    </row>
    <row r="967" spans="1:10" x14ac:dyDescent="0.25">
      <c r="A967">
        <v>45223</v>
      </c>
      <c r="B967" t="s">
        <v>19</v>
      </c>
      <c r="C967" t="s">
        <v>20</v>
      </c>
      <c r="D967" t="s">
        <v>12</v>
      </c>
      <c r="E967">
        <v>186</v>
      </c>
      <c r="F967">
        <v>10759981.9</v>
      </c>
      <c r="G967">
        <v>4252333.99</v>
      </c>
      <c r="H967">
        <v>6507647.9100000001</v>
      </c>
      <c r="I967">
        <v>2.0099999999999998</v>
      </c>
      <c r="J967">
        <v>3.77</v>
      </c>
    </row>
    <row r="968" spans="1:10" x14ac:dyDescent="0.25">
      <c r="A968">
        <v>45575</v>
      </c>
      <c r="B968" t="s">
        <v>19</v>
      </c>
      <c r="C968" t="s">
        <v>22</v>
      </c>
      <c r="D968" t="s">
        <v>17</v>
      </c>
      <c r="E968">
        <v>372</v>
      </c>
      <c r="F968">
        <v>32821244.010000002</v>
      </c>
      <c r="G968">
        <v>9519052.3300000001</v>
      </c>
      <c r="H968">
        <v>23302191.68</v>
      </c>
      <c r="I968">
        <v>4.83</v>
      </c>
      <c r="J968">
        <v>3.67</v>
      </c>
    </row>
    <row r="969" spans="1:10" x14ac:dyDescent="0.25">
      <c r="A969">
        <v>44715</v>
      </c>
      <c r="B969" t="s">
        <v>19</v>
      </c>
      <c r="C969" t="s">
        <v>23</v>
      </c>
      <c r="D969" t="s">
        <v>17</v>
      </c>
      <c r="E969">
        <v>478</v>
      </c>
      <c r="F969">
        <v>22958731.800000001</v>
      </c>
      <c r="G969">
        <v>8738250.9499999993</v>
      </c>
      <c r="H969">
        <v>14220480.85</v>
      </c>
      <c r="I969">
        <v>1.31</v>
      </c>
      <c r="J969">
        <v>4.7</v>
      </c>
    </row>
    <row r="970" spans="1:10" x14ac:dyDescent="0.25">
      <c r="A970">
        <v>44226</v>
      </c>
      <c r="B970" t="s">
        <v>19</v>
      </c>
      <c r="C970" t="s">
        <v>23</v>
      </c>
      <c r="D970" t="s">
        <v>12</v>
      </c>
      <c r="E970">
        <v>115</v>
      </c>
      <c r="F970">
        <v>7742183.6399999997</v>
      </c>
      <c r="G970">
        <v>2922884.17</v>
      </c>
      <c r="H970">
        <v>4819299.4800000004</v>
      </c>
      <c r="I970">
        <v>1.99</v>
      </c>
      <c r="J970">
        <v>4.67</v>
      </c>
    </row>
    <row r="971" spans="1:10" x14ac:dyDescent="0.25">
      <c r="A971">
        <v>44382</v>
      </c>
      <c r="B971" t="s">
        <v>19</v>
      </c>
      <c r="C971" t="s">
        <v>21</v>
      </c>
      <c r="D971" t="s">
        <v>14</v>
      </c>
      <c r="E971">
        <v>163</v>
      </c>
      <c r="F971">
        <v>11332737.640000001</v>
      </c>
      <c r="G971">
        <v>3065600.86</v>
      </c>
      <c r="H971">
        <v>8267136.7800000003</v>
      </c>
      <c r="I971">
        <v>4.3</v>
      </c>
      <c r="J971">
        <v>3.99</v>
      </c>
    </row>
    <row r="972" spans="1:10" x14ac:dyDescent="0.25">
      <c r="A972">
        <v>44535</v>
      </c>
      <c r="B972" t="s">
        <v>19</v>
      </c>
      <c r="C972" t="s">
        <v>20</v>
      </c>
      <c r="D972" t="s">
        <v>12</v>
      </c>
      <c r="E972">
        <v>75</v>
      </c>
      <c r="F972">
        <v>6231517.75</v>
      </c>
      <c r="G972">
        <v>1457399.01</v>
      </c>
      <c r="H972">
        <v>4774118.75</v>
      </c>
      <c r="I972">
        <v>1.51</v>
      </c>
      <c r="J972">
        <v>4.0999999999999996</v>
      </c>
    </row>
    <row r="973" spans="1:10" x14ac:dyDescent="0.25">
      <c r="A973">
        <v>44418</v>
      </c>
      <c r="B973" t="s">
        <v>19</v>
      </c>
      <c r="C973" t="s">
        <v>24</v>
      </c>
      <c r="D973" t="s">
        <v>17</v>
      </c>
      <c r="E973">
        <v>100</v>
      </c>
      <c r="F973">
        <v>7568255.9400000004</v>
      </c>
      <c r="G973">
        <v>2100530.44</v>
      </c>
      <c r="H973">
        <v>5467725.5</v>
      </c>
      <c r="I973">
        <v>0.57999999999999996</v>
      </c>
      <c r="J973">
        <v>3.79</v>
      </c>
    </row>
    <row r="974" spans="1:10" x14ac:dyDescent="0.25">
      <c r="A974">
        <v>43839</v>
      </c>
      <c r="B974" t="s">
        <v>19</v>
      </c>
      <c r="C974" t="s">
        <v>21</v>
      </c>
      <c r="D974" t="s">
        <v>17</v>
      </c>
      <c r="E974">
        <v>125</v>
      </c>
      <c r="F974">
        <v>9399733.6300000008</v>
      </c>
      <c r="G974">
        <v>2970295.14</v>
      </c>
      <c r="H974">
        <v>6429438.4900000002</v>
      </c>
      <c r="I974">
        <v>3.1</v>
      </c>
      <c r="J974">
        <v>4.75</v>
      </c>
    </row>
    <row r="975" spans="1:10" x14ac:dyDescent="0.25">
      <c r="A975">
        <v>44363</v>
      </c>
      <c r="B975" t="s">
        <v>19</v>
      </c>
      <c r="C975" t="s">
        <v>22</v>
      </c>
      <c r="D975" t="s">
        <v>17</v>
      </c>
      <c r="E975">
        <v>428</v>
      </c>
      <c r="F975">
        <v>16580091.48</v>
      </c>
      <c r="G975">
        <v>6031089.3200000003</v>
      </c>
      <c r="H975">
        <v>10549002.16</v>
      </c>
      <c r="I975">
        <v>4.8099999999999996</v>
      </c>
      <c r="J975">
        <v>4.84</v>
      </c>
    </row>
    <row r="976" spans="1:10" x14ac:dyDescent="0.25">
      <c r="A976">
        <v>44038</v>
      </c>
      <c r="B976" t="s">
        <v>19</v>
      </c>
      <c r="C976" t="s">
        <v>24</v>
      </c>
      <c r="D976" t="s">
        <v>17</v>
      </c>
      <c r="E976">
        <v>176</v>
      </c>
      <c r="F976">
        <v>10185123.74</v>
      </c>
      <c r="G976">
        <v>2956561.32</v>
      </c>
      <c r="H976">
        <v>7228562.4199999999</v>
      </c>
      <c r="I976">
        <v>2.31</v>
      </c>
      <c r="J976">
        <v>4.28</v>
      </c>
    </row>
    <row r="977" spans="1:10" x14ac:dyDescent="0.25">
      <c r="A977">
        <v>45194</v>
      </c>
      <c r="B977" t="s">
        <v>19</v>
      </c>
      <c r="C977" t="s">
        <v>24</v>
      </c>
      <c r="D977" t="s">
        <v>12</v>
      </c>
      <c r="E977">
        <v>359</v>
      </c>
      <c r="F977">
        <v>13733451.279999999</v>
      </c>
      <c r="G977">
        <v>3755267.75</v>
      </c>
      <c r="H977">
        <v>9978183.5399999991</v>
      </c>
      <c r="I977">
        <v>3.96</v>
      </c>
      <c r="J977">
        <v>4.99</v>
      </c>
    </row>
    <row r="978" spans="1:10" x14ac:dyDescent="0.25">
      <c r="A978">
        <v>44831</v>
      </c>
      <c r="B978" t="s">
        <v>19</v>
      </c>
      <c r="C978" t="s">
        <v>20</v>
      </c>
      <c r="D978" t="s">
        <v>14</v>
      </c>
      <c r="E978">
        <v>377</v>
      </c>
      <c r="F978">
        <v>16486406.789999999</v>
      </c>
      <c r="G978">
        <v>3464542.2</v>
      </c>
      <c r="H978">
        <v>13021864.59</v>
      </c>
      <c r="I978">
        <v>4.46</v>
      </c>
      <c r="J978">
        <v>4.8600000000000003</v>
      </c>
    </row>
    <row r="979" spans="1:10" x14ac:dyDescent="0.25">
      <c r="A979">
        <v>44918</v>
      </c>
      <c r="B979" t="s">
        <v>19</v>
      </c>
      <c r="C979" t="s">
        <v>20</v>
      </c>
      <c r="D979" t="s">
        <v>14</v>
      </c>
      <c r="E979">
        <v>458</v>
      </c>
      <c r="F979">
        <v>26334854.890000001</v>
      </c>
      <c r="G979">
        <v>8667447.6199999992</v>
      </c>
      <c r="H979">
        <v>17667407.27</v>
      </c>
      <c r="I979">
        <v>1.86</v>
      </c>
      <c r="J979">
        <v>4.5999999999999996</v>
      </c>
    </row>
    <row r="980" spans="1:10" x14ac:dyDescent="0.25">
      <c r="A980">
        <v>45585</v>
      </c>
      <c r="B980" t="s">
        <v>19</v>
      </c>
      <c r="C980" t="s">
        <v>24</v>
      </c>
      <c r="D980" t="s">
        <v>14</v>
      </c>
      <c r="E980">
        <v>412</v>
      </c>
      <c r="F980">
        <v>23900706.829999998</v>
      </c>
      <c r="G980">
        <v>7849894.3799999999</v>
      </c>
      <c r="H980">
        <v>16050812.449999999</v>
      </c>
      <c r="I980">
        <v>3.17</v>
      </c>
      <c r="J980">
        <v>4.3600000000000003</v>
      </c>
    </row>
    <row r="981" spans="1:10" x14ac:dyDescent="0.25">
      <c r="A981">
        <v>44973</v>
      </c>
      <c r="B981" t="s">
        <v>19</v>
      </c>
      <c r="C981" t="s">
        <v>24</v>
      </c>
      <c r="D981" t="s">
        <v>14</v>
      </c>
      <c r="E981">
        <v>274</v>
      </c>
      <c r="F981">
        <v>19474462.93</v>
      </c>
      <c r="G981">
        <v>7015425.7599999998</v>
      </c>
      <c r="H981">
        <v>12459037.17</v>
      </c>
      <c r="I981">
        <v>1.92</v>
      </c>
      <c r="J981">
        <v>3.84</v>
      </c>
    </row>
    <row r="982" spans="1:10" x14ac:dyDescent="0.25">
      <c r="A982">
        <v>44116</v>
      </c>
      <c r="B982" t="s">
        <v>19</v>
      </c>
      <c r="C982" t="s">
        <v>20</v>
      </c>
      <c r="D982" t="s">
        <v>17</v>
      </c>
      <c r="E982">
        <v>137</v>
      </c>
      <c r="F982">
        <v>10388014.939999999</v>
      </c>
      <c r="G982">
        <v>4102852.26</v>
      </c>
      <c r="H982">
        <v>6285162.6799999997</v>
      </c>
      <c r="I982">
        <v>2.1</v>
      </c>
      <c r="J982">
        <v>4.67</v>
      </c>
    </row>
    <row r="983" spans="1:10" x14ac:dyDescent="0.25">
      <c r="A983">
        <v>44204</v>
      </c>
      <c r="B983" t="s">
        <v>19</v>
      </c>
      <c r="C983" t="s">
        <v>22</v>
      </c>
      <c r="D983" t="s">
        <v>17</v>
      </c>
      <c r="E983">
        <v>389</v>
      </c>
      <c r="F983">
        <v>28577367.879999999</v>
      </c>
      <c r="G983">
        <v>9541634.4800000004</v>
      </c>
      <c r="H983">
        <v>19035733.399999999</v>
      </c>
      <c r="I983">
        <v>3.85</v>
      </c>
      <c r="J983">
        <v>4.12</v>
      </c>
    </row>
    <row r="984" spans="1:10" x14ac:dyDescent="0.25">
      <c r="A984">
        <v>45212</v>
      </c>
      <c r="B984" t="s">
        <v>19</v>
      </c>
      <c r="C984" t="s">
        <v>22</v>
      </c>
      <c r="D984" t="s">
        <v>14</v>
      </c>
      <c r="E984">
        <v>70</v>
      </c>
      <c r="F984">
        <v>5279846.97</v>
      </c>
      <c r="G984">
        <v>1467683.49</v>
      </c>
      <c r="H984">
        <v>3812163.47</v>
      </c>
      <c r="I984">
        <v>2.7</v>
      </c>
      <c r="J984">
        <v>3.7</v>
      </c>
    </row>
    <row r="985" spans="1:10" x14ac:dyDescent="0.25">
      <c r="A985">
        <v>44466</v>
      </c>
      <c r="B985" t="s">
        <v>19</v>
      </c>
      <c r="C985" t="s">
        <v>23</v>
      </c>
      <c r="D985" t="s">
        <v>12</v>
      </c>
      <c r="E985">
        <v>150</v>
      </c>
      <c r="F985">
        <v>12773666.57</v>
      </c>
      <c r="G985">
        <v>4953809.99</v>
      </c>
      <c r="H985">
        <v>7819856.5800000001</v>
      </c>
      <c r="I985">
        <v>3.62</v>
      </c>
      <c r="J985">
        <v>3.77</v>
      </c>
    </row>
    <row r="986" spans="1:10" x14ac:dyDescent="0.25">
      <c r="A986">
        <v>44633</v>
      </c>
      <c r="B986" t="s">
        <v>19</v>
      </c>
      <c r="C986" t="s">
        <v>20</v>
      </c>
      <c r="D986" t="s">
        <v>12</v>
      </c>
      <c r="E986">
        <v>107</v>
      </c>
      <c r="F986">
        <v>3783042.75</v>
      </c>
      <c r="G986">
        <v>1137758.26</v>
      </c>
      <c r="H986">
        <v>2645284.4900000002</v>
      </c>
      <c r="I986">
        <v>1.79</v>
      </c>
      <c r="J986">
        <v>4.5999999999999996</v>
      </c>
    </row>
    <row r="987" spans="1:10" x14ac:dyDescent="0.25">
      <c r="A987">
        <v>44252</v>
      </c>
      <c r="B987" t="s">
        <v>19</v>
      </c>
      <c r="C987" t="s">
        <v>20</v>
      </c>
      <c r="D987" t="s">
        <v>12</v>
      </c>
      <c r="E987">
        <v>478</v>
      </c>
      <c r="F987">
        <v>25108349.690000001</v>
      </c>
      <c r="G987">
        <v>9517691.6999999993</v>
      </c>
      <c r="H987">
        <v>15590657.99</v>
      </c>
      <c r="I987">
        <v>1.08</v>
      </c>
      <c r="J987">
        <v>4.3600000000000003</v>
      </c>
    </row>
    <row r="988" spans="1:10" x14ac:dyDescent="0.25">
      <c r="A988">
        <v>44041</v>
      </c>
      <c r="B988" t="s">
        <v>19</v>
      </c>
      <c r="C988" t="s">
        <v>24</v>
      </c>
      <c r="D988" t="s">
        <v>17</v>
      </c>
      <c r="E988">
        <v>274</v>
      </c>
      <c r="F988">
        <v>10967729.42</v>
      </c>
      <c r="G988">
        <v>3014629.78</v>
      </c>
      <c r="H988">
        <v>7953099.6299999999</v>
      </c>
      <c r="I988">
        <v>2.98</v>
      </c>
      <c r="J988">
        <v>4.1100000000000003</v>
      </c>
    </row>
    <row r="989" spans="1:10" x14ac:dyDescent="0.25">
      <c r="A989">
        <v>44493</v>
      </c>
      <c r="B989" t="s">
        <v>19</v>
      </c>
      <c r="C989" t="s">
        <v>24</v>
      </c>
      <c r="D989" t="s">
        <v>14</v>
      </c>
      <c r="E989">
        <v>286</v>
      </c>
      <c r="F989">
        <v>13999328.890000001</v>
      </c>
      <c r="G989">
        <v>3801975.52</v>
      </c>
      <c r="H989">
        <v>10197353.369999999</v>
      </c>
      <c r="I989">
        <v>1.74</v>
      </c>
      <c r="J989">
        <v>4.24</v>
      </c>
    </row>
    <row r="990" spans="1:10" x14ac:dyDescent="0.25">
      <c r="A990">
        <v>43966</v>
      </c>
      <c r="B990" t="s">
        <v>19</v>
      </c>
      <c r="C990" t="s">
        <v>24</v>
      </c>
      <c r="D990" t="s">
        <v>12</v>
      </c>
      <c r="E990">
        <v>175</v>
      </c>
      <c r="F990">
        <v>11679751.92</v>
      </c>
      <c r="G990">
        <v>2591366.81</v>
      </c>
      <c r="H990">
        <v>9088385.1099999994</v>
      </c>
      <c r="I990">
        <v>3.19</v>
      </c>
      <c r="J990">
        <v>4.72</v>
      </c>
    </row>
    <row r="991" spans="1:10" x14ac:dyDescent="0.25">
      <c r="A991">
        <v>44881</v>
      </c>
      <c r="B991" t="s">
        <v>19</v>
      </c>
      <c r="C991" t="s">
        <v>23</v>
      </c>
      <c r="D991" t="s">
        <v>12</v>
      </c>
      <c r="E991">
        <v>260</v>
      </c>
      <c r="F991">
        <v>17846543.800000001</v>
      </c>
      <c r="G991">
        <v>6083003.1500000004</v>
      </c>
      <c r="H991">
        <v>11763540.640000001</v>
      </c>
      <c r="I991">
        <v>1.65</v>
      </c>
      <c r="J991">
        <v>3.99</v>
      </c>
    </row>
    <row r="992" spans="1:10" x14ac:dyDescent="0.25">
      <c r="A992">
        <v>44560</v>
      </c>
      <c r="B992" t="s">
        <v>19</v>
      </c>
      <c r="C992" t="s">
        <v>20</v>
      </c>
      <c r="D992" t="s">
        <v>14</v>
      </c>
      <c r="E992">
        <v>467</v>
      </c>
      <c r="F992">
        <v>20998398.989999998</v>
      </c>
      <c r="G992">
        <v>5078710.1500000004</v>
      </c>
      <c r="H992">
        <v>15919688.84</v>
      </c>
      <c r="I992">
        <v>2.23</v>
      </c>
      <c r="J992">
        <v>4.1500000000000004</v>
      </c>
    </row>
    <row r="993" spans="1:10" x14ac:dyDescent="0.25">
      <c r="A993">
        <v>44354</v>
      </c>
      <c r="B993" t="s">
        <v>19</v>
      </c>
      <c r="C993" t="s">
        <v>23</v>
      </c>
      <c r="D993" t="s">
        <v>12</v>
      </c>
      <c r="E993">
        <v>94</v>
      </c>
      <c r="F993">
        <v>6329916.7199999997</v>
      </c>
      <c r="G993">
        <v>1992025.11</v>
      </c>
      <c r="H993">
        <v>4337891.6100000003</v>
      </c>
      <c r="I993">
        <v>3.27</v>
      </c>
      <c r="J993">
        <v>3.62</v>
      </c>
    </row>
    <row r="994" spans="1:10" x14ac:dyDescent="0.25">
      <c r="A994">
        <v>44235</v>
      </c>
      <c r="B994" t="s">
        <v>19</v>
      </c>
      <c r="C994" t="s">
        <v>24</v>
      </c>
      <c r="D994" t="s">
        <v>12</v>
      </c>
      <c r="E994">
        <v>88</v>
      </c>
      <c r="F994">
        <v>6579666.7199999997</v>
      </c>
      <c r="G994">
        <v>1615083.17</v>
      </c>
      <c r="H994">
        <v>4964583.55</v>
      </c>
      <c r="I994">
        <v>3.72</v>
      </c>
      <c r="J994">
        <v>4.37</v>
      </c>
    </row>
    <row r="995" spans="1:10" x14ac:dyDescent="0.25">
      <c r="A995">
        <v>45237</v>
      </c>
      <c r="B995" t="s">
        <v>19</v>
      </c>
      <c r="C995" t="s">
        <v>22</v>
      </c>
      <c r="D995" t="s">
        <v>17</v>
      </c>
      <c r="E995">
        <v>137</v>
      </c>
      <c r="F995">
        <v>7811357.2199999997</v>
      </c>
      <c r="G995">
        <v>1856187.63</v>
      </c>
      <c r="H995">
        <v>5955169.5899999999</v>
      </c>
      <c r="I995">
        <v>0.56000000000000005</v>
      </c>
      <c r="J995">
        <v>4.47</v>
      </c>
    </row>
    <row r="996" spans="1:10" x14ac:dyDescent="0.25">
      <c r="A996">
        <v>45549</v>
      </c>
      <c r="B996" t="s">
        <v>19</v>
      </c>
      <c r="C996" t="s">
        <v>20</v>
      </c>
      <c r="D996" t="s">
        <v>12</v>
      </c>
      <c r="E996">
        <v>58</v>
      </c>
      <c r="F996">
        <v>3015079.26</v>
      </c>
      <c r="G996">
        <v>1029025.57</v>
      </c>
      <c r="H996">
        <v>1986053.69</v>
      </c>
      <c r="I996">
        <v>1.7</v>
      </c>
      <c r="J996">
        <v>4</v>
      </c>
    </row>
    <row r="997" spans="1:10" x14ac:dyDescent="0.25">
      <c r="A997">
        <v>43960</v>
      </c>
      <c r="B997" t="s">
        <v>19</v>
      </c>
      <c r="C997" t="s">
        <v>24</v>
      </c>
      <c r="D997" t="s">
        <v>17</v>
      </c>
      <c r="E997">
        <v>426</v>
      </c>
      <c r="F997">
        <v>35672993.420000002</v>
      </c>
      <c r="G997">
        <v>10997851.439999999</v>
      </c>
      <c r="H997">
        <v>24675141.98</v>
      </c>
      <c r="I997">
        <v>3.04</v>
      </c>
      <c r="J997">
        <v>4.49</v>
      </c>
    </row>
    <row r="998" spans="1:10" x14ac:dyDescent="0.25">
      <c r="A998">
        <v>45061</v>
      </c>
      <c r="B998" t="s">
        <v>19</v>
      </c>
      <c r="C998" t="s">
        <v>22</v>
      </c>
      <c r="D998" t="s">
        <v>14</v>
      </c>
      <c r="E998">
        <v>307</v>
      </c>
      <c r="F998">
        <v>24524494.629999999</v>
      </c>
      <c r="G998">
        <v>9716872.5600000005</v>
      </c>
      <c r="H998">
        <v>14807622.07</v>
      </c>
      <c r="I998">
        <v>3.81</v>
      </c>
      <c r="J998">
        <v>3.81</v>
      </c>
    </row>
    <row r="999" spans="1:10" x14ac:dyDescent="0.25">
      <c r="A999">
        <v>45584</v>
      </c>
      <c r="B999" t="s">
        <v>19</v>
      </c>
      <c r="C999" t="s">
        <v>20</v>
      </c>
      <c r="D999" t="s">
        <v>12</v>
      </c>
      <c r="E999">
        <v>154</v>
      </c>
      <c r="F999">
        <v>12841502.85</v>
      </c>
      <c r="G999">
        <v>5010187.04</v>
      </c>
      <c r="H999">
        <v>7831315.8099999996</v>
      </c>
      <c r="I999">
        <v>1.54</v>
      </c>
      <c r="J999">
        <v>4.8499999999999996</v>
      </c>
    </row>
    <row r="1000" spans="1:10" x14ac:dyDescent="0.25">
      <c r="A1000">
        <v>45449</v>
      </c>
      <c r="B1000" t="s">
        <v>19</v>
      </c>
      <c r="C1000" t="s">
        <v>22</v>
      </c>
      <c r="D1000" t="s">
        <v>12</v>
      </c>
      <c r="E1000">
        <v>166</v>
      </c>
      <c r="F1000">
        <v>5818485.5800000001</v>
      </c>
      <c r="G1000">
        <v>1276315.5</v>
      </c>
      <c r="H1000">
        <v>4542170.08</v>
      </c>
      <c r="I1000">
        <v>0.61</v>
      </c>
      <c r="J1000">
        <v>3.81</v>
      </c>
    </row>
    <row r="1001" spans="1:10" x14ac:dyDescent="0.25">
      <c r="A1001">
        <v>45280</v>
      </c>
      <c r="B1001" t="s">
        <v>19</v>
      </c>
      <c r="C1001" t="s">
        <v>22</v>
      </c>
      <c r="D1001" t="s">
        <v>14</v>
      </c>
      <c r="E1001">
        <v>190</v>
      </c>
      <c r="F1001">
        <v>13702633.970000001</v>
      </c>
      <c r="G1001">
        <v>4825885.76</v>
      </c>
      <c r="H1001">
        <v>8876748.2100000009</v>
      </c>
      <c r="I1001">
        <v>3.91</v>
      </c>
      <c r="J1001">
        <v>4.6399999999999997</v>
      </c>
    </row>
    <row r="1002" spans="1:10" x14ac:dyDescent="0.25">
      <c r="A1002">
        <v>44115</v>
      </c>
      <c r="B1002" t="s">
        <v>19</v>
      </c>
      <c r="C1002" t="s">
        <v>22</v>
      </c>
      <c r="D1002" t="s">
        <v>14</v>
      </c>
      <c r="E1002">
        <v>179</v>
      </c>
      <c r="F1002">
        <v>12964320.310000001</v>
      </c>
      <c r="G1002">
        <v>2769961.93</v>
      </c>
      <c r="H1002">
        <v>10194358.380000001</v>
      </c>
      <c r="I1002">
        <v>3.29</v>
      </c>
      <c r="J1002">
        <v>4.71</v>
      </c>
    </row>
    <row r="1003" spans="1:10" x14ac:dyDescent="0.25">
      <c r="A1003">
        <v>44336</v>
      </c>
      <c r="B1003" t="s">
        <v>19</v>
      </c>
      <c r="C1003" t="s">
        <v>24</v>
      </c>
      <c r="D1003" t="s">
        <v>17</v>
      </c>
      <c r="E1003">
        <v>390</v>
      </c>
      <c r="F1003">
        <v>33695966.240000002</v>
      </c>
      <c r="G1003">
        <v>11433812.689999999</v>
      </c>
      <c r="H1003">
        <v>22262153.550000001</v>
      </c>
      <c r="I1003">
        <v>4.0199999999999996</v>
      </c>
      <c r="J1003">
        <v>4.6500000000000004</v>
      </c>
    </row>
    <row r="1004" spans="1:10" x14ac:dyDescent="0.25">
      <c r="A1004">
        <v>44442</v>
      </c>
      <c r="B1004" t="s">
        <v>19</v>
      </c>
      <c r="C1004" t="s">
        <v>24</v>
      </c>
      <c r="D1004" t="s">
        <v>17</v>
      </c>
      <c r="E1004">
        <v>138</v>
      </c>
      <c r="F1004">
        <v>5982816.0499999998</v>
      </c>
      <c r="G1004">
        <v>1999985.82</v>
      </c>
      <c r="H1004">
        <v>3982830.22</v>
      </c>
      <c r="I1004">
        <v>0.75</v>
      </c>
      <c r="J1004">
        <v>3.77</v>
      </c>
    </row>
    <row r="1005" spans="1:10" x14ac:dyDescent="0.25">
      <c r="A1005">
        <v>44755</v>
      </c>
      <c r="B1005" t="s">
        <v>19</v>
      </c>
      <c r="C1005" t="s">
        <v>23</v>
      </c>
      <c r="D1005" t="s">
        <v>17</v>
      </c>
      <c r="E1005">
        <v>202</v>
      </c>
      <c r="F1005">
        <v>15172631.880000001</v>
      </c>
      <c r="G1005">
        <v>4324016.2699999996</v>
      </c>
      <c r="H1005">
        <v>10848615.609999999</v>
      </c>
      <c r="I1005">
        <v>1.43</v>
      </c>
      <c r="J1005">
        <v>4.26</v>
      </c>
    </row>
    <row r="1006" spans="1:10" x14ac:dyDescent="0.25">
      <c r="A1006">
        <v>45501</v>
      </c>
      <c r="B1006" t="s">
        <v>19</v>
      </c>
      <c r="C1006" t="s">
        <v>23</v>
      </c>
      <c r="D1006" t="s">
        <v>14</v>
      </c>
      <c r="E1006">
        <v>235</v>
      </c>
      <c r="F1006">
        <v>10127909.939999999</v>
      </c>
      <c r="G1006">
        <v>3632717.19</v>
      </c>
      <c r="H1006">
        <v>6495192.75</v>
      </c>
      <c r="I1006">
        <v>1.91</v>
      </c>
      <c r="J1006">
        <v>4.45</v>
      </c>
    </row>
    <row r="1007" spans="1:10" x14ac:dyDescent="0.25">
      <c r="A1007">
        <v>45092</v>
      </c>
      <c r="B1007" t="s">
        <v>19</v>
      </c>
      <c r="C1007" t="s">
        <v>23</v>
      </c>
      <c r="D1007" t="s">
        <v>17</v>
      </c>
      <c r="E1007">
        <v>263</v>
      </c>
      <c r="F1007">
        <v>15068031.34</v>
      </c>
      <c r="G1007">
        <v>5216065.54</v>
      </c>
      <c r="H1007">
        <v>9851965.8000000007</v>
      </c>
      <c r="I1007">
        <v>1.39</v>
      </c>
      <c r="J1007">
        <v>4.68</v>
      </c>
    </row>
    <row r="1008" spans="1:10" x14ac:dyDescent="0.25">
      <c r="A1008">
        <v>45159</v>
      </c>
      <c r="B1008" t="s">
        <v>19</v>
      </c>
      <c r="C1008" t="s">
        <v>23</v>
      </c>
      <c r="D1008" t="s">
        <v>14</v>
      </c>
      <c r="E1008">
        <v>265</v>
      </c>
      <c r="F1008">
        <v>21302455.739999998</v>
      </c>
      <c r="G1008">
        <v>5133644.6500000004</v>
      </c>
      <c r="H1008">
        <v>16168811.09</v>
      </c>
      <c r="I1008">
        <v>1.96</v>
      </c>
      <c r="J1008">
        <v>4.6500000000000004</v>
      </c>
    </row>
    <row r="1009" spans="1:10" x14ac:dyDescent="0.25">
      <c r="A1009">
        <v>45481</v>
      </c>
      <c r="B1009" t="s">
        <v>19</v>
      </c>
      <c r="C1009" t="s">
        <v>23</v>
      </c>
      <c r="D1009" t="s">
        <v>12</v>
      </c>
      <c r="E1009">
        <v>319</v>
      </c>
      <c r="F1009">
        <v>14372460.9</v>
      </c>
      <c r="G1009">
        <v>3000130.83</v>
      </c>
      <c r="H1009">
        <v>11372330.08</v>
      </c>
      <c r="I1009">
        <v>2.2000000000000002</v>
      </c>
      <c r="J1009">
        <v>4.01</v>
      </c>
    </row>
    <row r="1010" spans="1:10" x14ac:dyDescent="0.25">
      <c r="A1010">
        <v>45274</v>
      </c>
      <c r="B1010" t="s">
        <v>19</v>
      </c>
      <c r="C1010" t="s">
        <v>21</v>
      </c>
      <c r="D1010" t="s">
        <v>14</v>
      </c>
      <c r="E1010">
        <v>193</v>
      </c>
      <c r="F1010">
        <v>11915733.34</v>
      </c>
      <c r="G1010">
        <v>4506497.9000000004</v>
      </c>
      <c r="H1010">
        <v>7409235.4400000004</v>
      </c>
      <c r="I1010">
        <v>1.62</v>
      </c>
      <c r="J1010">
        <v>3.98</v>
      </c>
    </row>
    <row r="1011" spans="1:10" x14ac:dyDescent="0.25">
      <c r="A1011">
        <v>44875</v>
      </c>
      <c r="B1011" t="s">
        <v>19</v>
      </c>
      <c r="C1011" t="s">
        <v>24</v>
      </c>
      <c r="D1011" t="s">
        <v>14</v>
      </c>
      <c r="E1011">
        <v>132</v>
      </c>
      <c r="F1011">
        <v>10976047.6</v>
      </c>
      <c r="G1011">
        <v>3726442.1</v>
      </c>
      <c r="H1011">
        <v>7249605.5</v>
      </c>
      <c r="I1011">
        <v>4.3600000000000003</v>
      </c>
      <c r="J1011">
        <v>4.79</v>
      </c>
    </row>
    <row r="1012" spans="1:10" x14ac:dyDescent="0.25">
      <c r="A1012">
        <v>44715</v>
      </c>
      <c r="B1012" t="s">
        <v>19</v>
      </c>
      <c r="C1012" t="s">
        <v>24</v>
      </c>
      <c r="D1012" t="s">
        <v>12</v>
      </c>
      <c r="E1012">
        <v>83</v>
      </c>
      <c r="F1012">
        <v>4154433.46</v>
      </c>
      <c r="G1012">
        <v>904155.42</v>
      </c>
      <c r="H1012">
        <v>3250278.04</v>
      </c>
      <c r="I1012">
        <v>0.94</v>
      </c>
      <c r="J1012">
        <v>4.78</v>
      </c>
    </row>
    <row r="1013" spans="1:10" x14ac:dyDescent="0.25">
      <c r="A1013">
        <v>45311</v>
      </c>
      <c r="B1013" t="s">
        <v>19</v>
      </c>
      <c r="C1013" t="s">
        <v>21</v>
      </c>
      <c r="D1013" t="s">
        <v>12</v>
      </c>
      <c r="E1013">
        <v>175</v>
      </c>
      <c r="F1013">
        <v>9316812.1699999999</v>
      </c>
      <c r="G1013">
        <v>2793964.17</v>
      </c>
      <c r="H1013">
        <v>6522848</v>
      </c>
      <c r="I1013">
        <v>3.41</v>
      </c>
      <c r="J1013">
        <v>4.2699999999999996</v>
      </c>
    </row>
    <row r="1014" spans="1:10" x14ac:dyDescent="0.25">
      <c r="A1014">
        <v>44116</v>
      </c>
      <c r="B1014" t="s">
        <v>19</v>
      </c>
      <c r="C1014" t="s">
        <v>23</v>
      </c>
      <c r="D1014" t="s">
        <v>17</v>
      </c>
      <c r="E1014">
        <v>164</v>
      </c>
      <c r="F1014">
        <v>8500545.4399999995</v>
      </c>
      <c r="G1014">
        <v>3291947.12</v>
      </c>
      <c r="H1014">
        <v>5208598.32</v>
      </c>
      <c r="I1014">
        <v>1.3</v>
      </c>
      <c r="J1014">
        <v>3.51</v>
      </c>
    </row>
    <row r="1015" spans="1:10" x14ac:dyDescent="0.25">
      <c r="A1015">
        <v>44765</v>
      </c>
      <c r="B1015" t="s">
        <v>19</v>
      </c>
      <c r="C1015" t="s">
        <v>20</v>
      </c>
      <c r="D1015" t="s">
        <v>17</v>
      </c>
      <c r="E1015">
        <v>484</v>
      </c>
      <c r="F1015">
        <v>42292535.350000001</v>
      </c>
      <c r="G1015">
        <v>14135665.699999999</v>
      </c>
      <c r="H1015">
        <v>28156869.649999999</v>
      </c>
      <c r="I1015">
        <v>3.48</v>
      </c>
      <c r="J1015">
        <v>4.63</v>
      </c>
    </row>
    <row r="1016" spans="1:10" x14ac:dyDescent="0.25">
      <c r="A1016">
        <v>45207</v>
      </c>
      <c r="B1016" t="s">
        <v>19</v>
      </c>
      <c r="C1016" t="s">
        <v>22</v>
      </c>
      <c r="D1016" t="s">
        <v>14</v>
      </c>
      <c r="E1016">
        <v>377</v>
      </c>
      <c r="F1016">
        <v>31260402.489999998</v>
      </c>
      <c r="G1016">
        <v>10694553.220000001</v>
      </c>
      <c r="H1016">
        <v>20565849.27</v>
      </c>
      <c r="I1016">
        <v>4.0199999999999996</v>
      </c>
      <c r="J1016">
        <v>4.7</v>
      </c>
    </row>
    <row r="1017" spans="1:10" x14ac:dyDescent="0.25">
      <c r="A1017">
        <v>44146</v>
      </c>
      <c r="B1017" t="s">
        <v>19</v>
      </c>
      <c r="C1017" t="s">
        <v>21</v>
      </c>
      <c r="D1017" t="s">
        <v>12</v>
      </c>
      <c r="E1017">
        <v>158</v>
      </c>
      <c r="F1017">
        <v>11656805.48</v>
      </c>
      <c r="G1017">
        <v>2932904.18</v>
      </c>
      <c r="H1017">
        <v>8723901.3000000007</v>
      </c>
      <c r="I1017">
        <v>3.55</v>
      </c>
      <c r="J1017">
        <v>3.88</v>
      </c>
    </row>
    <row r="1018" spans="1:10" x14ac:dyDescent="0.25">
      <c r="A1018">
        <v>43925</v>
      </c>
      <c r="B1018" t="s">
        <v>19</v>
      </c>
      <c r="C1018" t="s">
        <v>24</v>
      </c>
      <c r="D1018" t="s">
        <v>17</v>
      </c>
      <c r="E1018">
        <v>428</v>
      </c>
      <c r="F1018">
        <v>30006772.59</v>
      </c>
      <c r="G1018">
        <v>10159419.109999999</v>
      </c>
      <c r="H1018">
        <v>19847353.48</v>
      </c>
      <c r="I1018">
        <v>4.37</v>
      </c>
      <c r="J1018">
        <v>4.9400000000000004</v>
      </c>
    </row>
    <row r="1019" spans="1:10" x14ac:dyDescent="0.25">
      <c r="A1019">
        <v>44506</v>
      </c>
      <c r="B1019" t="s">
        <v>19</v>
      </c>
      <c r="C1019" t="s">
        <v>22</v>
      </c>
      <c r="D1019" t="s">
        <v>17</v>
      </c>
      <c r="E1019">
        <v>279</v>
      </c>
      <c r="F1019">
        <v>11117694.869999999</v>
      </c>
      <c r="G1019">
        <v>4014521.72</v>
      </c>
      <c r="H1019">
        <v>7103173.1500000004</v>
      </c>
      <c r="I1019">
        <v>4.1900000000000004</v>
      </c>
      <c r="J1019">
        <v>4.51</v>
      </c>
    </row>
    <row r="1020" spans="1:10" x14ac:dyDescent="0.25">
      <c r="A1020">
        <v>43849</v>
      </c>
      <c r="B1020" t="s">
        <v>19</v>
      </c>
      <c r="C1020" t="s">
        <v>24</v>
      </c>
      <c r="D1020" t="s">
        <v>12</v>
      </c>
      <c r="E1020">
        <v>466</v>
      </c>
      <c r="F1020">
        <v>21159088.16</v>
      </c>
      <c r="G1020">
        <v>5415101.5599999996</v>
      </c>
      <c r="H1020">
        <v>15743986.6</v>
      </c>
      <c r="I1020">
        <v>2.8</v>
      </c>
      <c r="J1020">
        <v>4.41</v>
      </c>
    </row>
    <row r="1021" spans="1:10" x14ac:dyDescent="0.25">
      <c r="A1021">
        <v>44373</v>
      </c>
      <c r="B1021" t="s">
        <v>19</v>
      </c>
      <c r="C1021" t="s">
        <v>23</v>
      </c>
      <c r="D1021" t="s">
        <v>17</v>
      </c>
      <c r="E1021">
        <v>276</v>
      </c>
      <c r="F1021">
        <v>21698696.77</v>
      </c>
      <c r="G1021">
        <v>4421145.93</v>
      </c>
      <c r="H1021">
        <v>17277550.84</v>
      </c>
      <c r="I1021">
        <v>4.7</v>
      </c>
      <c r="J1021">
        <v>4.9000000000000004</v>
      </c>
    </row>
    <row r="1022" spans="1:10" x14ac:dyDescent="0.25">
      <c r="A1022">
        <v>45164</v>
      </c>
      <c r="B1022" t="s">
        <v>19</v>
      </c>
      <c r="C1022" t="s">
        <v>23</v>
      </c>
      <c r="D1022" t="s">
        <v>12</v>
      </c>
      <c r="E1022">
        <v>148</v>
      </c>
      <c r="F1022">
        <v>12008270.439999999</v>
      </c>
      <c r="G1022">
        <v>3191767.11</v>
      </c>
      <c r="H1022">
        <v>8816503.3300000001</v>
      </c>
      <c r="I1022">
        <v>3.64</v>
      </c>
      <c r="J1022">
        <v>4.04</v>
      </c>
    </row>
    <row r="1023" spans="1:10" x14ac:dyDescent="0.25">
      <c r="A1023">
        <v>44024</v>
      </c>
      <c r="B1023" t="s">
        <v>19</v>
      </c>
      <c r="C1023" t="s">
        <v>23</v>
      </c>
      <c r="D1023" t="s">
        <v>17</v>
      </c>
      <c r="E1023">
        <v>322</v>
      </c>
      <c r="F1023">
        <v>16658123.41</v>
      </c>
      <c r="G1023">
        <v>6199331.1399999997</v>
      </c>
      <c r="H1023">
        <v>10458792.27</v>
      </c>
      <c r="I1023">
        <v>3.25</v>
      </c>
      <c r="J1023">
        <v>3.96</v>
      </c>
    </row>
    <row r="1024" spans="1:10" x14ac:dyDescent="0.25">
      <c r="A1024">
        <v>43993</v>
      </c>
      <c r="B1024" t="s">
        <v>19</v>
      </c>
      <c r="C1024" t="s">
        <v>24</v>
      </c>
      <c r="D1024" t="s">
        <v>14</v>
      </c>
      <c r="E1024">
        <v>384</v>
      </c>
      <c r="F1024">
        <v>14937745.060000001</v>
      </c>
      <c r="G1024">
        <v>4930065.1500000004</v>
      </c>
      <c r="H1024">
        <v>10007679.92</v>
      </c>
      <c r="I1024">
        <v>4.38</v>
      </c>
      <c r="J1024">
        <v>3.85</v>
      </c>
    </row>
    <row r="1025" spans="1:10" x14ac:dyDescent="0.25">
      <c r="A1025">
        <v>45162</v>
      </c>
      <c r="B1025" t="s">
        <v>19</v>
      </c>
      <c r="C1025" t="s">
        <v>21</v>
      </c>
      <c r="D1025" t="s">
        <v>17</v>
      </c>
      <c r="E1025">
        <v>128</v>
      </c>
      <c r="F1025">
        <v>6231494.1900000004</v>
      </c>
      <c r="G1025">
        <v>1318511.6100000001</v>
      </c>
      <c r="H1025">
        <v>4912982.58</v>
      </c>
      <c r="I1025">
        <v>1.84</v>
      </c>
      <c r="J1025">
        <v>4.66</v>
      </c>
    </row>
    <row r="1026" spans="1:10" x14ac:dyDescent="0.25">
      <c r="A1026">
        <v>43955</v>
      </c>
      <c r="B1026" t="s">
        <v>19</v>
      </c>
      <c r="C1026" t="s">
        <v>21</v>
      </c>
      <c r="D1026" t="s">
        <v>12</v>
      </c>
      <c r="E1026">
        <v>401</v>
      </c>
      <c r="F1026">
        <v>26884874.789999999</v>
      </c>
      <c r="G1026">
        <v>5401310.3300000001</v>
      </c>
      <c r="H1026">
        <v>21483564.460000001</v>
      </c>
      <c r="I1026">
        <v>4.5999999999999996</v>
      </c>
      <c r="J1026">
        <v>3.83</v>
      </c>
    </row>
    <row r="1027" spans="1:10" x14ac:dyDescent="0.25">
      <c r="A1027">
        <v>44052</v>
      </c>
      <c r="B1027" t="s">
        <v>19</v>
      </c>
      <c r="C1027" t="s">
        <v>22</v>
      </c>
      <c r="D1027" t="s">
        <v>14</v>
      </c>
      <c r="E1027">
        <v>83</v>
      </c>
      <c r="F1027">
        <v>4590106.72</v>
      </c>
      <c r="G1027">
        <v>1508132.5</v>
      </c>
      <c r="H1027">
        <v>3081974.22</v>
      </c>
      <c r="I1027">
        <v>2.0499999999999998</v>
      </c>
      <c r="J1027">
        <v>4.28</v>
      </c>
    </row>
    <row r="1028" spans="1:10" x14ac:dyDescent="0.25">
      <c r="A1028">
        <v>44264</v>
      </c>
      <c r="B1028" t="s">
        <v>19</v>
      </c>
      <c r="C1028" t="s">
        <v>21</v>
      </c>
      <c r="D1028" t="s">
        <v>17</v>
      </c>
      <c r="E1028">
        <v>464</v>
      </c>
      <c r="F1028">
        <v>19350583.870000001</v>
      </c>
      <c r="G1028">
        <v>6130801.5999999996</v>
      </c>
      <c r="H1028">
        <v>13219782.26</v>
      </c>
      <c r="I1028">
        <v>0.78</v>
      </c>
      <c r="J1028">
        <v>4.0999999999999996</v>
      </c>
    </row>
    <row r="1029" spans="1:10" x14ac:dyDescent="0.25">
      <c r="A1029">
        <v>44113</v>
      </c>
      <c r="B1029" t="s">
        <v>19</v>
      </c>
      <c r="C1029" t="s">
        <v>20</v>
      </c>
      <c r="D1029" t="s">
        <v>14</v>
      </c>
      <c r="E1029">
        <v>435</v>
      </c>
      <c r="F1029">
        <v>16980235.309999999</v>
      </c>
      <c r="G1029">
        <v>4540018.25</v>
      </c>
      <c r="H1029">
        <v>12440217.060000001</v>
      </c>
      <c r="I1029">
        <v>3.18</v>
      </c>
      <c r="J1029">
        <v>4.12</v>
      </c>
    </row>
    <row r="1030" spans="1:10" x14ac:dyDescent="0.25">
      <c r="A1030">
        <v>44955</v>
      </c>
      <c r="B1030" t="s">
        <v>19</v>
      </c>
      <c r="C1030" t="s">
        <v>21</v>
      </c>
      <c r="D1030" t="s">
        <v>17</v>
      </c>
      <c r="E1030">
        <v>134</v>
      </c>
      <c r="F1030">
        <v>7716927.1399999997</v>
      </c>
      <c r="G1030">
        <v>1824862.85</v>
      </c>
      <c r="H1030">
        <v>5892064.29</v>
      </c>
      <c r="I1030">
        <v>4.53</v>
      </c>
      <c r="J1030">
        <v>4.78</v>
      </c>
    </row>
    <row r="1031" spans="1:10" x14ac:dyDescent="0.25">
      <c r="A1031">
        <v>44762</v>
      </c>
      <c r="B1031" t="s">
        <v>19</v>
      </c>
      <c r="C1031" t="s">
        <v>21</v>
      </c>
      <c r="D1031" t="s">
        <v>17</v>
      </c>
      <c r="E1031">
        <v>177</v>
      </c>
      <c r="F1031">
        <v>10273670.75</v>
      </c>
      <c r="G1031">
        <v>3168341.26</v>
      </c>
      <c r="H1031">
        <v>7105329.4900000002</v>
      </c>
      <c r="I1031">
        <v>1.65</v>
      </c>
      <c r="J1031">
        <v>4.63</v>
      </c>
    </row>
    <row r="1032" spans="1:10" x14ac:dyDescent="0.25">
      <c r="A1032">
        <v>45039</v>
      </c>
      <c r="B1032" t="s">
        <v>19</v>
      </c>
      <c r="C1032" t="s">
        <v>23</v>
      </c>
      <c r="D1032" t="s">
        <v>12</v>
      </c>
      <c r="E1032">
        <v>134</v>
      </c>
      <c r="F1032">
        <v>9560085.1600000001</v>
      </c>
      <c r="G1032">
        <v>2396975.52</v>
      </c>
      <c r="H1032">
        <v>7163109.6500000004</v>
      </c>
      <c r="I1032">
        <v>1.9</v>
      </c>
      <c r="J1032">
        <v>4.7699999999999996</v>
      </c>
    </row>
    <row r="1033" spans="1:10" x14ac:dyDescent="0.25">
      <c r="A1033">
        <v>44455</v>
      </c>
      <c r="B1033" t="s">
        <v>19</v>
      </c>
      <c r="C1033" t="s">
        <v>23</v>
      </c>
      <c r="D1033" t="s">
        <v>14</v>
      </c>
      <c r="E1033">
        <v>118</v>
      </c>
      <c r="F1033">
        <v>10105287.189999999</v>
      </c>
      <c r="G1033">
        <v>3344816.03</v>
      </c>
      <c r="H1033">
        <v>6760471.1699999999</v>
      </c>
      <c r="I1033">
        <v>0.75</v>
      </c>
      <c r="J1033">
        <v>3.81</v>
      </c>
    </row>
    <row r="1034" spans="1:10" x14ac:dyDescent="0.25">
      <c r="A1034">
        <v>45447</v>
      </c>
      <c r="B1034" t="s">
        <v>19</v>
      </c>
      <c r="C1034" t="s">
        <v>23</v>
      </c>
      <c r="D1034" t="s">
        <v>12</v>
      </c>
      <c r="E1034">
        <v>246</v>
      </c>
      <c r="F1034">
        <v>20273890.210000001</v>
      </c>
      <c r="G1034">
        <v>7682161.04</v>
      </c>
      <c r="H1034">
        <v>12591729.16</v>
      </c>
      <c r="I1034">
        <v>2.99</v>
      </c>
      <c r="J1034">
        <v>4.2699999999999996</v>
      </c>
    </row>
    <row r="1035" spans="1:10" x14ac:dyDescent="0.25">
      <c r="A1035">
        <v>45628</v>
      </c>
      <c r="B1035" t="s">
        <v>19</v>
      </c>
      <c r="C1035" t="s">
        <v>24</v>
      </c>
      <c r="D1035" t="s">
        <v>17</v>
      </c>
      <c r="E1035">
        <v>263</v>
      </c>
      <c r="F1035">
        <v>19942257.129999999</v>
      </c>
      <c r="G1035">
        <v>7307582.4900000002</v>
      </c>
      <c r="H1035">
        <v>12634674.640000001</v>
      </c>
      <c r="I1035">
        <v>1.04</v>
      </c>
      <c r="J1035">
        <v>3.6</v>
      </c>
    </row>
    <row r="1036" spans="1:10" x14ac:dyDescent="0.25">
      <c r="A1036">
        <v>44243</v>
      </c>
      <c r="B1036" t="s">
        <v>19</v>
      </c>
      <c r="C1036" t="s">
        <v>23</v>
      </c>
      <c r="D1036" t="s">
        <v>12</v>
      </c>
      <c r="E1036">
        <v>67</v>
      </c>
      <c r="F1036">
        <v>5008461.25</v>
      </c>
      <c r="G1036">
        <v>1771150.88</v>
      </c>
      <c r="H1036">
        <v>3237310.38</v>
      </c>
      <c r="I1036">
        <v>3.68</v>
      </c>
      <c r="J1036">
        <v>3.96</v>
      </c>
    </row>
    <row r="1037" spans="1:10" x14ac:dyDescent="0.25">
      <c r="A1037">
        <v>44536</v>
      </c>
      <c r="B1037" t="s">
        <v>19</v>
      </c>
      <c r="C1037" t="s">
        <v>22</v>
      </c>
      <c r="D1037" t="s">
        <v>14</v>
      </c>
      <c r="E1037">
        <v>174</v>
      </c>
      <c r="F1037">
        <v>9428321.3499999996</v>
      </c>
      <c r="G1037">
        <v>3064534.57</v>
      </c>
      <c r="H1037">
        <v>6363786.7800000003</v>
      </c>
      <c r="I1037">
        <v>3.3</v>
      </c>
      <c r="J1037">
        <v>4.58</v>
      </c>
    </row>
    <row r="1038" spans="1:10" x14ac:dyDescent="0.25">
      <c r="A1038">
        <v>44114</v>
      </c>
      <c r="B1038" t="s">
        <v>19</v>
      </c>
      <c r="C1038" t="s">
        <v>24</v>
      </c>
      <c r="D1038" t="s">
        <v>14</v>
      </c>
      <c r="E1038">
        <v>154</v>
      </c>
      <c r="F1038">
        <v>11737240.27</v>
      </c>
      <c r="G1038">
        <v>2540312.31</v>
      </c>
      <c r="H1038">
        <v>9196927.9600000009</v>
      </c>
      <c r="I1038">
        <v>0.99</v>
      </c>
      <c r="J1038">
        <v>3.85</v>
      </c>
    </row>
    <row r="1039" spans="1:10" x14ac:dyDescent="0.25">
      <c r="A1039">
        <v>45649</v>
      </c>
      <c r="B1039" t="s">
        <v>19</v>
      </c>
      <c r="C1039" t="s">
        <v>20</v>
      </c>
      <c r="D1039" t="s">
        <v>17</v>
      </c>
      <c r="E1039">
        <v>419</v>
      </c>
      <c r="F1039">
        <v>19040676.960000001</v>
      </c>
      <c r="G1039">
        <v>7467914.0300000003</v>
      </c>
      <c r="H1039">
        <v>11572762.93</v>
      </c>
      <c r="I1039">
        <v>2.2599999999999998</v>
      </c>
      <c r="J1039">
        <v>4.7</v>
      </c>
    </row>
    <row r="1040" spans="1:10" x14ac:dyDescent="0.25">
      <c r="A1040">
        <v>44955</v>
      </c>
      <c r="B1040" t="s">
        <v>19</v>
      </c>
      <c r="C1040" t="s">
        <v>24</v>
      </c>
      <c r="D1040" t="s">
        <v>12</v>
      </c>
      <c r="E1040">
        <v>162</v>
      </c>
      <c r="F1040">
        <v>9627674.1600000001</v>
      </c>
      <c r="G1040">
        <v>2550203.7999999998</v>
      </c>
      <c r="H1040">
        <v>7077470.3600000003</v>
      </c>
      <c r="I1040">
        <v>2.79</v>
      </c>
      <c r="J1040">
        <v>4.79</v>
      </c>
    </row>
    <row r="1041" spans="1:10" x14ac:dyDescent="0.25">
      <c r="A1041">
        <v>44577</v>
      </c>
      <c r="B1041" t="s">
        <v>19</v>
      </c>
      <c r="C1041" t="s">
        <v>22</v>
      </c>
      <c r="D1041" t="s">
        <v>14</v>
      </c>
      <c r="E1041">
        <v>456</v>
      </c>
      <c r="F1041">
        <v>32803420.59</v>
      </c>
      <c r="G1041">
        <v>12913246.99</v>
      </c>
      <c r="H1041">
        <v>19890173.600000001</v>
      </c>
      <c r="I1041">
        <v>2.91</v>
      </c>
      <c r="J1041">
        <v>3.56</v>
      </c>
    </row>
    <row r="1042" spans="1:10" x14ac:dyDescent="0.25">
      <c r="A1042">
        <v>45188</v>
      </c>
      <c r="B1042" t="s">
        <v>19</v>
      </c>
      <c r="C1042" t="s">
        <v>22</v>
      </c>
      <c r="D1042" t="s">
        <v>17</v>
      </c>
      <c r="E1042">
        <v>120</v>
      </c>
      <c r="F1042">
        <v>7389331.7000000002</v>
      </c>
      <c r="G1042">
        <v>1497232.38</v>
      </c>
      <c r="H1042">
        <v>5892099.3200000003</v>
      </c>
      <c r="I1042">
        <v>3.9</v>
      </c>
      <c r="J1042">
        <v>3.87</v>
      </c>
    </row>
    <row r="1043" spans="1:10" x14ac:dyDescent="0.25">
      <c r="A1043">
        <v>43970</v>
      </c>
      <c r="B1043" t="s">
        <v>19</v>
      </c>
      <c r="C1043" t="s">
        <v>23</v>
      </c>
      <c r="D1043" t="s">
        <v>12</v>
      </c>
      <c r="E1043">
        <v>242</v>
      </c>
      <c r="F1043">
        <v>20269348.629999999</v>
      </c>
      <c r="G1043">
        <v>6491694.71</v>
      </c>
      <c r="H1043">
        <v>13777653.92</v>
      </c>
      <c r="I1043">
        <v>4.38</v>
      </c>
      <c r="J1043">
        <v>3.9</v>
      </c>
    </row>
    <row r="1044" spans="1:10" x14ac:dyDescent="0.25">
      <c r="A1044">
        <v>44323</v>
      </c>
      <c r="B1044" t="s">
        <v>19</v>
      </c>
      <c r="C1044" t="s">
        <v>20</v>
      </c>
      <c r="D1044" t="s">
        <v>17</v>
      </c>
      <c r="E1044">
        <v>383</v>
      </c>
      <c r="F1044">
        <v>31494809.52</v>
      </c>
      <c r="G1044">
        <v>10545209.65</v>
      </c>
      <c r="H1044">
        <v>20949599.870000001</v>
      </c>
      <c r="I1044">
        <v>4.79</v>
      </c>
      <c r="J1044">
        <v>3.68</v>
      </c>
    </row>
    <row r="1045" spans="1:10" x14ac:dyDescent="0.25">
      <c r="A1045">
        <v>44985</v>
      </c>
      <c r="B1045" t="s">
        <v>19</v>
      </c>
      <c r="C1045" t="s">
        <v>21</v>
      </c>
      <c r="D1045" t="s">
        <v>17</v>
      </c>
      <c r="E1045">
        <v>247</v>
      </c>
      <c r="F1045">
        <v>13227636.32</v>
      </c>
      <c r="G1045">
        <v>3101818.03</v>
      </c>
      <c r="H1045">
        <v>10125818.289999999</v>
      </c>
      <c r="I1045">
        <v>0.5</v>
      </c>
      <c r="J1045">
        <v>3.96</v>
      </c>
    </row>
    <row r="1046" spans="1:10" x14ac:dyDescent="0.25">
      <c r="A1046">
        <v>44419</v>
      </c>
      <c r="B1046" t="s">
        <v>19</v>
      </c>
      <c r="C1046" t="s">
        <v>24</v>
      </c>
      <c r="D1046" t="s">
        <v>12</v>
      </c>
      <c r="E1046">
        <v>290</v>
      </c>
      <c r="F1046">
        <v>12335483.52</v>
      </c>
      <c r="G1046">
        <v>3607920.15</v>
      </c>
      <c r="H1046">
        <v>8727563.3699999992</v>
      </c>
      <c r="I1046">
        <v>1.33</v>
      </c>
      <c r="J1046">
        <v>4.1399999999999997</v>
      </c>
    </row>
    <row r="1047" spans="1:10" x14ac:dyDescent="0.25">
      <c r="A1047">
        <v>45194</v>
      </c>
      <c r="B1047" t="s">
        <v>19</v>
      </c>
      <c r="C1047" t="s">
        <v>22</v>
      </c>
      <c r="D1047" t="s">
        <v>12</v>
      </c>
      <c r="E1047">
        <v>234</v>
      </c>
      <c r="F1047">
        <v>11939817.01</v>
      </c>
      <c r="G1047">
        <v>3779203.34</v>
      </c>
      <c r="H1047">
        <v>8160613.6699999999</v>
      </c>
      <c r="I1047">
        <v>2.2000000000000002</v>
      </c>
      <c r="J1047">
        <v>4.8099999999999996</v>
      </c>
    </row>
    <row r="1048" spans="1:10" x14ac:dyDescent="0.25">
      <c r="A1048">
        <v>44773</v>
      </c>
      <c r="B1048" t="s">
        <v>19</v>
      </c>
      <c r="C1048" t="s">
        <v>24</v>
      </c>
      <c r="D1048" t="s">
        <v>14</v>
      </c>
      <c r="E1048">
        <v>261</v>
      </c>
      <c r="F1048">
        <v>20731911.34</v>
      </c>
      <c r="G1048">
        <v>5235181.0199999996</v>
      </c>
      <c r="H1048">
        <v>15496730.32</v>
      </c>
      <c r="I1048">
        <v>2.92</v>
      </c>
      <c r="J1048">
        <v>4.76</v>
      </c>
    </row>
    <row r="1049" spans="1:10" x14ac:dyDescent="0.25">
      <c r="A1049">
        <v>45066</v>
      </c>
      <c r="B1049" t="s">
        <v>19</v>
      </c>
      <c r="C1049" t="s">
        <v>23</v>
      </c>
      <c r="D1049" t="s">
        <v>14</v>
      </c>
      <c r="E1049">
        <v>207</v>
      </c>
      <c r="F1049">
        <v>7930683.7699999996</v>
      </c>
      <c r="G1049">
        <v>2700159.46</v>
      </c>
      <c r="H1049">
        <v>5230524.3099999996</v>
      </c>
      <c r="I1049">
        <v>1.84</v>
      </c>
      <c r="J1049">
        <v>3.98</v>
      </c>
    </row>
    <row r="1050" spans="1:10" x14ac:dyDescent="0.25">
      <c r="A1050">
        <v>44877</v>
      </c>
      <c r="B1050" t="s">
        <v>19</v>
      </c>
      <c r="C1050" t="s">
        <v>24</v>
      </c>
      <c r="D1050" t="s">
        <v>14</v>
      </c>
      <c r="E1050">
        <v>256</v>
      </c>
      <c r="F1050">
        <v>19986912.949999999</v>
      </c>
      <c r="G1050">
        <v>7505094.3600000003</v>
      </c>
      <c r="H1050">
        <v>12481818.59</v>
      </c>
      <c r="I1050">
        <v>3.36</v>
      </c>
      <c r="J1050">
        <v>3.69</v>
      </c>
    </row>
    <row r="1051" spans="1:10" x14ac:dyDescent="0.25">
      <c r="A1051">
        <v>43848</v>
      </c>
      <c r="B1051" t="s">
        <v>19</v>
      </c>
      <c r="C1051" t="s">
        <v>23</v>
      </c>
      <c r="D1051" t="s">
        <v>17</v>
      </c>
      <c r="E1051">
        <v>477</v>
      </c>
      <c r="F1051">
        <v>17239586.969999999</v>
      </c>
      <c r="G1051">
        <v>4272362.79</v>
      </c>
      <c r="H1051">
        <v>12967224.18</v>
      </c>
      <c r="I1051">
        <v>0.69</v>
      </c>
      <c r="J1051">
        <v>4.8</v>
      </c>
    </row>
    <row r="1052" spans="1:10" x14ac:dyDescent="0.25">
      <c r="A1052">
        <v>44406</v>
      </c>
      <c r="B1052" t="s">
        <v>19</v>
      </c>
      <c r="C1052" t="s">
        <v>23</v>
      </c>
      <c r="D1052" t="s">
        <v>12</v>
      </c>
      <c r="E1052">
        <v>247</v>
      </c>
      <c r="F1052">
        <v>9702680.8200000003</v>
      </c>
      <c r="G1052">
        <v>2026990.56</v>
      </c>
      <c r="H1052">
        <v>7675690.2599999998</v>
      </c>
      <c r="I1052">
        <v>1.61</v>
      </c>
      <c r="J1052">
        <v>4.79</v>
      </c>
    </row>
    <row r="1053" spans="1:10" x14ac:dyDescent="0.25">
      <c r="A1053">
        <v>45451</v>
      </c>
      <c r="B1053" t="s">
        <v>19</v>
      </c>
      <c r="C1053" t="s">
        <v>22</v>
      </c>
      <c r="D1053" t="s">
        <v>12</v>
      </c>
      <c r="E1053">
        <v>428</v>
      </c>
      <c r="F1053">
        <v>35081815.450000003</v>
      </c>
      <c r="G1053">
        <v>13939908.02</v>
      </c>
      <c r="H1053">
        <v>21141907.420000002</v>
      </c>
      <c r="I1053">
        <v>2.8</v>
      </c>
      <c r="J1053">
        <v>4.6500000000000004</v>
      </c>
    </row>
    <row r="1054" spans="1:10" x14ac:dyDescent="0.25">
      <c r="A1054">
        <v>45246</v>
      </c>
      <c r="B1054" t="s">
        <v>19</v>
      </c>
      <c r="C1054" t="s">
        <v>22</v>
      </c>
      <c r="D1054" t="s">
        <v>14</v>
      </c>
      <c r="E1054">
        <v>123</v>
      </c>
      <c r="F1054">
        <v>7704180.1200000001</v>
      </c>
      <c r="G1054">
        <v>3059512.92</v>
      </c>
      <c r="H1054">
        <v>4644667.2</v>
      </c>
      <c r="I1054">
        <v>4.1100000000000003</v>
      </c>
      <c r="J1054">
        <v>4.97</v>
      </c>
    </row>
    <row r="1055" spans="1:10" x14ac:dyDescent="0.25">
      <c r="A1055">
        <v>45389</v>
      </c>
      <c r="B1055" t="s">
        <v>19</v>
      </c>
      <c r="C1055" t="s">
        <v>22</v>
      </c>
      <c r="D1055" t="s">
        <v>17</v>
      </c>
      <c r="E1055">
        <v>230</v>
      </c>
      <c r="F1055">
        <v>11644931.34</v>
      </c>
      <c r="G1055">
        <v>3984968.81</v>
      </c>
      <c r="H1055">
        <v>7659962.5300000003</v>
      </c>
      <c r="I1055">
        <v>2.2000000000000002</v>
      </c>
      <c r="J1055">
        <v>4.09</v>
      </c>
    </row>
    <row r="1056" spans="1:10" x14ac:dyDescent="0.25">
      <c r="A1056">
        <v>45019</v>
      </c>
      <c r="B1056" t="s">
        <v>19</v>
      </c>
      <c r="C1056" t="s">
        <v>22</v>
      </c>
      <c r="D1056" t="s">
        <v>14</v>
      </c>
      <c r="E1056">
        <v>127</v>
      </c>
      <c r="F1056">
        <v>7556488.71</v>
      </c>
      <c r="G1056">
        <v>2127572.62</v>
      </c>
      <c r="H1056">
        <v>5428916.0899999999</v>
      </c>
      <c r="I1056">
        <v>3.65</v>
      </c>
      <c r="J1056">
        <v>3.79</v>
      </c>
    </row>
    <row r="1057" spans="1:10" x14ac:dyDescent="0.25">
      <c r="A1057">
        <v>44647</v>
      </c>
      <c r="B1057" t="s">
        <v>19</v>
      </c>
      <c r="C1057" t="s">
        <v>23</v>
      </c>
      <c r="D1057" t="s">
        <v>17</v>
      </c>
      <c r="E1057">
        <v>130</v>
      </c>
      <c r="F1057">
        <v>8148917.6799999997</v>
      </c>
      <c r="G1057">
        <v>1961541.36</v>
      </c>
      <c r="H1057">
        <v>6187376.3300000001</v>
      </c>
      <c r="I1057">
        <v>3.83</v>
      </c>
      <c r="J1057">
        <v>4.47</v>
      </c>
    </row>
    <row r="1058" spans="1:10" x14ac:dyDescent="0.25">
      <c r="A1058">
        <v>44873</v>
      </c>
      <c r="B1058" t="s">
        <v>19</v>
      </c>
      <c r="C1058" t="s">
        <v>23</v>
      </c>
      <c r="D1058" t="s">
        <v>12</v>
      </c>
      <c r="E1058">
        <v>487</v>
      </c>
      <c r="F1058">
        <v>20211587.309999999</v>
      </c>
      <c r="G1058">
        <v>6461654.1200000001</v>
      </c>
      <c r="H1058">
        <v>13749933.189999999</v>
      </c>
      <c r="I1058">
        <v>4.07</v>
      </c>
      <c r="J1058">
        <v>3.83</v>
      </c>
    </row>
    <row r="1059" spans="1:10" x14ac:dyDescent="0.25">
      <c r="A1059">
        <v>43863</v>
      </c>
      <c r="B1059" t="s">
        <v>19</v>
      </c>
      <c r="C1059" t="s">
        <v>24</v>
      </c>
      <c r="D1059" t="s">
        <v>12</v>
      </c>
      <c r="E1059">
        <v>146</v>
      </c>
      <c r="F1059">
        <v>5429685.8600000003</v>
      </c>
      <c r="G1059">
        <v>1874340.48</v>
      </c>
      <c r="H1059">
        <v>3555345.38</v>
      </c>
      <c r="I1059">
        <v>4.8</v>
      </c>
      <c r="J1059">
        <v>4.93</v>
      </c>
    </row>
    <row r="1060" spans="1:10" x14ac:dyDescent="0.25">
      <c r="A1060">
        <v>45201</v>
      </c>
      <c r="B1060" t="s">
        <v>19</v>
      </c>
      <c r="C1060" t="s">
        <v>24</v>
      </c>
      <c r="D1060" t="s">
        <v>12</v>
      </c>
      <c r="E1060">
        <v>331</v>
      </c>
      <c r="F1060">
        <v>24960369.52</v>
      </c>
      <c r="G1060">
        <v>6491710.21</v>
      </c>
      <c r="H1060">
        <v>18468659.309999999</v>
      </c>
      <c r="I1060">
        <v>4.34</v>
      </c>
      <c r="J1060">
        <v>3.67</v>
      </c>
    </row>
    <row r="1061" spans="1:10" x14ac:dyDescent="0.25">
      <c r="A1061">
        <v>44528</v>
      </c>
      <c r="B1061" t="s">
        <v>19</v>
      </c>
      <c r="C1061" t="s">
        <v>24</v>
      </c>
      <c r="D1061" t="s">
        <v>14</v>
      </c>
      <c r="E1061">
        <v>118</v>
      </c>
      <c r="F1061">
        <v>5046381.92</v>
      </c>
      <c r="G1061">
        <v>1247954.26</v>
      </c>
      <c r="H1061">
        <v>3798427.66</v>
      </c>
      <c r="I1061">
        <v>0.99</v>
      </c>
      <c r="J1061">
        <v>4.97</v>
      </c>
    </row>
    <row r="1062" spans="1:10" x14ac:dyDescent="0.25">
      <c r="A1062">
        <v>45295</v>
      </c>
      <c r="B1062" t="s">
        <v>19</v>
      </c>
      <c r="C1062" t="s">
        <v>21</v>
      </c>
      <c r="D1062" t="s">
        <v>14</v>
      </c>
      <c r="E1062">
        <v>168</v>
      </c>
      <c r="F1062">
        <v>10294337.25</v>
      </c>
      <c r="G1062">
        <v>3133269.06</v>
      </c>
      <c r="H1062">
        <v>7161068.1900000004</v>
      </c>
      <c r="I1062">
        <v>3.96</v>
      </c>
      <c r="J1062">
        <v>4.4400000000000004</v>
      </c>
    </row>
    <row r="1063" spans="1:10" x14ac:dyDescent="0.25">
      <c r="A1063">
        <v>45544</v>
      </c>
      <c r="B1063" t="s">
        <v>19</v>
      </c>
      <c r="C1063" t="s">
        <v>21</v>
      </c>
      <c r="D1063" t="s">
        <v>14</v>
      </c>
      <c r="E1063">
        <v>462</v>
      </c>
      <c r="F1063">
        <v>19880394.100000001</v>
      </c>
      <c r="G1063">
        <v>4222340.68</v>
      </c>
      <c r="H1063">
        <v>15658053.42</v>
      </c>
      <c r="I1063">
        <v>4.63</v>
      </c>
      <c r="J1063">
        <v>4.83</v>
      </c>
    </row>
    <row r="1064" spans="1:10" x14ac:dyDescent="0.25">
      <c r="A1064">
        <v>44296</v>
      </c>
      <c r="B1064" t="s">
        <v>19</v>
      </c>
      <c r="C1064" t="s">
        <v>23</v>
      </c>
      <c r="D1064" t="s">
        <v>14</v>
      </c>
      <c r="E1064">
        <v>81</v>
      </c>
      <c r="F1064">
        <v>5938181.0499999998</v>
      </c>
      <c r="G1064">
        <v>1277809.8799999999</v>
      </c>
      <c r="H1064">
        <v>4660371.17</v>
      </c>
      <c r="I1064">
        <v>4.1900000000000004</v>
      </c>
      <c r="J1064">
        <v>4.34</v>
      </c>
    </row>
    <row r="1065" spans="1:10" x14ac:dyDescent="0.25">
      <c r="A1065">
        <v>44814</v>
      </c>
      <c r="B1065" t="s">
        <v>19</v>
      </c>
      <c r="C1065" t="s">
        <v>23</v>
      </c>
      <c r="D1065" t="s">
        <v>12</v>
      </c>
      <c r="E1065">
        <v>229</v>
      </c>
      <c r="F1065">
        <v>16020952.83</v>
      </c>
      <c r="G1065">
        <v>5267824.59</v>
      </c>
      <c r="H1065">
        <v>10753128.24</v>
      </c>
      <c r="I1065">
        <v>1.17</v>
      </c>
      <c r="J1065">
        <v>4.3899999999999997</v>
      </c>
    </row>
    <row r="1066" spans="1:10" x14ac:dyDescent="0.25">
      <c r="A1066">
        <v>45465</v>
      </c>
      <c r="B1066" t="s">
        <v>19</v>
      </c>
      <c r="C1066" t="s">
        <v>20</v>
      </c>
      <c r="D1066" t="s">
        <v>17</v>
      </c>
      <c r="E1066">
        <v>277</v>
      </c>
      <c r="F1066">
        <v>18103750.460000001</v>
      </c>
      <c r="G1066">
        <v>6365864.5199999996</v>
      </c>
      <c r="H1066">
        <v>11737885.939999999</v>
      </c>
      <c r="I1066">
        <v>2.42</v>
      </c>
      <c r="J1066">
        <v>4.95</v>
      </c>
    </row>
    <row r="1067" spans="1:10" x14ac:dyDescent="0.25">
      <c r="A1067">
        <v>44468</v>
      </c>
      <c r="B1067" t="s">
        <v>19</v>
      </c>
      <c r="C1067" t="s">
        <v>20</v>
      </c>
      <c r="D1067" t="s">
        <v>14</v>
      </c>
      <c r="E1067">
        <v>219</v>
      </c>
      <c r="F1067">
        <v>14463142.359999999</v>
      </c>
      <c r="G1067">
        <v>3086560.05</v>
      </c>
      <c r="H1067">
        <v>11376582.310000001</v>
      </c>
      <c r="I1067">
        <v>3.14</v>
      </c>
      <c r="J1067">
        <v>4.29</v>
      </c>
    </row>
    <row r="1068" spans="1:10" x14ac:dyDescent="0.25">
      <c r="A1068">
        <v>45551</v>
      </c>
      <c r="B1068" t="s">
        <v>19</v>
      </c>
      <c r="C1068" t="s">
        <v>24</v>
      </c>
      <c r="D1068" t="s">
        <v>14</v>
      </c>
      <c r="E1068">
        <v>111</v>
      </c>
      <c r="F1068">
        <v>8915505.6600000001</v>
      </c>
      <c r="G1068">
        <v>3202293.33</v>
      </c>
      <c r="H1068">
        <v>5713212.3399999999</v>
      </c>
      <c r="I1068">
        <v>2.61</v>
      </c>
      <c r="J1068">
        <v>4.7</v>
      </c>
    </row>
    <row r="1069" spans="1:10" x14ac:dyDescent="0.25">
      <c r="A1069">
        <v>45575</v>
      </c>
      <c r="B1069" t="s">
        <v>19</v>
      </c>
      <c r="C1069" t="s">
        <v>21</v>
      </c>
      <c r="D1069" t="s">
        <v>12</v>
      </c>
      <c r="E1069">
        <v>179</v>
      </c>
      <c r="F1069">
        <v>9988620.3499999996</v>
      </c>
      <c r="G1069">
        <v>2962038.5</v>
      </c>
      <c r="H1069">
        <v>7026581.8499999996</v>
      </c>
      <c r="I1069">
        <v>2.36</v>
      </c>
      <c r="J1069">
        <v>3.8</v>
      </c>
    </row>
    <row r="1070" spans="1:10" x14ac:dyDescent="0.25">
      <c r="A1070">
        <v>45166</v>
      </c>
      <c r="B1070" t="s">
        <v>19</v>
      </c>
      <c r="C1070" t="s">
        <v>24</v>
      </c>
      <c r="D1070" t="s">
        <v>14</v>
      </c>
      <c r="E1070">
        <v>493</v>
      </c>
      <c r="F1070">
        <v>17942327.399999999</v>
      </c>
      <c r="G1070">
        <v>4700721.5199999996</v>
      </c>
      <c r="H1070">
        <v>13241605.880000001</v>
      </c>
      <c r="I1070">
        <v>1.92</v>
      </c>
      <c r="J1070">
        <v>3.58</v>
      </c>
    </row>
    <row r="1071" spans="1:10" x14ac:dyDescent="0.25">
      <c r="A1071">
        <v>45198</v>
      </c>
      <c r="B1071" t="s">
        <v>19</v>
      </c>
      <c r="C1071" t="s">
        <v>24</v>
      </c>
      <c r="D1071" t="s">
        <v>12</v>
      </c>
      <c r="E1071">
        <v>150</v>
      </c>
      <c r="F1071">
        <v>8223250.8300000001</v>
      </c>
      <c r="G1071">
        <v>3146098.66</v>
      </c>
      <c r="H1071">
        <v>5077152.17</v>
      </c>
      <c r="I1071">
        <v>1.41</v>
      </c>
      <c r="J1071">
        <v>4.32</v>
      </c>
    </row>
    <row r="1072" spans="1:10" x14ac:dyDescent="0.25">
      <c r="A1072">
        <v>44077</v>
      </c>
      <c r="B1072" t="s">
        <v>19</v>
      </c>
      <c r="C1072" t="s">
        <v>23</v>
      </c>
      <c r="D1072" t="s">
        <v>14</v>
      </c>
      <c r="E1072">
        <v>415</v>
      </c>
      <c r="F1072">
        <v>21326330.399999999</v>
      </c>
      <c r="G1072">
        <v>8147684.0099999998</v>
      </c>
      <c r="H1072">
        <v>13178646.390000001</v>
      </c>
      <c r="I1072">
        <v>4.5999999999999996</v>
      </c>
      <c r="J1072">
        <v>3.51</v>
      </c>
    </row>
    <row r="1073" spans="1:10" x14ac:dyDescent="0.25">
      <c r="A1073">
        <v>43973</v>
      </c>
      <c r="B1073" t="s">
        <v>19</v>
      </c>
      <c r="C1073" t="s">
        <v>22</v>
      </c>
      <c r="D1073" t="s">
        <v>17</v>
      </c>
      <c r="E1073">
        <v>426</v>
      </c>
      <c r="F1073">
        <v>20663251.170000002</v>
      </c>
      <c r="G1073">
        <v>4908240.49</v>
      </c>
      <c r="H1073">
        <v>15755010.68</v>
      </c>
      <c r="I1073">
        <v>2.04</v>
      </c>
      <c r="J1073">
        <v>3.67</v>
      </c>
    </row>
    <row r="1074" spans="1:10" x14ac:dyDescent="0.25">
      <c r="A1074">
        <v>45322</v>
      </c>
      <c r="B1074" t="s">
        <v>19</v>
      </c>
      <c r="C1074" t="s">
        <v>23</v>
      </c>
      <c r="D1074" t="s">
        <v>14</v>
      </c>
      <c r="E1074">
        <v>355</v>
      </c>
      <c r="F1074">
        <v>31282876.039999999</v>
      </c>
      <c r="G1074">
        <v>11225582.42</v>
      </c>
      <c r="H1074">
        <v>20057293.620000001</v>
      </c>
      <c r="I1074">
        <v>3.84</v>
      </c>
      <c r="J1074">
        <v>4.32</v>
      </c>
    </row>
    <row r="1075" spans="1:10" x14ac:dyDescent="0.25">
      <c r="A1075">
        <v>44335</v>
      </c>
      <c r="B1075" t="s">
        <v>19</v>
      </c>
      <c r="C1075" t="s">
        <v>20</v>
      </c>
      <c r="D1075" t="s">
        <v>17</v>
      </c>
      <c r="E1075">
        <v>232</v>
      </c>
      <c r="F1075">
        <v>11723014.65</v>
      </c>
      <c r="G1075">
        <v>4499401.49</v>
      </c>
      <c r="H1075">
        <v>7223613.1600000001</v>
      </c>
      <c r="I1075">
        <v>4.4400000000000004</v>
      </c>
      <c r="J1075">
        <v>4.59</v>
      </c>
    </row>
    <row r="1076" spans="1:10" x14ac:dyDescent="0.25">
      <c r="A1076">
        <v>45401</v>
      </c>
      <c r="B1076" t="s">
        <v>19</v>
      </c>
      <c r="C1076" t="s">
        <v>20</v>
      </c>
      <c r="D1076" t="s">
        <v>12</v>
      </c>
      <c r="E1076">
        <v>261</v>
      </c>
      <c r="F1076">
        <v>22291201.760000002</v>
      </c>
      <c r="G1076">
        <v>7454899.2199999997</v>
      </c>
      <c r="H1076">
        <v>14836302.550000001</v>
      </c>
      <c r="I1076">
        <v>2.17</v>
      </c>
      <c r="J1076">
        <v>4.6399999999999997</v>
      </c>
    </row>
    <row r="1077" spans="1:10" x14ac:dyDescent="0.25">
      <c r="A1077">
        <v>45374</v>
      </c>
      <c r="B1077" t="s">
        <v>19</v>
      </c>
      <c r="C1077" t="s">
        <v>21</v>
      </c>
      <c r="D1077" t="s">
        <v>17</v>
      </c>
      <c r="E1077">
        <v>272</v>
      </c>
      <c r="F1077">
        <v>9577403.6999999993</v>
      </c>
      <c r="G1077">
        <v>2869374.44</v>
      </c>
      <c r="H1077">
        <v>6708029.25</v>
      </c>
      <c r="I1077">
        <v>3.12</v>
      </c>
      <c r="J1077">
        <v>4.37</v>
      </c>
    </row>
    <row r="1078" spans="1:10" x14ac:dyDescent="0.25">
      <c r="A1078">
        <v>44663</v>
      </c>
      <c r="B1078" t="s">
        <v>19</v>
      </c>
      <c r="C1078" t="s">
        <v>21</v>
      </c>
      <c r="D1078" t="s">
        <v>12</v>
      </c>
      <c r="E1078">
        <v>157</v>
      </c>
      <c r="F1078">
        <v>5923347.0199999996</v>
      </c>
      <c r="G1078">
        <v>2064804.5</v>
      </c>
      <c r="H1078">
        <v>3858542.52</v>
      </c>
      <c r="I1078">
        <v>2.59</v>
      </c>
      <c r="J1078">
        <v>3.84</v>
      </c>
    </row>
    <row r="1079" spans="1:10" x14ac:dyDescent="0.25">
      <c r="A1079">
        <v>44686</v>
      </c>
      <c r="B1079" t="s">
        <v>19</v>
      </c>
      <c r="C1079" t="s">
        <v>23</v>
      </c>
      <c r="D1079" t="s">
        <v>12</v>
      </c>
      <c r="E1079">
        <v>68</v>
      </c>
      <c r="F1079">
        <v>2705788.74</v>
      </c>
      <c r="G1079">
        <v>818563.63</v>
      </c>
      <c r="H1079">
        <v>1887225.11</v>
      </c>
      <c r="I1079">
        <v>3.61</v>
      </c>
      <c r="J1079">
        <v>3.89</v>
      </c>
    </row>
    <row r="1080" spans="1:10" x14ac:dyDescent="0.25">
      <c r="A1080">
        <v>44382</v>
      </c>
      <c r="B1080" t="s">
        <v>19</v>
      </c>
      <c r="C1080" t="s">
        <v>23</v>
      </c>
      <c r="D1080" t="s">
        <v>12</v>
      </c>
      <c r="E1080">
        <v>482</v>
      </c>
      <c r="F1080">
        <v>28663037.989999998</v>
      </c>
      <c r="G1080">
        <v>8661692.6199999992</v>
      </c>
      <c r="H1080">
        <v>20001345.370000001</v>
      </c>
      <c r="I1080">
        <v>2.08</v>
      </c>
      <c r="J1080">
        <v>4.8600000000000003</v>
      </c>
    </row>
    <row r="1081" spans="1:10" x14ac:dyDescent="0.25">
      <c r="A1081">
        <v>44101</v>
      </c>
      <c r="B1081" t="s">
        <v>19</v>
      </c>
      <c r="C1081" t="s">
        <v>21</v>
      </c>
      <c r="D1081" t="s">
        <v>14</v>
      </c>
      <c r="E1081">
        <v>322</v>
      </c>
      <c r="F1081">
        <v>16569398.800000001</v>
      </c>
      <c r="G1081">
        <v>5199947</v>
      </c>
      <c r="H1081">
        <v>11369451.800000001</v>
      </c>
      <c r="I1081">
        <v>1.9</v>
      </c>
      <c r="J1081">
        <v>4.59</v>
      </c>
    </row>
    <row r="1082" spans="1:10" x14ac:dyDescent="0.25">
      <c r="A1082">
        <v>44575</v>
      </c>
      <c r="B1082" t="s">
        <v>19</v>
      </c>
      <c r="C1082" t="s">
        <v>24</v>
      </c>
      <c r="D1082" t="s">
        <v>12</v>
      </c>
      <c r="E1082">
        <v>98</v>
      </c>
      <c r="F1082">
        <v>8003262.8600000003</v>
      </c>
      <c r="G1082">
        <v>2619859.5299999998</v>
      </c>
      <c r="H1082">
        <v>5383403.3300000001</v>
      </c>
      <c r="I1082">
        <v>4.07</v>
      </c>
      <c r="J1082">
        <v>4.91</v>
      </c>
    </row>
    <row r="1083" spans="1:10" x14ac:dyDescent="0.25">
      <c r="A1083">
        <v>45381</v>
      </c>
      <c r="B1083" t="s">
        <v>19</v>
      </c>
      <c r="C1083" t="s">
        <v>24</v>
      </c>
      <c r="D1083" t="s">
        <v>17</v>
      </c>
      <c r="E1083">
        <v>312</v>
      </c>
      <c r="F1083">
        <v>16741020.32</v>
      </c>
      <c r="G1083">
        <v>4872991.43</v>
      </c>
      <c r="H1083">
        <v>11868028.890000001</v>
      </c>
      <c r="I1083">
        <v>0.68</v>
      </c>
      <c r="J1083">
        <v>4.62</v>
      </c>
    </row>
    <row r="1084" spans="1:10" x14ac:dyDescent="0.25">
      <c r="A1084">
        <v>44013</v>
      </c>
      <c r="B1084" t="s">
        <v>19</v>
      </c>
      <c r="C1084" t="s">
        <v>20</v>
      </c>
      <c r="D1084" t="s">
        <v>17</v>
      </c>
      <c r="E1084">
        <v>178</v>
      </c>
      <c r="F1084">
        <v>6731869.2699999996</v>
      </c>
      <c r="G1084">
        <v>2151672</v>
      </c>
      <c r="H1084">
        <v>4580197.26</v>
      </c>
      <c r="I1084">
        <v>3.53</v>
      </c>
      <c r="J1084">
        <v>4.18</v>
      </c>
    </row>
    <row r="1085" spans="1:10" x14ac:dyDescent="0.25">
      <c r="A1085">
        <v>44512</v>
      </c>
      <c r="B1085" t="s">
        <v>19</v>
      </c>
      <c r="C1085" t="s">
        <v>23</v>
      </c>
      <c r="D1085" t="s">
        <v>17</v>
      </c>
      <c r="E1085">
        <v>206</v>
      </c>
      <c r="F1085">
        <v>12469430.74</v>
      </c>
      <c r="G1085">
        <v>3443547.23</v>
      </c>
      <c r="H1085">
        <v>9025883.5099999998</v>
      </c>
      <c r="I1085">
        <v>2.66</v>
      </c>
      <c r="J1085">
        <v>4.49</v>
      </c>
    </row>
    <row r="1086" spans="1:10" x14ac:dyDescent="0.25">
      <c r="A1086">
        <v>44974</v>
      </c>
      <c r="B1086" t="s">
        <v>19</v>
      </c>
      <c r="C1086" t="s">
        <v>23</v>
      </c>
      <c r="D1086" t="s">
        <v>17</v>
      </c>
      <c r="E1086">
        <v>383</v>
      </c>
      <c r="F1086">
        <v>24900085.579999998</v>
      </c>
      <c r="G1086">
        <v>8943790.0899999999</v>
      </c>
      <c r="H1086">
        <v>15956295.5</v>
      </c>
      <c r="I1086">
        <v>1.81</v>
      </c>
      <c r="J1086">
        <v>4.62</v>
      </c>
    </row>
    <row r="1087" spans="1:10" x14ac:dyDescent="0.25">
      <c r="A1087">
        <v>44644</v>
      </c>
      <c r="B1087" t="s">
        <v>19</v>
      </c>
      <c r="C1087" t="s">
        <v>22</v>
      </c>
      <c r="D1087" t="s">
        <v>14</v>
      </c>
      <c r="E1087">
        <v>350</v>
      </c>
      <c r="F1087">
        <v>19574276.300000001</v>
      </c>
      <c r="G1087">
        <v>7414244.21</v>
      </c>
      <c r="H1087">
        <v>12160032.08</v>
      </c>
      <c r="I1087">
        <v>2.89</v>
      </c>
      <c r="J1087">
        <v>4.09</v>
      </c>
    </row>
    <row r="1088" spans="1:10" x14ac:dyDescent="0.25">
      <c r="A1088">
        <v>43982</v>
      </c>
      <c r="B1088" t="s">
        <v>19</v>
      </c>
      <c r="C1088" t="s">
        <v>24</v>
      </c>
      <c r="D1088" t="s">
        <v>17</v>
      </c>
      <c r="E1088">
        <v>51</v>
      </c>
      <c r="F1088">
        <v>2983029.65</v>
      </c>
      <c r="G1088">
        <v>909764.18</v>
      </c>
      <c r="H1088">
        <v>2073265.47</v>
      </c>
      <c r="I1088">
        <v>4.54</v>
      </c>
      <c r="J1088">
        <v>4.29</v>
      </c>
    </row>
    <row r="1089" spans="1:10" x14ac:dyDescent="0.25">
      <c r="A1089">
        <v>44433</v>
      </c>
      <c r="B1089" t="s">
        <v>19</v>
      </c>
      <c r="C1089" t="s">
        <v>24</v>
      </c>
      <c r="D1089" t="s">
        <v>12</v>
      </c>
      <c r="E1089">
        <v>318</v>
      </c>
      <c r="F1089">
        <v>21943906.07</v>
      </c>
      <c r="G1089">
        <v>5790240.2999999998</v>
      </c>
      <c r="H1089">
        <v>16153665.77</v>
      </c>
      <c r="I1089">
        <v>3.5</v>
      </c>
      <c r="J1089">
        <v>4.2699999999999996</v>
      </c>
    </row>
    <row r="1090" spans="1:10" x14ac:dyDescent="0.25">
      <c r="A1090">
        <v>45279</v>
      </c>
      <c r="B1090" t="s">
        <v>19</v>
      </c>
      <c r="C1090" t="s">
        <v>24</v>
      </c>
      <c r="D1090" t="s">
        <v>12</v>
      </c>
      <c r="E1090">
        <v>353</v>
      </c>
      <c r="F1090">
        <v>12373316.41</v>
      </c>
      <c r="G1090">
        <v>4852158.78</v>
      </c>
      <c r="H1090">
        <v>7521157.6299999999</v>
      </c>
      <c r="I1090">
        <v>4.9000000000000004</v>
      </c>
      <c r="J1090">
        <v>3.86</v>
      </c>
    </row>
    <row r="1091" spans="1:10" x14ac:dyDescent="0.25">
      <c r="A1091">
        <v>45430</v>
      </c>
      <c r="B1091" t="s">
        <v>19</v>
      </c>
      <c r="C1091" t="s">
        <v>24</v>
      </c>
      <c r="D1091" t="s">
        <v>14</v>
      </c>
      <c r="E1091">
        <v>328</v>
      </c>
      <c r="F1091">
        <v>18474020.59</v>
      </c>
      <c r="G1091">
        <v>6878364.8399999999</v>
      </c>
      <c r="H1091">
        <v>11595655.75</v>
      </c>
      <c r="I1091">
        <v>3.82</v>
      </c>
      <c r="J1091">
        <v>4.79</v>
      </c>
    </row>
    <row r="1092" spans="1:10" x14ac:dyDescent="0.25">
      <c r="A1092">
        <v>44855</v>
      </c>
      <c r="B1092" t="s">
        <v>19</v>
      </c>
      <c r="C1092" t="s">
        <v>23</v>
      </c>
      <c r="D1092" t="s">
        <v>14</v>
      </c>
      <c r="E1092">
        <v>95</v>
      </c>
      <c r="F1092">
        <v>6461313.6200000001</v>
      </c>
      <c r="G1092">
        <v>1639557.57</v>
      </c>
      <c r="H1092">
        <v>4821756.05</v>
      </c>
      <c r="I1092">
        <v>3.96</v>
      </c>
      <c r="J1092">
        <v>4.96</v>
      </c>
    </row>
    <row r="1093" spans="1:10" x14ac:dyDescent="0.25">
      <c r="A1093">
        <v>44359</v>
      </c>
      <c r="B1093" t="s">
        <v>19</v>
      </c>
      <c r="C1093" t="s">
        <v>21</v>
      </c>
      <c r="D1093" t="s">
        <v>14</v>
      </c>
      <c r="E1093">
        <v>321</v>
      </c>
      <c r="F1093">
        <v>16697682.890000001</v>
      </c>
      <c r="G1093">
        <v>3550847.24</v>
      </c>
      <c r="H1093">
        <v>13146835.65</v>
      </c>
      <c r="I1093">
        <v>2.82</v>
      </c>
      <c r="J1093">
        <v>4.25</v>
      </c>
    </row>
    <row r="1094" spans="1:10" x14ac:dyDescent="0.25">
      <c r="A1094">
        <v>44262</v>
      </c>
      <c r="B1094" t="s">
        <v>19</v>
      </c>
      <c r="C1094" t="s">
        <v>22</v>
      </c>
      <c r="D1094" t="s">
        <v>12</v>
      </c>
      <c r="E1094">
        <v>405</v>
      </c>
      <c r="F1094">
        <v>16834212.030000001</v>
      </c>
      <c r="G1094">
        <v>5629889.6399999997</v>
      </c>
      <c r="H1094">
        <v>11204322.390000001</v>
      </c>
      <c r="I1094">
        <v>4.17</v>
      </c>
      <c r="J1094">
        <v>4.4000000000000004</v>
      </c>
    </row>
    <row r="1095" spans="1:10" x14ac:dyDescent="0.25">
      <c r="A1095">
        <v>44078</v>
      </c>
      <c r="B1095" t="s">
        <v>19</v>
      </c>
      <c r="C1095" t="s">
        <v>20</v>
      </c>
      <c r="D1095" t="s">
        <v>17</v>
      </c>
      <c r="E1095">
        <v>100</v>
      </c>
      <c r="F1095">
        <v>4554549.2</v>
      </c>
      <c r="G1095">
        <v>1315811.74</v>
      </c>
      <c r="H1095">
        <v>3238737.46</v>
      </c>
      <c r="I1095">
        <v>3.13</v>
      </c>
      <c r="J1095">
        <v>3.81</v>
      </c>
    </row>
    <row r="1096" spans="1:10" x14ac:dyDescent="0.25">
      <c r="A1096">
        <v>44625</v>
      </c>
      <c r="B1096" t="s">
        <v>19</v>
      </c>
      <c r="C1096" t="s">
        <v>20</v>
      </c>
      <c r="D1096" t="s">
        <v>17</v>
      </c>
      <c r="E1096">
        <v>102</v>
      </c>
      <c r="F1096">
        <v>4064434.16</v>
      </c>
      <c r="G1096">
        <v>994324.44</v>
      </c>
      <c r="H1096">
        <v>3070109.72</v>
      </c>
      <c r="I1096">
        <v>4.3099999999999996</v>
      </c>
      <c r="J1096">
        <v>3.77</v>
      </c>
    </row>
    <row r="1097" spans="1:10" x14ac:dyDescent="0.25">
      <c r="A1097">
        <v>45182</v>
      </c>
      <c r="B1097" t="s">
        <v>19</v>
      </c>
      <c r="C1097" t="s">
        <v>23</v>
      </c>
      <c r="D1097" t="s">
        <v>12</v>
      </c>
      <c r="E1097">
        <v>241</v>
      </c>
      <c r="F1097">
        <v>19405834.710000001</v>
      </c>
      <c r="G1097">
        <v>4890783.33</v>
      </c>
      <c r="H1097">
        <v>14515051.369999999</v>
      </c>
      <c r="I1097">
        <v>4.05</v>
      </c>
      <c r="J1097">
        <v>3.68</v>
      </c>
    </row>
    <row r="1098" spans="1:10" x14ac:dyDescent="0.25">
      <c r="A1098">
        <v>44690</v>
      </c>
      <c r="B1098" t="s">
        <v>19</v>
      </c>
      <c r="C1098" t="s">
        <v>22</v>
      </c>
      <c r="D1098" t="s">
        <v>17</v>
      </c>
      <c r="E1098">
        <v>436</v>
      </c>
      <c r="F1098">
        <v>19971757.469999999</v>
      </c>
      <c r="G1098">
        <v>7142915.5899999999</v>
      </c>
      <c r="H1098">
        <v>12828841.880000001</v>
      </c>
      <c r="I1098">
        <v>0.69</v>
      </c>
      <c r="J1098">
        <v>3.98</v>
      </c>
    </row>
    <row r="1099" spans="1:10" x14ac:dyDescent="0.25">
      <c r="A1099">
        <v>44667</v>
      </c>
      <c r="B1099" t="s">
        <v>19</v>
      </c>
      <c r="C1099" t="s">
        <v>20</v>
      </c>
      <c r="D1099" t="s">
        <v>17</v>
      </c>
      <c r="E1099">
        <v>316</v>
      </c>
      <c r="F1099">
        <v>23301347.789999999</v>
      </c>
      <c r="G1099">
        <v>4993027.34</v>
      </c>
      <c r="H1099">
        <v>18308320.449999999</v>
      </c>
      <c r="I1099">
        <v>3.82</v>
      </c>
      <c r="J1099">
        <v>3.96</v>
      </c>
    </row>
    <row r="1100" spans="1:10" x14ac:dyDescent="0.25">
      <c r="A1100">
        <v>44137</v>
      </c>
      <c r="B1100" t="s">
        <v>19</v>
      </c>
      <c r="C1100" t="s">
        <v>21</v>
      </c>
      <c r="D1100" t="s">
        <v>14</v>
      </c>
      <c r="E1100">
        <v>63</v>
      </c>
      <c r="F1100">
        <v>4617306.84</v>
      </c>
      <c r="G1100">
        <v>1668814.22</v>
      </c>
      <c r="H1100">
        <v>2948492.62</v>
      </c>
      <c r="I1100">
        <v>0.92</v>
      </c>
      <c r="J1100">
        <v>4.3</v>
      </c>
    </row>
    <row r="1101" spans="1:10" x14ac:dyDescent="0.25">
      <c r="A1101">
        <v>44518</v>
      </c>
      <c r="B1101" t="s">
        <v>19</v>
      </c>
      <c r="C1101" t="s">
        <v>24</v>
      </c>
      <c r="D1101" t="s">
        <v>17</v>
      </c>
      <c r="E1101">
        <v>59</v>
      </c>
      <c r="F1101">
        <v>4421145.34</v>
      </c>
      <c r="G1101">
        <v>1661198.5</v>
      </c>
      <c r="H1101">
        <v>2759946.84</v>
      </c>
      <c r="I1101">
        <v>1.86</v>
      </c>
      <c r="J1101">
        <v>4.3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76FEF0-15E7-41C2-9AA2-FC64D98E75DA}">
  <dimension ref="A3:D18"/>
  <sheetViews>
    <sheetView workbookViewId="0">
      <selection activeCell="J11" sqref="J11"/>
    </sheetView>
  </sheetViews>
  <sheetFormatPr defaultRowHeight="15" x14ac:dyDescent="0.25"/>
  <cols>
    <col min="1" max="1" width="17.42578125" bestFit="1" customWidth="1"/>
    <col min="2" max="2" width="16.28515625" bestFit="1" customWidth="1"/>
    <col min="3" max="3" width="7" bestFit="1" customWidth="1"/>
    <col min="4" max="4" width="11.28515625" bestFit="1" customWidth="1"/>
  </cols>
  <sheetData>
    <row r="3" spans="1:4" x14ac:dyDescent="0.25">
      <c r="A3" s="1" t="s">
        <v>27</v>
      </c>
      <c r="B3" s="1" t="s">
        <v>29</v>
      </c>
    </row>
    <row r="4" spans="1:4" x14ac:dyDescent="0.25">
      <c r="A4" s="1" t="s">
        <v>25</v>
      </c>
      <c r="B4" t="s">
        <v>10</v>
      </c>
      <c r="C4" t="s">
        <v>19</v>
      </c>
      <c r="D4" t="s">
        <v>26</v>
      </c>
    </row>
    <row r="5" spans="1:4" x14ac:dyDescent="0.25">
      <c r="A5" s="2" t="s">
        <v>52</v>
      </c>
      <c r="B5" s="8">
        <v>301231</v>
      </c>
      <c r="C5" s="8">
        <v>301231</v>
      </c>
      <c r="D5" s="8">
        <v>602462</v>
      </c>
    </row>
    <row r="6" spans="1:4" x14ac:dyDescent="0.25">
      <c r="A6" s="2" t="s">
        <v>53</v>
      </c>
      <c r="B6" s="8">
        <v>301231</v>
      </c>
      <c r="C6" s="8">
        <v>301231</v>
      </c>
      <c r="D6" s="8">
        <v>602462</v>
      </c>
    </row>
    <row r="7" spans="1:4" x14ac:dyDescent="0.25">
      <c r="A7" s="2" t="s">
        <v>54</v>
      </c>
      <c r="B7" s="8">
        <v>301231</v>
      </c>
      <c r="C7" s="8">
        <v>301231</v>
      </c>
      <c r="D7" s="8">
        <v>602462</v>
      </c>
    </row>
    <row r="8" spans="1:4" x14ac:dyDescent="0.25">
      <c r="A8" s="2" t="s">
        <v>55</v>
      </c>
      <c r="B8" s="8">
        <v>301231</v>
      </c>
      <c r="C8" s="8">
        <v>301231</v>
      </c>
      <c r="D8" s="8">
        <v>602462</v>
      </c>
    </row>
    <row r="9" spans="1:4" x14ac:dyDescent="0.25">
      <c r="A9" s="2" t="s">
        <v>56</v>
      </c>
      <c r="B9" s="8">
        <v>301231</v>
      </c>
      <c r="C9" s="8">
        <v>301231</v>
      </c>
      <c r="D9" s="8">
        <v>602462</v>
      </c>
    </row>
    <row r="10" spans="1:4" x14ac:dyDescent="0.25">
      <c r="A10" s="2" t="s">
        <v>57</v>
      </c>
      <c r="B10" s="8">
        <v>301231</v>
      </c>
      <c r="C10" s="8">
        <v>301231</v>
      </c>
      <c r="D10" s="8">
        <v>602462</v>
      </c>
    </row>
    <row r="11" spans="1:4" x14ac:dyDescent="0.25">
      <c r="A11" s="2" t="s">
        <v>58</v>
      </c>
      <c r="B11" s="8">
        <v>301231</v>
      </c>
      <c r="C11" s="8">
        <v>301231</v>
      </c>
      <c r="D11" s="8">
        <v>602462</v>
      </c>
    </row>
    <row r="12" spans="1:4" x14ac:dyDescent="0.25">
      <c r="A12" s="2" t="s">
        <v>59</v>
      </c>
      <c r="B12" s="8">
        <v>301231</v>
      </c>
      <c r="C12" s="8">
        <v>301231</v>
      </c>
      <c r="D12" s="8">
        <v>602462</v>
      </c>
    </row>
    <row r="13" spans="1:4" x14ac:dyDescent="0.25">
      <c r="A13" s="2" t="s">
        <v>60</v>
      </c>
      <c r="B13" s="8">
        <v>301231</v>
      </c>
      <c r="C13" s="8">
        <v>301231</v>
      </c>
      <c r="D13" s="8">
        <v>602462</v>
      </c>
    </row>
    <row r="14" spans="1:4" x14ac:dyDescent="0.25">
      <c r="A14" s="2" t="s">
        <v>61</v>
      </c>
      <c r="B14" s="8">
        <v>301231</v>
      </c>
      <c r="C14" s="8">
        <v>301231</v>
      </c>
      <c r="D14" s="8">
        <v>602462</v>
      </c>
    </row>
    <row r="15" spans="1:4" x14ac:dyDescent="0.25">
      <c r="A15" s="2" t="s">
        <v>62</v>
      </c>
      <c r="B15" s="8">
        <v>301231</v>
      </c>
      <c r="C15" s="8">
        <v>301231</v>
      </c>
      <c r="D15" s="8">
        <v>602462</v>
      </c>
    </row>
    <row r="16" spans="1:4" x14ac:dyDescent="0.25">
      <c r="A16" s="2" t="s">
        <v>63</v>
      </c>
      <c r="B16" s="8">
        <v>301231</v>
      </c>
      <c r="C16" s="8">
        <v>301231</v>
      </c>
      <c r="D16" s="8">
        <v>602462</v>
      </c>
    </row>
    <row r="17" spans="1:4" x14ac:dyDescent="0.25">
      <c r="A17" s="2" t="s">
        <v>64</v>
      </c>
      <c r="B17" s="8">
        <v>301231</v>
      </c>
      <c r="C17" s="8">
        <v>301231</v>
      </c>
      <c r="D17" s="8">
        <v>602462</v>
      </c>
    </row>
    <row r="18" spans="1:4" x14ac:dyDescent="0.25">
      <c r="A18" s="2" t="s">
        <v>26</v>
      </c>
      <c r="B18" s="8">
        <v>301231</v>
      </c>
      <c r="C18" s="8">
        <v>301231</v>
      </c>
      <c r="D18" s="8">
        <v>602462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EB08CE-F249-4B46-A9BE-153DF0EF747F}">
  <dimension ref="A3:O43"/>
  <sheetViews>
    <sheetView workbookViewId="0">
      <selection activeCell="G13" sqref="G13"/>
    </sheetView>
  </sheetViews>
  <sheetFormatPr defaultRowHeight="15" x14ac:dyDescent="0.25"/>
  <cols>
    <col min="1" max="1" width="17.42578125" bestFit="1" customWidth="1"/>
    <col min="2" max="2" width="16.28515625" bestFit="1" customWidth="1"/>
    <col min="3" max="3" width="7" bestFit="1" customWidth="1"/>
    <col min="4" max="4" width="11.28515625" bestFit="1" customWidth="1"/>
    <col min="5" max="5" width="12" bestFit="1" customWidth="1"/>
    <col min="7" max="7" width="17.42578125" bestFit="1" customWidth="1"/>
    <col min="8" max="8" width="16.28515625" bestFit="1" customWidth="1"/>
    <col min="9" max="9" width="7" bestFit="1" customWidth="1"/>
    <col min="10" max="11" width="11.28515625" bestFit="1" customWidth="1"/>
    <col min="12" max="12" width="13.140625" bestFit="1" customWidth="1"/>
    <col min="13" max="13" width="16.28515625" bestFit="1" customWidth="1"/>
    <col min="14" max="14" width="11" bestFit="1" customWidth="1"/>
    <col min="15" max="15" width="12" bestFit="1" customWidth="1"/>
  </cols>
  <sheetData>
    <row r="3" spans="1:15" x14ac:dyDescent="0.25">
      <c r="A3" s="1" t="s">
        <v>25</v>
      </c>
      <c r="B3" t="s">
        <v>28</v>
      </c>
      <c r="L3" s="1" t="s">
        <v>30</v>
      </c>
      <c r="M3" s="1" t="s">
        <v>29</v>
      </c>
    </row>
    <row r="4" spans="1:15" x14ac:dyDescent="0.25">
      <c r="A4" s="2" t="s">
        <v>10</v>
      </c>
      <c r="B4" s="8">
        <v>18711789144.669994</v>
      </c>
      <c r="L4" s="1" t="s">
        <v>25</v>
      </c>
      <c r="M4" t="s">
        <v>10</v>
      </c>
      <c r="N4" t="s">
        <v>19</v>
      </c>
      <c r="O4" t="s">
        <v>26</v>
      </c>
    </row>
    <row r="5" spans="1:15" x14ac:dyDescent="0.25">
      <c r="A5" s="2" t="s">
        <v>19</v>
      </c>
      <c r="B5" s="8">
        <v>18711789144.669994</v>
      </c>
      <c r="L5" s="2" t="s">
        <v>24</v>
      </c>
      <c r="M5" s="8"/>
      <c r="N5" s="8">
        <v>1069344367.2600003</v>
      </c>
      <c r="O5" s="8">
        <v>1069344367.2600003</v>
      </c>
    </row>
    <row r="6" spans="1:15" x14ac:dyDescent="0.25">
      <c r="A6" s="2" t="s">
        <v>26</v>
      </c>
      <c r="B6" s="8">
        <v>37423578289.339981</v>
      </c>
      <c r="L6" s="2" t="s">
        <v>23</v>
      </c>
      <c r="M6" s="8"/>
      <c r="N6" s="8">
        <v>1176321834.4299996</v>
      </c>
      <c r="O6" s="8">
        <v>1176321834.4299996</v>
      </c>
    </row>
    <row r="7" spans="1:15" x14ac:dyDescent="0.25">
      <c r="L7" s="2" t="s">
        <v>11</v>
      </c>
      <c r="M7" s="8">
        <v>1058638162.45</v>
      </c>
      <c r="N7" s="8"/>
      <c r="O7" s="8">
        <v>1058638162.45</v>
      </c>
    </row>
    <row r="8" spans="1:15" x14ac:dyDescent="0.25">
      <c r="L8" s="2" t="s">
        <v>21</v>
      </c>
      <c r="M8" s="8"/>
      <c r="N8" s="8">
        <v>1103681684.6800003</v>
      </c>
      <c r="O8" s="8">
        <v>1103681684.6800003</v>
      </c>
    </row>
    <row r="9" spans="1:15" ht="14.25" customHeight="1" x14ac:dyDescent="0.25">
      <c r="L9" s="2" t="s">
        <v>13</v>
      </c>
      <c r="M9" s="8">
        <v>1084952695.1599998</v>
      </c>
      <c r="N9" s="8"/>
      <c r="O9" s="8">
        <v>1084952695.1599998</v>
      </c>
    </row>
    <row r="10" spans="1:15" x14ac:dyDescent="0.25">
      <c r="A10" s="1" t="s">
        <v>28</v>
      </c>
      <c r="B10" s="1" t="s">
        <v>29</v>
      </c>
      <c r="L10" s="2" t="s">
        <v>15</v>
      </c>
      <c r="M10" s="8">
        <v>1274493196.8799999</v>
      </c>
      <c r="N10" s="8"/>
      <c r="O10" s="8">
        <v>1274493196.8799999</v>
      </c>
    </row>
    <row r="11" spans="1:15" x14ac:dyDescent="0.25">
      <c r="A11" s="1" t="s">
        <v>25</v>
      </c>
      <c r="B11" t="s">
        <v>10</v>
      </c>
      <c r="C11" t="s">
        <v>19</v>
      </c>
      <c r="D11" t="s">
        <v>26</v>
      </c>
      <c r="L11" s="2" t="s">
        <v>18</v>
      </c>
      <c r="M11" s="8">
        <v>1031231088.7299997</v>
      </c>
      <c r="N11" s="8"/>
      <c r="O11" s="8">
        <v>1031231088.7299997</v>
      </c>
    </row>
    <row r="12" spans="1:15" x14ac:dyDescent="0.25">
      <c r="A12" s="2" t="s">
        <v>14</v>
      </c>
      <c r="B12" s="8">
        <v>5760228129.3700018</v>
      </c>
      <c r="C12" s="8">
        <v>6079104442.3499985</v>
      </c>
      <c r="D12" s="8">
        <v>11839332571.720001</v>
      </c>
      <c r="L12" s="2" t="s">
        <v>16</v>
      </c>
      <c r="M12" s="8">
        <v>1227388340.8800001</v>
      </c>
      <c r="N12" s="8"/>
      <c r="O12" s="8">
        <v>1227388340.8800001</v>
      </c>
    </row>
    <row r="13" spans="1:15" x14ac:dyDescent="0.25">
      <c r="A13" s="2" t="s">
        <v>12</v>
      </c>
      <c r="B13" s="8">
        <v>6202473958.3299999</v>
      </c>
      <c r="C13" s="8">
        <v>6428354423.8800001</v>
      </c>
      <c r="D13" s="8">
        <v>12630828382.209999</v>
      </c>
      <c r="L13" s="2" t="s">
        <v>20</v>
      </c>
      <c r="M13" s="8"/>
      <c r="N13" s="8">
        <v>1236120254.4300001</v>
      </c>
      <c r="O13" s="8">
        <v>1236120254.4300001</v>
      </c>
    </row>
    <row r="14" spans="1:15" x14ac:dyDescent="0.25">
      <c r="A14" s="2" t="s">
        <v>17</v>
      </c>
      <c r="B14" s="8">
        <v>6749087056.9700003</v>
      </c>
      <c r="C14" s="8">
        <v>6204330278.4400015</v>
      </c>
      <c r="D14" s="8">
        <v>12953417335.410002</v>
      </c>
      <c r="L14" s="2" t="s">
        <v>22</v>
      </c>
      <c r="M14" s="8"/>
      <c r="N14" s="8">
        <v>1091235343.3000002</v>
      </c>
      <c r="O14" s="8">
        <v>1091235343.3000002</v>
      </c>
    </row>
    <row r="15" spans="1:15" x14ac:dyDescent="0.25">
      <c r="A15" s="2" t="s">
        <v>26</v>
      </c>
      <c r="B15" s="8">
        <v>18711789144.670002</v>
      </c>
      <c r="C15" s="8">
        <v>18711789144.670002</v>
      </c>
      <c r="D15" s="8">
        <v>37423578289.340004</v>
      </c>
      <c r="L15" s="2" t="s">
        <v>26</v>
      </c>
      <c r="M15" s="8">
        <v>5676703484.0999994</v>
      </c>
      <c r="N15" s="8">
        <v>5676703484.1000004</v>
      </c>
      <c r="O15" s="8">
        <v>11353406968.200001</v>
      </c>
    </row>
    <row r="16" spans="1:15" x14ac:dyDescent="0.25">
      <c r="H16" t="e">
        <f>DATEVALUE(CarData!A3)</f>
        <v>#VALUE!</v>
      </c>
    </row>
    <row r="18" spans="1:10" x14ac:dyDescent="0.25">
      <c r="A18" s="1" t="s">
        <v>27</v>
      </c>
      <c r="B18" s="1" t="s">
        <v>29</v>
      </c>
      <c r="H18" s="1" t="s">
        <v>29</v>
      </c>
    </row>
    <row r="19" spans="1:10" x14ac:dyDescent="0.25">
      <c r="A19" s="1" t="s">
        <v>25</v>
      </c>
      <c r="B19" t="s">
        <v>10</v>
      </c>
      <c r="C19" t="s">
        <v>19</v>
      </c>
      <c r="D19" t="s">
        <v>26</v>
      </c>
      <c r="H19" t="s">
        <v>10</v>
      </c>
      <c r="I19" t="s">
        <v>19</v>
      </c>
      <c r="J19" t="s">
        <v>26</v>
      </c>
    </row>
    <row r="20" spans="1:10" x14ac:dyDescent="0.25">
      <c r="A20" s="7" t="s">
        <v>33</v>
      </c>
      <c r="B20" s="8">
        <v>14430</v>
      </c>
      <c r="C20" s="8">
        <v>16922</v>
      </c>
      <c r="D20" s="8">
        <v>31352</v>
      </c>
      <c r="G20" t="s">
        <v>27</v>
      </c>
      <c r="H20" s="8">
        <v>301231</v>
      </c>
      <c r="I20" s="8">
        <v>301231</v>
      </c>
      <c r="J20" s="8">
        <v>602462</v>
      </c>
    </row>
    <row r="21" spans="1:10" x14ac:dyDescent="0.25">
      <c r="A21" s="7" t="s">
        <v>34</v>
      </c>
      <c r="B21" s="8">
        <v>21642</v>
      </c>
      <c r="C21" s="8">
        <v>18966</v>
      </c>
      <c r="D21" s="8">
        <v>40608</v>
      </c>
    </row>
    <row r="22" spans="1:10" x14ac:dyDescent="0.25">
      <c r="A22" s="7" t="s">
        <v>35</v>
      </c>
      <c r="B22" s="8">
        <v>18162</v>
      </c>
      <c r="C22" s="8">
        <v>16431</v>
      </c>
      <c r="D22" s="8">
        <v>34593</v>
      </c>
      <c r="G22" s="1" t="s">
        <v>27</v>
      </c>
      <c r="H22" s="1" t="s">
        <v>29</v>
      </c>
    </row>
    <row r="23" spans="1:10" x14ac:dyDescent="0.25">
      <c r="A23" s="7" t="s">
        <v>36</v>
      </c>
      <c r="B23" s="8">
        <v>12799</v>
      </c>
      <c r="C23" s="8">
        <v>15165</v>
      </c>
      <c r="D23" s="8">
        <v>27964</v>
      </c>
      <c r="G23" s="1" t="s">
        <v>25</v>
      </c>
      <c r="H23" t="s">
        <v>10</v>
      </c>
      <c r="I23" t="s">
        <v>19</v>
      </c>
      <c r="J23" t="s">
        <v>26</v>
      </c>
    </row>
    <row r="24" spans="1:10" x14ac:dyDescent="0.25">
      <c r="A24" s="7" t="s">
        <v>37</v>
      </c>
      <c r="B24" s="8">
        <v>15831</v>
      </c>
      <c r="C24" s="8">
        <v>16546</v>
      </c>
      <c r="D24" s="8">
        <v>32377</v>
      </c>
      <c r="G24" s="5" t="s">
        <v>33</v>
      </c>
      <c r="H24" s="8">
        <v>14430</v>
      </c>
      <c r="I24" s="8">
        <v>16922</v>
      </c>
      <c r="J24" s="8">
        <v>31352</v>
      </c>
    </row>
    <row r="25" spans="1:10" x14ac:dyDescent="0.25">
      <c r="A25" s="7" t="s">
        <v>38</v>
      </c>
      <c r="B25" s="8">
        <v>16613</v>
      </c>
      <c r="C25" s="8">
        <v>20477</v>
      </c>
      <c r="D25" s="8">
        <v>37090</v>
      </c>
      <c r="G25" s="5" t="s">
        <v>34</v>
      </c>
      <c r="H25" s="8">
        <v>21642</v>
      </c>
      <c r="I25" s="8">
        <v>18966</v>
      </c>
      <c r="J25" s="8">
        <v>40608</v>
      </c>
    </row>
    <row r="26" spans="1:10" x14ac:dyDescent="0.25">
      <c r="A26" s="7" t="s">
        <v>39</v>
      </c>
      <c r="B26" s="8">
        <v>11405</v>
      </c>
      <c r="C26" s="8">
        <v>16199</v>
      </c>
      <c r="D26" s="8">
        <v>27604</v>
      </c>
      <c r="G26" s="5" t="s">
        <v>35</v>
      </c>
      <c r="H26" s="8">
        <v>18162</v>
      </c>
      <c r="I26" s="8">
        <v>16431</v>
      </c>
      <c r="J26" s="8">
        <v>34593</v>
      </c>
    </row>
    <row r="27" spans="1:10" x14ac:dyDescent="0.25">
      <c r="A27" s="7" t="s">
        <v>40</v>
      </c>
      <c r="B27" s="8">
        <v>15734</v>
      </c>
      <c r="C27" s="8">
        <v>18265</v>
      </c>
      <c r="D27" s="8">
        <v>33999</v>
      </c>
      <c r="G27" s="5" t="s">
        <v>36</v>
      </c>
      <c r="H27" s="8">
        <v>12799</v>
      </c>
      <c r="I27" s="8">
        <v>15165</v>
      </c>
      <c r="J27" s="8">
        <v>27964</v>
      </c>
    </row>
    <row r="28" spans="1:10" x14ac:dyDescent="0.25">
      <c r="A28" s="7" t="s">
        <v>41</v>
      </c>
      <c r="B28" s="8">
        <v>16006</v>
      </c>
      <c r="C28" s="8">
        <v>16165</v>
      </c>
      <c r="D28" s="8">
        <v>32171</v>
      </c>
      <c r="G28" s="5" t="s">
        <v>37</v>
      </c>
      <c r="H28" s="8">
        <v>15831</v>
      </c>
      <c r="I28" s="8">
        <v>16546</v>
      </c>
      <c r="J28" s="8">
        <v>32377</v>
      </c>
    </row>
    <row r="29" spans="1:10" x14ac:dyDescent="0.25">
      <c r="A29" s="7" t="s">
        <v>42</v>
      </c>
      <c r="B29" s="8">
        <v>17768</v>
      </c>
      <c r="C29" s="8">
        <v>17083</v>
      </c>
      <c r="D29" s="8">
        <v>34851</v>
      </c>
      <c r="G29" s="5" t="s">
        <v>38</v>
      </c>
      <c r="H29" s="8">
        <v>16613</v>
      </c>
      <c r="I29" s="8">
        <v>20477</v>
      </c>
      <c r="J29" s="8">
        <v>37090</v>
      </c>
    </row>
    <row r="30" spans="1:10" x14ac:dyDescent="0.25">
      <c r="A30" s="7" t="s">
        <v>43</v>
      </c>
      <c r="B30" s="8">
        <v>17169</v>
      </c>
      <c r="C30" s="8">
        <v>13903</v>
      </c>
      <c r="D30" s="8">
        <v>31072</v>
      </c>
      <c r="G30" s="5" t="s">
        <v>39</v>
      </c>
      <c r="H30" s="8">
        <v>11405</v>
      </c>
      <c r="I30" s="8">
        <v>16199</v>
      </c>
      <c r="J30" s="8">
        <v>27604</v>
      </c>
    </row>
    <row r="31" spans="1:10" x14ac:dyDescent="0.25">
      <c r="A31" s="7" t="s">
        <v>44</v>
      </c>
      <c r="B31" s="8">
        <v>17012</v>
      </c>
      <c r="C31" s="8">
        <v>12186</v>
      </c>
      <c r="D31" s="8">
        <v>29198</v>
      </c>
      <c r="G31" s="5" t="s">
        <v>40</v>
      </c>
      <c r="H31" s="8">
        <v>15734</v>
      </c>
      <c r="I31" s="8">
        <v>18265</v>
      </c>
      <c r="J31" s="8">
        <v>33999</v>
      </c>
    </row>
    <row r="32" spans="1:10" x14ac:dyDescent="0.25">
      <c r="A32" s="7" t="s">
        <v>45</v>
      </c>
      <c r="B32" s="8">
        <v>18072</v>
      </c>
      <c r="C32" s="8">
        <v>12837</v>
      </c>
      <c r="D32" s="8">
        <v>30909</v>
      </c>
      <c r="G32" s="5" t="s">
        <v>41</v>
      </c>
      <c r="H32" s="8">
        <v>16006</v>
      </c>
      <c r="I32" s="8">
        <v>16165</v>
      </c>
      <c r="J32" s="8">
        <v>32171</v>
      </c>
    </row>
    <row r="33" spans="1:10" x14ac:dyDescent="0.25">
      <c r="A33" s="7" t="s">
        <v>46</v>
      </c>
      <c r="B33" s="8">
        <v>16358</v>
      </c>
      <c r="C33" s="8">
        <v>17274</v>
      </c>
      <c r="D33" s="8">
        <v>33632</v>
      </c>
      <c r="G33" s="5" t="s">
        <v>42</v>
      </c>
      <c r="H33" s="8">
        <v>17768</v>
      </c>
      <c r="I33" s="8">
        <v>17083</v>
      </c>
      <c r="J33" s="8">
        <v>34851</v>
      </c>
    </row>
    <row r="34" spans="1:10" x14ac:dyDescent="0.25">
      <c r="A34" s="7" t="s">
        <v>47</v>
      </c>
      <c r="B34" s="8">
        <v>19513</v>
      </c>
      <c r="C34" s="8">
        <v>16973</v>
      </c>
      <c r="D34" s="8">
        <v>36486</v>
      </c>
      <c r="G34" s="5" t="s">
        <v>43</v>
      </c>
      <c r="H34" s="8">
        <v>17169</v>
      </c>
      <c r="I34" s="8">
        <v>13903</v>
      </c>
      <c r="J34" s="8">
        <v>31072</v>
      </c>
    </row>
    <row r="35" spans="1:10" x14ac:dyDescent="0.25">
      <c r="A35" s="7" t="s">
        <v>48</v>
      </c>
      <c r="B35" s="8">
        <v>20988</v>
      </c>
      <c r="C35" s="8">
        <v>15339</v>
      </c>
      <c r="D35" s="8">
        <v>36327</v>
      </c>
      <c r="G35" s="5" t="s">
        <v>44</v>
      </c>
      <c r="H35" s="8">
        <v>17012</v>
      </c>
      <c r="I35" s="8">
        <v>12186</v>
      </c>
      <c r="J35" s="8">
        <v>29198</v>
      </c>
    </row>
    <row r="36" spans="1:10" x14ac:dyDescent="0.25">
      <c r="A36" s="7" t="s">
        <v>49</v>
      </c>
      <c r="B36" s="8">
        <v>17905</v>
      </c>
      <c r="C36" s="8">
        <v>13930</v>
      </c>
      <c r="D36" s="8">
        <v>31835</v>
      </c>
      <c r="G36" s="5" t="s">
        <v>45</v>
      </c>
      <c r="H36" s="8">
        <v>18072</v>
      </c>
      <c r="I36" s="8">
        <v>12837</v>
      </c>
      <c r="J36" s="8">
        <v>30909</v>
      </c>
    </row>
    <row r="37" spans="1:10" x14ac:dyDescent="0.25">
      <c r="A37" s="7" t="s">
        <v>50</v>
      </c>
      <c r="B37" s="8">
        <v>10949</v>
      </c>
      <c r="C37" s="8">
        <v>21487</v>
      </c>
      <c r="D37" s="8">
        <v>32436</v>
      </c>
      <c r="G37" s="5" t="s">
        <v>46</v>
      </c>
      <c r="H37" s="8">
        <v>16358</v>
      </c>
      <c r="I37" s="8">
        <v>17274</v>
      </c>
      <c r="J37" s="8">
        <v>33632</v>
      </c>
    </row>
    <row r="38" spans="1:10" x14ac:dyDescent="0.25">
      <c r="A38" s="7" t="s">
        <v>51</v>
      </c>
      <c r="B38" s="8">
        <v>2875</v>
      </c>
      <c r="C38" s="8">
        <v>5083</v>
      </c>
      <c r="D38" s="8">
        <v>7958</v>
      </c>
      <c r="G38" s="5" t="s">
        <v>47</v>
      </c>
      <c r="H38" s="8">
        <v>19513</v>
      </c>
      <c r="I38" s="8">
        <v>16973</v>
      </c>
      <c r="J38" s="8">
        <v>36486</v>
      </c>
    </row>
    <row r="39" spans="1:10" x14ac:dyDescent="0.25">
      <c r="A39" s="2" t="s">
        <v>26</v>
      </c>
      <c r="B39" s="8">
        <v>301231</v>
      </c>
      <c r="C39" s="8">
        <v>301231</v>
      </c>
      <c r="D39" s="8">
        <v>602462</v>
      </c>
      <c r="G39" s="5" t="s">
        <v>48</v>
      </c>
      <c r="H39" s="8">
        <v>20988</v>
      </c>
      <c r="I39" s="8">
        <v>15339</v>
      </c>
      <c r="J39" s="8">
        <v>36327</v>
      </c>
    </row>
    <row r="40" spans="1:10" x14ac:dyDescent="0.25">
      <c r="G40" s="5" t="s">
        <v>49</v>
      </c>
      <c r="H40" s="8">
        <v>17905</v>
      </c>
      <c r="I40" s="8">
        <v>13930</v>
      </c>
      <c r="J40" s="8">
        <v>31835</v>
      </c>
    </row>
    <row r="41" spans="1:10" x14ac:dyDescent="0.25">
      <c r="G41" s="5" t="s">
        <v>50</v>
      </c>
      <c r="H41" s="8">
        <v>10949</v>
      </c>
      <c r="I41" s="8">
        <v>21487</v>
      </c>
      <c r="J41" s="8">
        <v>32436</v>
      </c>
    </row>
    <row r="42" spans="1:10" x14ac:dyDescent="0.25">
      <c r="G42" s="5" t="s">
        <v>51</v>
      </c>
      <c r="H42" s="8">
        <v>2875</v>
      </c>
      <c r="I42" s="8">
        <v>5083</v>
      </c>
      <c r="J42" s="8">
        <v>7958</v>
      </c>
    </row>
    <row r="43" spans="1:10" x14ac:dyDescent="0.25">
      <c r="G43" s="2" t="s">
        <v>26</v>
      </c>
      <c r="H43" s="8">
        <v>301231</v>
      </c>
      <c r="I43" s="8">
        <v>301231</v>
      </c>
      <c r="J43" s="8">
        <v>602462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73DFEB-C1B7-48C2-BEB7-8BD72439003A}">
  <dimension ref="A1:M2201"/>
  <sheetViews>
    <sheetView workbookViewId="0">
      <selection sqref="A1:A1048576"/>
    </sheetView>
  </sheetViews>
  <sheetFormatPr defaultRowHeight="15" x14ac:dyDescent="0.25"/>
  <cols>
    <col min="1" max="1" width="10.7109375" style="6" bestFit="1" customWidth="1"/>
    <col min="2" max="2" width="11.5703125" bestFit="1" customWidth="1"/>
    <col min="3" max="3" width="10.5703125" bestFit="1" customWidth="1"/>
    <col min="4" max="4" width="14" bestFit="1" customWidth="1"/>
    <col min="5" max="5" width="12.85546875" bestFit="1" customWidth="1"/>
    <col min="6" max="6" width="14.42578125" style="3" bestFit="1" customWidth="1"/>
    <col min="7" max="7" width="12" bestFit="1" customWidth="1"/>
    <col min="8" max="9" width="18" bestFit="1" customWidth="1"/>
    <col min="10" max="10" width="18.5703125" bestFit="1" customWidth="1"/>
  </cols>
  <sheetData>
    <row r="1" spans="1:13" x14ac:dyDescent="0.25">
      <c r="A1" s="6" t="s">
        <v>0</v>
      </c>
      <c r="B1" t="s">
        <v>1</v>
      </c>
      <c r="C1" t="s">
        <v>2</v>
      </c>
      <c r="D1" t="s">
        <v>3</v>
      </c>
      <c r="E1" t="s">
        <v>4</v>
      </c>
      <c r="F1" s="3" t="s">
        <v>5</v>
      </c>
      <c r="G1" t="s">
        <v>6</v>
      </c>
      <c r="H1" t="s">
        <v>7</v>
      </c>
      <c r="I1" t="s">
        <v>8</v>
      </c>
      <c r="J1" t="s">
        <v>9</v>
      </c>
      <c r="K1" t="s">
        <v>31</v>
      </c>
      <c r="M1" t="s">
        <v>32</v>
      </c>
    </row>
    <row r="2" spans="1:13" x14ac:dyDescent="0.25">
      <c r="A2" s="6">
        <v>43879</v>
      </c>
      <c r="B2" t="s">
        <v>10</v>
      </c>
      <c r="C2" t="s">
        <v>11</v>
      </c>
      <c r="D2" t="s">
        <v>12</v>
      </c>
      <c r="E2">
        <v>152</v>
      </c>
      <c r="F2" s="3">
        <v>11979099.369999999</v>
      </c>
      <c r="G2">
        <v>4352163.03</v>
      </c>
      <c r="H2">
        <v>7626936.3399999999</v>
      </c>
      <c r="I2">
        <v>4.01</v>
      </c>
      <c r="J2">
        <v>4.4000000000000004</v>
      </c>
      <c r="K2" t="str">
        <f>TEXT(A2,"mmm yyyy")</f>
        <v>Feb 2020</v>
      </c>
    </row>
    <row r="3" spans="1:13" x14ac:dyDescent="0.25">
      <c r="A3" s="6">
        <v>43931</v>
      </c>
      <c r="B3" t="s">
        <v>10</v>
      </c>
      <c r="C3" t="s">
        <v>13</v>
      </c>
      <c r="D3" t="s">
        <v>14</v>
      </c>
      <c r="E3">
        <v>171</v>
      </c>
      <c r="F3" s="3">
        <v>7452128.46</v>
      </c>
      <c r="G3">
        <v>2894282.08</v>
      </c>
      <c r="H3">
        <v>4557846.3899999997</v>
      </c>
      <c r="I3">
        <v>4.4000000000000004</v>
      </c>
      <c r="J3">
        <v>4.4000000000000004</v>
      </c>
      <c r="K3" t="str">
        <f t="shared" ref="K3:K65" si="0">TEXT(A3,"mmm yyyy")</f>
        <v>Apr 2020</v>
      </c>
    </row>
    <row r="4" spans="1:13" x14ac:dyDescent="0.25">
      <c r="A4" s="6">
        <v>44204</v>
      </c>
      <c r="B4" t="s">
        <v>10</v>
      </c>
      <c r="C4" t="s">
        <v>11</v>
      </c>
      <c r="D4" t="s">
        <v>12</v>
      </c>
      <c r="E4">
        <v>201</v>
      </c>
      <c r="F4" s="3">
        <v>14230572.07</v>
      </c>
      <c r="G4">
        <v>5531675.0199999996</v>
      </c>
      <c r="H4">
        <v>8698897.0500000007</v>
      </c>
      <c r="I4">
        <v>3.75</v>
      </c>
      <c r="J4">
        <v>4.91</v>
      </c>
      <c r="K4" t="str">
        <f t="shared" si="0"/>
        <v>Jan 2021</v>
      </c>
    </row>
    <row r="5" spans="1:13" x14ac:dyDescent="0.25">
      <c r="A5" s="6">
        <v>45161</v>
      </c>
      <c r="B5" t="s">
        <v>10</v>
      </c>
      <c r="C5" t="s">
        <v>15</v>
      </c>
      <c r="D5" t="s">
        <v>12</v>
      </c>
      <c r="E5">
        <v>435</v>
      </c>
      <c r="F5" s="3">
        <v>19575162.34</v>
      </c>
      <c r="G5">
        <v>7112030.3300000001</v>
      </c>
      <c r="H5">
        <v>12463132.02</v>
      </c>
      <c r="I5">
        <v>1.87</v>
      </c>
      <c r="J5">
        <v>4.29</v>
      </c>
      <c r="K5" t="str">
        <f t="shared" si="0"/>
        <v>Aug 2023</v>
      </c>
    </row>
    <row r="6" spans="1:13" x14ac:dyDescent="0.25">
      <c r="A6" s="6">
        <v>43966</v>
      </c>
      <c r="B6" t="s">
        <v>10</v>
      </c>
      <c r="C6" t="s">
        <v>13</v>
      </c>
      <c r="D6" t="s">
        <v>12</v>
      </c>
      <c r="E6">
        <v>285</v>
      </c>
      <c r="F6" s="3">
        <v>10336503.51</v>
      </c>
      <c r="G6">
        <v>3049734.38</v>
      </c>
      <c r="H6">
        <v>7286769.1299999999</v>
      </c>
      <c r="I6">
        <v>2.2999999999999998</v>
      </c>
      <c r="J6">
        <v>3.57</v>
      </c>
      <c r="K6" t="str">
        <f t="shared" si="0"/>
        <v>May 2020</v>
      </c>
    </row>
    <row r="7" spans="1:13" x14ac:dyDescent="0.25">
      <c r="A7" s="6">
        <v>44441</v>
      </c>
      <c r="B7" t="s">
        <v>10</v>
      </c>
      <c r="C7" t="s">
        <v>13</v>
      </c>
      <c r="D7" t="s">
        <v>12</v>
      </c>
      <c r="E7">
        <v>237</v>
      </c>
      <c r="F7" s="3">
        <v>13070526.630000001</v>
      </c>
      <c r="G7">
        <v>4035995.68</v>
      </c>
      <c r="H7">
        <v>9034530.9499999993</v>
      </c>
      <c r="I7">
        <v>4.03</v>
      </c>
      <c r="J7">
        <v>3.8</v>
      </c>
      <c r="K7" t="str">
        <f t="shared" si="0"/>
        <v>Sep 2021</v>
      </c>
    </row>
    <row r="8" spans="1:13" x14ac:dyDescent="0.25">
      <c r="A8" s="6">
        <v>45422</v>
      </c>
      <c r="B8" t="s">
        <v>10</v>
      </c>
      <c r="C8" t="s">
        <v>16</v>
      </c>
      <c r="D8" t="s">
        <v>17</v>
      </c>
      <c r="E8">
        <v>104</v>
      </c>
      <c r="F8" s="3">
        <v>9264080.6699999999</v>
      </c>
      <c r="G8">
        <v>2840806.45</v>
      </c>
      <c r="H8">
        <v>6423274.2199999997</v>
      </c>
      <c r="I8">
        <v>4.37</v>
      </c>
      <c r="J8">
        <v>4.5199999999999996</v>
      </c>
      <c r="K8" t="str">
        <f t="shared" si="0"/>
        <v>May 2024</v>
      </c>
    </row>
    <row r="9" spans="1:13" x14ac:dyDescent="0.25">
      <c r="A9" s="6">
        <v>44892</v>
      </c>
      <c r="B9" t="s">
        <v>10</v>
      </c>
      <c r="C9" t="s">
        <v>15</v>
      </c>
      <c r="D9" t="s">
        <v>14</v>
      </c>
      <c r="E9">
        <v>378</v>
      </c>
      <c r="F9" s="3">
        <v>14582422.619999999</v>
      </c>
      <c r="G9">
        <v>3065559.06</v>
      </c>
      <c r="H9">
        <v>11516863.550000001</v>
      </c>
      <c r="I9">
        <v>4.8499999999999996</v>
      </c>
      <c r="J9">
        <v>4.71</v>
      </c>
      <c r="K9" t="str">
        <f t="shared" si="0"/>
        <v>Nov 2022</v>
      </c>
    </row>
    <row r="10" spans="1:13" x14ac:dyDescent="0.25">
      <c r="A10" s="6">
        <v>44974</v>
      </c>
      <c r="B10" t="s">
        <v>10</v>
      </c>
      <c r="C10" t="s">
        <v>16</v>
      </c>
      <c r="D10" t="s">
        <v>14</v>
      </c>
      <c r="E10">
        <v>314</v>
      </c>
      <c r="F10" s="3">
        <v>11265737.18</v>
      </c>
      <c r="G10">
        <v>3986057.04</v>
      </c>
      <c r="H10">
        <v>7279680.1399999997</v>
      </c>
      <c r="I10">
        <v>1.58</v>
      </c>
      <c r="J10">
        <v>4.5199999999999996</v>
      </c>
      <c r="K10" t="str">
        <f t="shared" si="0"/>
        <v>Feb 2023</v>
      </c>
    </row>
    <row r="11" spans="1:13" x14ac:dyDescent="0.25">
      <c r="A11" s="6">
        <v>44634</v>
      </c>
      <c r="B11" t="s">
        <v>10</v>
      </c>
      <c r="C11" t="s">
        <v>11</v>
      </c>
      <c r="D11" t="s">
        <v>17</v>
      </c>
      <c r="E11">
        <v>477</v>
      </c>
      <c r="F11" s="3">
        <v>29685966.239999998</v>
      </c>
      <c r="G11">
        <v>11670215.199999999</v>
      </c>
      <c r="H11">
        <v>18015751.039999999</v>
      </c>
      <c r="I11">
        <v>4.59</v>
      </c>
      <c r="J11">
        <v>3.89</v>
      </c>
      <c r="K11" t="str">
        <f t="shared" si="0"/>
        <v>Mar 2022</v>
      </c>
    </row>
    <row r="12" spans="1:13" x14ac:dyDescent="0.25">
      <c r="A12" s="6">
        <v>45415</v>
      </c>
      <c r="B12" t="s">
        <v>10</v>
      </c>
      <c r="C12" t="s">
        <v>13</v>
      </c>
      <c r="D12" t="s">
        <v>12</v>
      </c>
      <c r="E12">
        <v>409</v>
      </c>
      <c r="F12" s="3">
        <v>31306854.93</v>
      </c>
      <c r="G12">
        <v>9860683.3100000005</v>
      </c>
      <c r="H12">
        <v>21446171.609999999</v>
      </c>
      <c r="I12">
        <v>1.44</v>
      </c>
      <c r="J12">
        <v>4.3499999999999996</v>
      </c>
      <c r="K12" t="str">
        <f t="shared" si="0"/>
        <v>May 2024</v>
      </c>
    </row>
    <row r="13" spans="1:13" x14ac:dyDescent="0.25">
      <c r="A13" s="6">
        <v>44726</v>
      </c>
      <c r="B13" t="s">
        <v>10</v>
      </c>
      <c r="C13" t="s">
        <v>11</v>
      </c>
      <c r="D13" t="s">
        <v>14</v>
      </c>
      <c r="E13">
        <v>240</v>
      </c>
      <c r="F13" s="3">
        <v>19518159.02</v>
      </c>
      <c r="G13">
        <v>6051589.0700000003</v>
      </c>
      <c r="H13">
        <v>13466569.949999999</v>
      </c>
      <c r="I13">
        <v>2.2799999999999998</v>
      </c>
      <c r="J13">
        <v>4.8899999999999997</v>
      </c>
      <c r="K13" t="str">
        <f t="shared" si="0"/>
        <v>Jun 2022</v>
      </c>
    </row>
    <row r="14" spans="1:13" x14ac:dyDescent="0.25">
      <c r="A14" s="6">
        <v>43961</v>
      </c>
      <c r="B14" t="s">
        <v>10</v>
      </c>
      <c r="C14" t="s">
        <v>15</v>
      </c>
      <c r="D14" t="s">
        <v>12</v>
      </c>
      <c r="E14">
        <v>400</v>
      </c>
      <c r="F14" s="3">
        <v>34281233.170000002</v>
      </c>
      <c r="G14">
        <v>13105766.85</v>
      </c>
      <c r="H14">
        <v>21175466.32</v>
      </c>
      <c r="I14">
        <v>1.38</v>
      </c>
      <c r="J14">
        <v>3.57</v>
      </c>
      <c r="K14" t="str">
        <f t="shared" si="0"/>
        <v>May 2020</v>
      </c>
    </row>
    <row r="15" spans="1:13" x14ac:dyDescent="0.25">
      <c r="A15" s="6">
        <v>44009</v>
      </c>
      <c r="B15" t="s">
        <v>10</v>
      </c>
      <c r="C15" t="s">
        <v>13</v>
      </c>
      <c r="D15" t="s">
        <v>17</v>
      </c>
      <c r="E15">
        <v>345</v>
      </c>
      <c r="F15" s="3">
        <v>28100029.780000001</v>
      </c>
      <c r="G15">
        <v>7040068.4400000004</v>
      </c>
      <c r="H15">
        <v>21059961.34</v>
      </c>
      <c r="I15">
        <v>2.93</v>
      </c>
      <c r="J15">
        <v>4.38</v>
      </c>
      <c r="K15" t="str">
        <f t="shared" si="0"/>
        <v>Jun 2020</v>
      </c>
    </row>
    <row r="16" spans="1:13" x14ac:dyDescent="0.25">
      <c r="A16" s="6">
        <v>44406</v>
      </c>
      <c r="B16" t="s">
        <v>10</v>
      </c>
      <c r="C16" t="s">
        <v>15</v>
      </c>
      <c r="D16" t="s">
        <v>17</v>
      </c>
      <c r="E16">
        <v>266</v>
      </c>
      <c r="F16" s="3">
        <v>13420071.880000001</v>
      </c>
      <c r="G16">
        <v>3911424.66</v>
      </c>
      <c r="H16">
        <v>9508647.2100000009</v>
      </c>
      <c r="I16">
        <v>1.1299999999999999</v>
      </c>
      <c r="J16">
        <v>4.7</v>
      </c>
      <c r="K16" t="str">
        <f t="shared" si="0"/>
        <v>Jul 2021</v>
      </c>
    </row>
    <row r="17" spans="1:11" x14ac:dyDescent="0.25">
      <c r="A17" s="6">
        <v>45005</v>
      </c>
      <c r="B17" t="s">
        <v>10</v>
      </c>
      <c r="C17" t="s">
        <v>15</v>
      </c>
      <c r="D17" t="s">
        <v>17</v>
      </c>
      <c r="E17">
        <v>114</v>
      </c>
      <c r="F17" s="3">
        <v>4088040.27</v>
      </c>
      <c r="G17">
        <v>1289039.6499999999</v>
      </c>
      <c r="H17">
        <v>2799000.62</v>
      </c>
      <c r="I17">
        <v>2.2799999999999998</v>
      </c>
      <c r="J17">
        <v>3.94</v>
      </c>
      <c r="K17" t="str">
        <f t="shared" si="0"/>
        <v>Mar 2023</v>
      </c>
    </row>
    <row r="18" spans="1:11" x14ac:dyDescent="0.25">
      <c r="A18" s="6">
        <v>44364</v>
      </c>
      <c r="B18" t="s">
        <v>10</v>
      </c>
      <c r="C18" t="s">
        <v>13</v>
      </c>
      <c r="D18" t="s">
        <v>12</v>
      </c>
      <c r="E18">
        <v>112</v>
      </c>
      <c r="F18" s="3">
        <v>8943242.4000000004</v>
      </c>
      <c r="G18">
        <v>2312977.65</v>
      </c>
      <c r="H18">
        <v>6630264.75</v>
      </c>
      <c r="I18">
        <v>3.78</v>
      </c>
      <c r="J18">
        <v>4.66</v>
      </c>
      <c r="K18" t="str">
        <f t="shared" si="0"/>
        <v>Jun 2021</v>
      </c>
    </row>
    <row r="19" spans="1:11" x14ac:dyDescent="0.25">
      <c r="A19" s="6">
        <v>45591</v>
      </c>
      <c r="B19" t="s">
        <v>10</v>
      </c>
      <c r="C19" t="s">
        <v>11</v>
      </c>
      <c r="D19" t="s">
        <v>17</v>
      </c>
      <c r="E19">
        <v>310</v>
      </c>
      <c r="F19" s="3">
        <v>26643429.98</v>
      </c>
      <c r="G19">
        <v>7187986.96</v>
      </c>
      <c r="H19">
        <v>19455443.02</v>
      </c>
      <c r="I19">
        <v>4.62</v>
      </c>
      <c r="J19">
        <v>4.78</v>
      </c>
      <c r="K19" t="str">
        <f t="shared" si="0"/>
        <v>Oct 2024</v>
      </c>
    </row>
    <row r="20" spans="1:11" x14ac:dyDescent="0.25">
      <c r="A20" s="6">
        <v>44629</v>
      </c>
      <c r="B20" t="s">
        <v>10</v>
      </c>
      <c r="C20" t="s">
        <v>11</v>
      </c>
      <c r="D20" t="s">
        <v>12</v>
      </c>
      <c r="E20">
        <v>317</v>
      </c>
      <c r="F20" s="3">
        <v>16864207.059999999</v>
      </c>
      <c r="G20">
        <v>6531310.5899999999</v>
      </c>
      <c r="H20">
        <v>10332896.470000001</v>
      </c>
      <c r="I20">
        <v>1.9</v>
      </c>
      <c r="J20">
        <v>3.99</v>
      </c>
      <c r="K20" t="str">
        <f t="shared" si="0"/>
        <v>Mar 2022</v>
      </c>
    </row>
    <row r="21" spans="1:11" x14ac:dyDescent="0.25">
      <c r="A21" s="6">
        <v>44976</v>
      </c>
      <c r="B21" t="s">
        <v>10</v>
      </c>
      <c r="C21" t="s">
        <v>13</v>
      </c>
      <c r="D21" t="s">
        <v>14</v>
      </c>
      <c r="E21">
        <v>148</v>
      </c>
      <c r="F21" s="3">
        <v>9993163.9900000002</v>
      </c>
      <c r="G21">
        <v>3448197.61</v>
      </c>
      <c r="H21">
        <v>6544966.3799999999</v>
      </c>
      <c r="I21">
        <v>3.03</v>
      </c>
      <c r="J21">
        <v>4.07</v>
      </c>
      <c r="K21" t="str">
        <f t="shared" si="0"/>
        <v>Feb 2023</v>
      </c>
    </row>
    <row r="22" spans="1:11" x14ac:dyDescent="0.25">
      <c r="A22" s="6">
        <v>44016</v>
      </c>
      <c r="B22" t="s">
        <v>10</v>
      </c>
      <c r="C22" t="s">
        <v>15</v>
      </c>
      <c r="D22" t="s">
        <v>14</v>
      </c>
      <c r="E22">
        <v>480</v>
      </c>
      <c r="F22" s="3">
        <v>35629662.380000003</v>
      </c>
      <c r="G22">
        <v>8830562.0700000003</v>
      </c>
      <c r="H22">
        <v>26799100.32</v>
      </c>
      <c r="I22">
        <v>3.03</v>
      </c>
      <c r="J22">
        <v>4.66</v>
      </c>
      <c r="K22" t="str">
        <f t="shared" si="0"/>
        <v>Jul 2020</v>
      </c>
    </row>
    <row r="23" spans="1:11" x14ac:dyDescent="0.25">
      <c r="A23" s="6">
        <v>45657</v>
      </c>
      <c r="B23" t="s">
        <v>10</v>
      </c>
      <c r="C23" t="s">
        <v>15</v>
      </c>
      <c r="D23" t="s">
        <v>14</v>
      </c>
      <c r="E23">
        <v>408</v>
      </c>
      <c r="F23" s="3">
        <v>15187329.75</v>
      </c>
      <c r="G23">
        <v>3916317.57</v>
      </c>
      <c r="H23">
        <v>11271012.18</v>
      </c>
      <c r="I23">
        <v>1</v>
      </c>
      <c r="J23">
        <v>4.16</v>
      </c>
      <c r="K23" t="str">
        <f t="shared" si="0"/>
        <v>Dec 2024</v>
      </c>
    </row>
    <row r="24" spans="1:11" x14ac:dyDescent="0.25">
      <c r="A24" s="6">
        <v>45649</v>
      </c>
      <c r="B24" t="s">
        <v>10</v>
      </c>
      <c r="C24" t="s">
        <v>16</v>
      </c>
      <c r="D24" t="s">
        <v>14</v>
      </c>
      <c r="E24">
        <v>228</v>
      </c>
      <c r="F24" s="3">
        <v>8374121.9900000002</v>
      </c>
      <c r="G24">
        <v>2283773.11</v>
      </c>
      <c r="H24">
        <v>6090348.8799999999</v>
      </c>
      <c r="I24">
        <v>1.91</v>
      </c>
      <c r="J24">
        <v>4.26</v>
      </c>
      <c r="K24" t="str">
        <f t="shared" si="0"/>
        <v>Dec 2024</v>
      </c>
    </row>
    <row r="25" spans="1:11" x14ac:dyDescent="0.25">
      <c r="A25" s="6">
        <v>44656</v>
      </c>
      <c r="B25" t="s">
        <v>10</v>
      </c>
      <c r="C25" t="s">
        <v>13</v>
      </c>
      <c r="D25" t="s">
        <v>12</v>
      </c>
      <c r="E25">
        <v>271</v>
      </c>
      <c r="F25" s="3">
        <v>11561735.33</v>
      </c>
      <c r="G25">
        <v>3227071.38</v>
      </c>
      <c r="H25">
        <v>8334663.9500000002</v>
      </c>
      <c r="I25">
        <v>2.93</v>
      </c>
      <c r="J25">
        <v>3.8</v>
      </c>
      <c r="K25" t="str">
        <f t="shared" si="0"/>
        <v>Apr 2022</v>
      </c>
    </row>
    <row r="26" spans="1:11" x14ac:dyDescent="0.25">
      <c r="A26" s="6">
        <v>45216</v>
      </c>
      <c r="B26" t="s">
        <v>10</v>
      </c>
      <c r="C26" t="s">
        <v>15</v>
      </c>
      <c r="D26" t="s">
        <v>14</v>
      </c>
      <c r="E26">
        <v>62</v>
      </c>
      <c r="F26" s="3">
        <v>2432501.4900000002</v>
      </c>
      <c r="G26">
        <v>832036.43</v>
      </c>
      <c r="H26">
        <v>1600465.06</v>
      </c>
      <c r="I26">
        <v>1.23</v>
      </c>
      <c r="J26">
        <v>4.8899999999999997</v>
      </c>
      <c r="K26" t="str">
        <f t="shared" si="0"/>
        <v>Oct 2023</v>
      </c>
    </row>
    <row r="27" spans="1:11" x14ac:dyDescent="0.25">
      <c r="A27" s="6">
        <v>44021</v>
      </c>
      <c r="B27" t="s">
        <v>10</v>
      </c>
      <c r="C27" t="s">
        <v>16</v>
      </c>
      <c r="D27" t="s">
        <v>12</v>
      </c>
      <c r="E27">
        <v>94</v>
      </c>
      <c r="F27" s="3">
        <v>4818426.16</v>
      </c>
      <c r="G27">
        <v>1825707.2</v>
      </c>
      <c r="H27">
        <v>2992718.95</v>
      </c>
      <c r="I27">
        <v>2.5499999999999998</v>
      </c>
      <c r="J27">
        <v>3.83</v>
      </c>
      <c r="K27" t="str">
        <f t="shared" si="0"/>
        <v>Jul 2020</v>
      </c>
    </row>
    <row r="28" spans="1:11" x14ac:dyDescent="0.25">
      <c r="A28" s="6">
        <v>44884</v>
      </c>
      <c r="B28" t="s">
        <v>10</v>
      </c>
      <c r="C28" t="s">
        <v>16</v>
      </c>
      <c r="D28" t="s">
        <v>12</v>
      </c>
      <c r="E28">
        <v>389</v>
      </c>
      <c r="F28" s="3">
        <v>32711299.77</v>
      </c>
      <c r="G28">
        <v>9556002.7599999998</v>
      </c>
      <c r="H28">
        <v>23155297.010000002</v>
      </c>
      <c r="I28">
        <v>4.13</v>
      </c>
      <c r="J28">
        <v>4.84</v>
      </c>
      <c r="K28" t="str">
        <f t="shared" si="0"/>
        <v>Nov 2022</v>
      </c>
    </row>
    <row r="29" spans="1:11" x14ac:dyDescent="0.25">
      <c r="A29" s="6">
        <v>44933</v>
      </c>
      <c r="B29" t="s">
        <v>10</v>
      </c>
      <c r="C29" t="s">
        <v>13</v>
      </c>
      <c r="D29" t="s">
        <v>14</v>
      </c>
      <c r="E29">
        <v>280</v>
      </c>
      <c r="F29" s="3">
        <v>23765158</v>
      </c>
      <c r="G29">
        <v>8212610.0199999996</v>
      </c>
      <c r="H29">
        <v>15552547.98</v>
      </c>
      <c r="I29">
        <v>3.41</v>
      </c>
      <c r="J29">
        <v>3.5</v>
      </c>
      <c r="K29" t="str">
        <f t="shared" si="0"/>
        <v>Jan 2023</v>
      </c>
    </row>
    <row r="30" spans="1:11" x14ac:dyDescent="0.25">
      <c r="A30" s="6">
        <v>45389</v>
      </c>
      <c r="B30" t="s">
        <v>10</v>
      </c>
      <c r="C30" t="s">
        <v>11</v>
      </c>
      <c r="D30" t="s">
        <v>14</v>
      </c>
      <c r="E30">
        <v>282</v>
      </c>
      <c r="F30" s="3">
        <v>14597157.310000001</v>
      </c>
      <c r="G30">
        <v>5358161.45</v>
      </c>
      <c r="H30">
        <v>9238995.8699999992</v>
      </c>
      <c r="I30">
        <v>2.9</v>
      </c>
      <c r="J30">
        <v>4.2300000000000004</v>
      </c>
      <c r="K30" t="str">
        <f t="shared" si="0"/>
        <v>Apr 2024</v>
      </c>
    </row>
    <row r="31" spans="1:11" x14ac:dyDescent="0.25">
      <c r="A31" s="6">
        <v>45334</v>
      </c>
      <c r="B31" t="s">
        <v>10</v>
      </c>
      <c r="C31" t="s">
        <v>11</v>
      </c>
      <c r="D31" t="s">
        <v>14</v>
      </c>
      <c r="E31">
        <v>274</v>
      </c>
      <c r="F31" s="3">
        <v>11396371.09</v>
      </c>
      <c r="G31">
        <v>3789030.88</v>
      </c>
      <c r="H31">
        <v>7607340.21</v>
      </c>
      <c r="I31">
        <v>4.74</v>
      </c>
      <c r="J31">
        <v>3.98</v>
      </c>
      <c r="K31" t="str">
        <f t="shared" si="0"/>
        <v>Feb 2024</v>
      </c>
    </row>
    <row r="32" spans="1:11" x14ac:dyDescent="0.25">
      <c r="A32" s="6">
        <v>44407</v>
      </c>
      <c r="B32" t="s">
        <v>10</v>
      </c>
      <c r="C32" t="s">
        <v>13</v>
      </c>
      <c r="D32" t="s">
        <v>17</v>
      </c>
      <c r="E32">
        <v>145</v>
      </c>
      <c r="F32" s="3">
        <v>9525863.4700000007</v>
      </c>
      <c r="G32">
        <v>3040967.74</v>
      </c>
      <c r="H32">
        <v>6484895.7300000004</v>
      </c>
      <c r="I32">
        <v>0.79</v>
      </c>
      <c r="J32">
        <v>3.88</v>
      </c>
      <c r="K32" t="str">
        <f t="shared" si="0"/>
        <v>Jul 2021</v>
      </c>
    </row>
    <row r="33" spans="1:11" x14ac:dyDescent="0.25">
      <c r="A33" s="6">
        <v>44345</v>
      </c>
      <c r="B33" t="s">
        <v>10</v>
      </c>
      <c r="C33" t="s">
        <v>15</v>
      </c>
      <c r="D33" t="s">
        <v>12</v>
      </c>
      <c r="E33">
        <v>317</v>
      </c>
      <c r="F33" s="3">
        <v>15484824.33</v>
      </c>
      <c r="G33">
        <v>4653968.58</v>
      </c>
      <c r="H33">
        <v>10830855.75</v>
      </c>
      <c r="I33">
        <v>1.85</v>
      </c>
      <c r="J33">
        <v>3.93</v>
      </c>
      <c r="K33" t="str">
        <f t="shared" si="0"/>
        <v>May 2021</v>
      </c>
    </row>
    <row r="34" spans="1:11" x14ac:dyDescent="0.25">
      <c r="A34" s="6">
        <v>45196</v>
      </c>
      <c r="B34" t="s">
        <v>10</v>
      </c>
      <c r="C34" t="s">
        <v>16</v>
      </c>
      <c r="D34" t="s">
        <v>14</v>
      </c>
      <c r="E34">
        <v>130</v>
      </c>
      <c r="F34" s="3">
        <v>6457484.25</v>
      </c>
      <c r="G34">
        <v>1321698.56</v>
      </c>
      <c r="H34">
        <v>5135785.6900000004</v>
      </c>
      <c r="I34">
        <v>2.35</v>
      </c>
      <c r="J34">
        <v>3.55</v>
      </c>
      <c r="K34" t="str">
        <f t="shared" si="0"/>
        <v>Sep 2023</v>
      </c>
    </row>
    <row r="35" spans="1:11" x14ac:dyDescent="0.25">
      <c r="A35" s="6">
        <v>44675</v>
      </c>
      <c r="B35" t="s">
        <v>10</v>
      </c>
      <c r="C35" t="s">
        <v>18</v>
      </c>
      <c r="D35" t="s">
        <v>12</v>
      </c>
      <c r="E35">
        <v>273</v>
      </c>
      <c r="F35" s="3">
        <v>23192612.280000001</v>
      </c>
      <c r="G35">
        <v>8165831.7000000002</v>
      </c>
      <c r="H35">
        <v>15026780.58</v>
      </c>
      <c r="I35">
        <v>1.1499999999999999</v>
      </c>
      <c r="J35">
        <v>4.2300000000000004</v>
      </c>
      <c r="K35" t="str">
        <f t="shared" si="0"/>
        <v>Apr 2022</v>
      </c>
    </row>
    <row r="36" spans="1:11" x14ac:dyDescent="0.25">
      <c r="A36" s="6">
        <v>44347</v>
      </c>
      <c r="B36" t="s">
        <v>10</v>
      </c>
      <c r="C36" t="s">
        <v>15</v>
      </c>
      <c r="D36" t="s">
        <v>14</v>
      </c>
      <c r="E36">
        <v>209</v>
      </c>
      <c r="F36" s="3">
        <v>13670506.060000001</v>
      </c>
      <c r="G36">
        <v>3847709.59</v>
      </c>
      <c r="H36">
        <v>9822796.4700000007</v>
      </c>
      <c r="I36">
        <v>0.86</v>
      </c>
      <c r="J36">
        <v>4.05</v>
      </c>
      <c r="K36" t="str">
        <f t="shared" si="0"/>
        <v>May 2021</v>
      </c>
    </row>
    <row r="37" spans="1:11" x14ac:dyDescent="0.25">
      <c r="A37" s="6">
        <v>44200</v>
      </c>
      <c r="B37" t="s">
        <v>10</v>
      </c>
      <c r="C37" t="s">
        <v>18</v>
      </c>
      <c r="D37" t="s">
        <v>12</v>
      </c>
      <c r="E37">
        <v>450</v>
      </c>
      <c r="F37" s="3">
        <v>33773354.630000003</v>
      </c>
      <c r="G37">
        <v>11025087.82</v>
      </c>
      <c r="H37">
        <v>22748266.809999999</v>
      </c>
      <c r="I37">
        <v>3.35</v>
      </c>
      <c r="J37">
        <v>4.45</v>
      </c>
      <c r="K37" t="str">
        <f t="shared" si="0"/>
        <v>Jan 2021</v>
      </c>
    </row>
    <row r="38" spans="1:11" x14ac:dyDescent="0.25">
      <c r="A38" s="6">
        <v>45474</v>
      </c>
      <c r="B38" t="s">
        <v>10</v>
      </c>
      <c r="C38" t="s">
        <v>16</v>
      </c>
      <c r="D38" t="s">
        <v>17</v>
      </c>
      <c r="E38">
        <v>444</v>
      </c>
      <c r="F38" s="3">
        <v>35477266.340000004</v>
      </c>
      <c r="G38">
        <v>8526286.0099999998</v>
      </c>
      <c r="H38">
        <v>26950980.329999998</v>
      </c>
      <c r="I38">
        <v>1.18</v>
      </c>
      <c r="J38">
        <v>4.26</v>
      </c>
      <c r="K38" t="str">
        <f t="shared" si="0"/>
        <v>Jul 2024</v>
      </c>
    </row>
    <row r="39" spans="1:11" x14ac:dyDescent="0.25">
      <c r="A39" s="6">
        <v>45549</v>
      </c>
      <c r="B39" t="s">
        <v>10</v>
      </c>
      <c r="C39" t="s">
        <v>11</v>
      </c>
      <c r="D39" t="s">
        <v>17</v>
      </c>
      <c r="E39">
        <v>398</v>
      </c>
      <c r="F39" s="3">
        <v>32719474.239999998</v>
      </c>
      <c r="G39">
        <v>10954748.890000001</v>
      </c>
      <c r="H39">
        <v>21764725.34</v>
      </c>
      <c r="I39">
        <v>1.49</v>
      </c>
      <c r="J39">
        <v>4.57</v>
      </c>
      <c r="K39" t="str">
        <f t="shared" si="0"/>
        <v>Sep 2024</v>
      </c>
    </row>
    <row r="40" spans="1:11" x14ac:dyDescent="0.25">
      <c r="A40" s="6">
        <v>44816</v>
      </c>
      <c r="B40" t="s">
        <v>10</v>
      </c>
      <c r="C40" t="s">
        <v>13</v>
      </c>
      <c r="D40" t="s">
        <v>12</v>
      </c>
      <c r="E40">
        <v>196</v>
      </c>
      <c r="F40" s="3">
        <v>10618619.34</v>
      </c>
      <c r="G40">
        <v>4043195.3</v>
      </c>
      <c r="H40">
        <v>6575424.04</v>
      </c>
      <c r="I40">
        <v>4.7300000000000004</v>
      </c>
      <c r="J40">
        <v>4.0999999999999996</v>
      </c>
      <c r="K40" t="str">
        <f t="shared" si="0"/>
        <v>Sep 2022</v>
      </c>
    </row>
    <row r="41" spans="1:11" x14ac:dyDescent="0.25">
      <c r="A41" s="6">
        <v>45248</v>
      </c>
      <c r="B41" t="s">
        <v>10</v>
      </c>
      <c r="C41" t="s">
        <v>18</v>
      </c>
      <c r="D41" t="s">
        <v>12</v>
      </c>
      <c r="E41">
        <v>88</v>
      </c>
      <c r="F41" s="3">
        <v>7613773.1500000004</v>
      </c>
      <c r="G41">
        <v>2836098.6</v>
      </c>
      <c r="H41">
        <v>4777674.54</v>
      </c>
      <c r="I41">
        <v>2.0299999999999998</v>
      </c>
      <c r="J41">
        <v>3.67</v>
      </c>
      <c r="K41" t="str">
        <f t="shared" si="0"/>
        <v>Nov 2023</v>
      </c>
    </row>
    <row r="42" spans="1:11" x14ac:dyDescent="0.25">
      <c r="A42" s="6">
        <v>44302</v>
      </c>
      <c r="B42" t="s">
        <v>10</v>
      </c>
      <c r="C42" t="s">
        <v>15</v>
      </c>
      <c r="D42" t="s">
        <v>14</v>
      </c>
      <c r="E42">
        <v>200</v>
      </c>
      <c r="F42" s="3">
        <v>12955927.710000001</v>
      </c>
      <c r="G42">
        <v>3379464.61</v>
      </c>
      <c r="H42">
        <v>9576463.0999999996</v>
      </c>
      <c r="I42">
        <v>1.53</v>
      </c>
      <c r="J42">
        <v>3.76</v>
      </c>
      <c r="K42" t="str">
        <f t="shared" si="0"/>
        <v>Apr 2021</v>
      </c>
    </row>
    <row r="43" spans="1:11" x14ac:dyDescent="0.25">
      <c r="A43" s="6">
        <v>43886</v>
      </c>
      <c r="B43" t="s">
        <v>10</v>
      </c>
      <c r="C43" t="s">
        <v>15</v>
      </c>
      <c r="D43" t="s">
        <v>14</v>
      </c>
      <c r="E43">
        <v>161</v>
      </c>
      <c r="F43" s="3">
        <v>10551303.189999999</v>
      </c>
      <c r="G43">
        <v>3102820.51</v>
      </c>
      <c r="H43">
        <v>7448482.6799999997</v>
      </c>
      <c r="I43">
        <v>1.59</v>
      </c>
      <c r="J43">
        <v>3.64</v>
      </c>
      <c r="K43" t="str">
        <f t="shared" si="0"/>
        <v>Feb 2020</v>
      </c>
    </row>
    <row r="44" spans="1:11" x14ac:dyDescent="0.25">
      <c r="A44" s="6">
        <v>44296</v>
      </c>
      <c r="B44" t="s">
        <v>10</v>
      </c>
      <c r="C44" t="s">
        <v>18</v>
      </c>
      <c r="D44" t="s">
        <v>14</v>
      </c>
      <c r="E44">
        <v>189</v>
      </c>
      <c r="F44" s="3">
        <v>12418460.449999999</v>
      </c>
      <c r="G44">
        <v>2775187.28</v>
      </c>
      <c r="H44">
        <v>9643273.1699999999</v>
      </c>
      <c r="I44">
        <v>1.35</v>
      </c>
      <c r="J44">
        <v>3.92</v>
      </c>
      <c r="K44" t="str">
        <f t="shared" si="0"/>
        <v>Apr 2021</v>
      </c>
    </row>
    <row r="45" spans="1:11" x14ac:dyDescent="0.25">
      <c r="A45" s="6">
        <v>44124</v>
      </c>
      <c r="B45" t="s">
        <v>10</v>
      </c>
      <c r="C45" t="s">
        <v>18</v>
      </c>
      <c r="D45" t="s">
        <v>17</v>
      </c>
      <c r="E45">
        <v>196</v>
      </c>
      <c r="F45" s="3">
        <v>14685802.220000001</v>
      </c>
      <c r="G45">
        <v>3239364.12</v>
      </c>
      <c r="H45">
        <v>11446438.1</v>
      </c>
      <c r="I45">
        <v>4.49</v>
      </c>
      <c r="J45">
        <v>4.67</v>
      </c>
      <c r="K45" t="str">
        <f t="shared" si="0"/>
        <v>Oct 2020</v>
      </c>
    </row>
    <row r="46" spans="1:11" x14ac:dyDescent="0.25">
      <c r="A46" s="6">
        <v>44372</v>
      </c>
      <c r="B46" t="s">
        <v>10</v>
      </c>
      <c r="C46" t="s">
        <v>18</v>
      </c>
      <c r="D46" t="s">
        <v>12</v>
      </c>
      <c r="E46">
        <v>457</v>
      </c>
      <c r="F46" s="3">
        <v>37383086.560000002</v>
      </c>
      <c r="G46">
        <v>7957849.8300000001</v>
      </c>
      <c r="H46">
        <v>29425236.73</v>
      </c>
      <c r="I46">
        <v>4.03</v>
      </c>
      <c r="J46">
        <v>4.5</v>
      </c>
      <c r="K46" t="str">
        <f t="shared" si="0"/>
        <v>Jun 2021</v>
      </c>
    </row>
    <row r="47" spans="1:11" x14ac:dyDescent="0.25">
      <c r="A47" s="6">
        <v>45310</v>
      </c>
      <c r="B47" t="s">
        <v>10</v>
      </c>
      <c r="C47" t="s">
        <v>13</v>
      </c>
      <c r="D47" t="s">
        <v>12</v>
      </c>
      <c r="E47">
        <v>303</v>
      </c>
      <c r="F47" s="3">
        <v>10758268.869999999</v>
      </c>
      <c r="G47">
        <v>4084975.92</v>
      </c>
      <c r="H47">
        <v>6673292.9500000002</v>
      </c>
      <c r="I47">
        <v>3.49</v>
      </c>
      <c r="J47">
        <v>3.51</v>
      </c>
      <c r="K47" t="str">
        <f t="shared" si="0"/>
        <v>Jan 2024</v>
      </c>
    </row>
    <row r="48" spans="1:11" x14ac:dyDescent="0.25">
      <c r="A48" s="6">
        <v>45016</v>
      </c>
      <c r="B48" t="s">
        <v>10</v>
      </c>
      <c r="C48" t="s">
        <v>13</v>
      </c>
      <c r="D48" t="s">
        <v>17</v>
      </c>
      <c r="E48">
        <v>433</v>
      </c>
      <c r="F48" s="3">
        <v>22427240.329999998</v>
      </c>
      <c r="G48">
        <v>6792700.8600000003</v>
      </c>
      <c r="H48">
        <v>15634539.470000001</v>
      </c>
      <c r="I48">
        <v>2.52</v>
      </c>
      <c r="J48">
        <v>4.99</v>
      </c>
      <c r="K48" t="str">
        <f t="shared" si="0"/>
        <v>Mar 2023</v>
      </c>
    </row>
    <row r="49" spans="1:11" x14ac:dyDescent="0.25">
      <c r="A49" s="6">
        <v>44381</v>
      </c>
      <c r="B49" t="s">
        <v>10</v>
      </c>
      <c r="C49" t="s">
        <v>11</v>
      </c>
      <c r="D49" t="s">
        <v>12</v>
      </c>
      <c r="E49">
        <v>210</v>
      </c>
      <c r="F49" s="3">
        <v>7558770.4500000002</v>
      </c>
      <c r="G49">
        <v>2276862.34</v>
      </c>
      <c r="H49">
        <v>5281908.1100000003</v>
      </c>
      <c r="I49">
        <v>1.3</v>
      </c>
      <c r="J49">
        <v>4.05</v>
      </c>
      <c r="K49" t="str">
        <f t="shared" si="0"/>
        <v>Jul 2021</v>
      </c>
    </row>
    <row r="50" spans="1:11" x14ac:dyDescent="0.25">
      <c r="A50" s="6">
        <v>45639</v>
      </c>
      <c r="B50" t="s">
        <v>10</v>
      </c>
      <c r="C50" t="s">
        <v>15</v>
      </c>
      <c r="D50" t="s">
        <v>17</v>
      </c>
      <c r="E50">
        <v>441</v>
      </c>
      <c r="F50" s="3">
        <v>36032913.82</v>
      </c>
      <c r="G50">
        <v>9674023.7899999991</v>
      </c>
      <c r="H50">
        <v>26358890.030000001</v>
      </c>
      <c r="I50">
        <v>3.06</v>
      </c>
      <c r="J50">
        <v>3.64</v>
      </c>
      <c r="K50" t="str">
        <f t="shared" si="0"/>
        <v>Dec 2024</v>
      </c>
    </row>
    <row r="51" spans="1:11" x14ac:dyDescent="0.25">
      <c r="A51" s="6">
        <v>45061</v>
      </c>
      <c r="B51" t="s">
        <v>10</v>
      </c>
      <c r="C51" t="s">
        <v>13</v>
      </c>
      <c r="D51" t="s">
        <v>14</v>
      </c>
      <c r="E51">
        <v>420</v>
      </c>
      <c r="F51" s="3">
        <v>29399283.48</v>
      </c>
      <c r="G51">
        <v>10287033.789999999</v>
      </c>
      <c r="H51">
        <v>19112249.690000001</v>
      </c>
      <c r="I51">
        <v>3.15</v>
      </c>
      <c r="J51">
        <v>4.97</v>
      </c>
      <c r="K51" t="str">
        <f t="shared" si="0"/>
        <v>May 2023</v>
      </c>
    </row>
    <row r="52" spans="1:11" x14ac:dyDescent="0.25">
      <c r="A52" s="6">
        <v>44804</v>
      </c>
      <c r="B52" t="s">
        <v>10</v>
      </c>
      <c r="C52" t="s">
        <v>11</v>
      </c>
      <c r="D52" t="s">
        <v>17</v>
      </c>
      <c r="E52">
        <v>100</v>
      </c>
      <c r="F52" s="3">
        <v>8406256.0500000007</v>
      </c>
      <c r="G52">
        <v>2301399.84</v>
      </c>
      <c r="H52">
        <v>6104856.21</v>
      </c>
      <c r="I52">
        <v>4.08</v>
      </c>
      <c r="J52">
        <v>4.25</v>
      </c>
      <c r="K52" t="str">
        <f t="shared" si="0"/>
        <v>Aug 2022</v>
      </c>
    </row>
    <row r="53" spans="1:11" x14ac:dyDescent="0.25">
      <c r="A53" s="6">
        <v>45486</v>
      </c>
      <c r="B53" t="s">
        <v>10</v>
      </c>
      <c r="C53" t="s">
        <v>18</v>
      </c>
      <c r="D53" t="s">
        <v>12</v>
      </c>
      <c r="E53">
        <v>333</v>
      </c>
      <c r="F53" s="3">
        <v>23906344.149999999</v>
      </c>
      <c r="G53">
        <v>5430720.2199999997</v>
      </c>
      <c r="H53">
        <v>18475623.93</v>
      </c>
      <c r="I53">
        <v>1.54</v>
      </c>
      <c r="J53">
        <v>4.25</v>
      </c>
      <c r="K53" t="str">
        <f t="shared" si="0"/>
        <v>Jul 2024</v>
      </c>
    </row>
    <row r="54" spans="1:11" x14ac:dyDescent="0.25">
      <c r="A54" s="6">
        <v>44821</v>
      </c>
      <c r="B54" t="s">
        <v>10</v>
      </c>
      <c r="C54" t="s">
        <v>18</v>
      </c>
      <c r="D54" t="s">
        <v>17</v>
      </c>
      <c r="E54">
        <v>53</v>
      </c>
      <c r="F54" s="3">
        <v>1925881.04</v>
      </c>
      <c r="G54">
        <v>521731.85</v>
      </c>
      <c r="H54">
        <v>1404149.2</v>
      </c>
      <c r="I54">
        <v>1.3</v>
      </c>
      <c r="J54">
        <v>4.91</v>
      </c>
      <c r="K54" t="str">
        <f t="shared" si="0"/>
        <v>Sep 2022</v>
      </c>
    </row>
    <row r="55" spans="1:11" x14ac:dyDescent="0.25">
      <c r="A55" s="6">
        <v>44212</v>
      </c>
      <c r="B55" t="s">
        <v>10</v>
      </c>
      <c r="C55" t="s">
        <v>18</v>
      </c>
      <c r="D55" t="s">
        <v>12</v>
      </c>
      <c r="E55">
        <v>95</v>
      </c>
      <c r="F55" s="3">
        <v>8105166.4400000004</v>
      </c>
      <c r="G55">
        <v>2642027</v>
      </c>
      <c r="H55">
        <v>5463139.4400000004</v>
      </c>
      <c r="I55">
        <v>0.56999999999999995</v>
      </c>
      <c r="J55">
        <v>4.8899999999999997</v>
      </c>
      <c r="K55" t="str">
        <f t="shared" si="0"/>
        <v>Jan 2021</v>
      </c>
    </row>
    <row r="56" spans="1:11" x14ac:dyDescent="0.25">
      <c r="A56" s="6">
        <v>45316</v>
      </c>
      <c r="B56" t="s">
        <v>10</v>
      </c>
      <c r="C56" t="s">
        <v>11</v>
      </c>
      <c r="D56" t="s">
        <v>17</v>
      </c>
      <c r="E56">
        <v>351</v>
      </c>
      <c r="F56" s="3">
        <v>30946271.280000001</v>
      </c>
      <c r="G56">
        <v>6414419.4699999997</v>
      </c>
      <c r="H56">
        <v>24531851.809999999</v>
      </c>
      <c r="I56">
        <v>4.34</v>
      </c>
      <c r="J56">
        <v>3.94</v>
      </c>
      <c r="K56" t="str">
        <f t="shared" si="0"/>
        <v>Jan 2024</v>
      </c>
    </row>
    <row r="57" spans="1:11" x14ac:dyDescent="0.25">
      <c r="A57" s="6">
        <v>45464</v>
      </c>
      <c r="B57" t="s">
        <v>10</v>
      </c>
      <c r="C57" t="s">
        <v>13</v>
      </c>
      <c r="D57" t="s">
        <v>17</v>
      </c>
      <c r="E57">
        <v>465</v>
      </c>
      <c r="F57" s="3">
        <v>38042820.369999997</v>
      </c>
      <c r="G57">
        <v>12805806.77</v>
      </c>
      <c r="H57">
        <v>25237013.609999999</v>
      </c>
      <c r="I57">
        <v>1.26</v>
      </c>
      <c r="J57">
        <v>4.34</v>
      </c>
      <c r="K57" t="str">
        <f t="shared" si="0"/>
        <v>Jun 2024</v>
      </c>
    </row>
    <row r="58" spans="1:11" x14ac:dyDescent="0.25">
      <c r="A58" s="6">
        <v>44993</v>
      </c>
      <c r="B58" t="s">
        <v>10</v>
      </c>
      <c r="C58" t="s">
        <v>18</v>
      </c>
      <c r="D58" t="s">
        <v>17</v>
      </c>
      <c r="E58">
        <v>272</v>
      </c>
      <c r="F58" s="3">
        <v>22149428.59</v>
      </c>
      <c r="G58">
        <v>4739903.1399999997</v>
      </c>
      <c r="H58">
        <v>17409525.440000001</v>
      </c>
      <c r="I58">
        <v>0.82</v>
      </c>
      <c r="J58">
        <v>3.81</v>
      </c>
      <c r="K58" t="str">
        <f t="shared" si="0"/>
        <v>Mar 2023</v>
      </c>
    </row>
    <row r="59" spans="1:11" x14ac:dyDescent="0.25">
      <c r="A59" s="6">
        <v>44782</v>
      </c>
      <c r="B59" t="s">
        <v>10</v>
      </c>
      <c r="C59" t="s">
        <v>16</v>
      </c>
      <c r="D59" t="s">
        <v>17</v>
      </c>
      <c r="E59">
        <v>480</v>
      </c>
      <c r="F59" s="3">
        <v>42937421.640000001</v>
      </c>
      <c r="G59">
        <v>15971999.369999999</v>
      </c>
      <c r="H59">
        <v>26965422.27</v>
      </c>
      <c r="I59">
        <v>2.83</v>
      </c>
      <c r="J59">
        <v>4.82</v>
      </c>
      <c r="K59" t="str">
        <f t="shared" si="0"/>
        <v>Aug 2022</v>
      </c>
    </row>
    <row r="60" spans="1:11" x14ac:dyDescent="0.25">
      <c r="A60" s="6">
        <v>44410</v>
      </c>
      <c r="B60" t="s">
        <v>10</v>
      </c>
      <c r="C60" t="s">
        <v>15</v>
      </c>
      <c r="D60" t="s">
        <v>12</v>
      </c>
      <c r="E60">
        <v>322</v>
      </c>
      <c r="F60" s="3">
        <v>26299942.07</v>
      </c>
      <c r="G60">
        <v>9801350.2100000009</v>
      </c>
      <c r="H60">
        <v>16498591.859999999</v>
      </c>
      <c r="I60">
        <v>3.69</v>
      </c>
      <c r="J60">
        <v>4.33</v>
      </c>
      <c r="K60" t="str">
        <f t="shared" si="0"/>
        <v>Aug 2021</v>
      </c>
    </row>
    <row r="61" spans="1:11" x14ac:dyDescent="0.25">
      <c r="A61" s="6">
        <v>44199</v>
      </c>
      <c r="B61" t="s">
        <v>10</v>
      </c>
      <c r="C61" t="s">
        <v>18</v>
      </c>
      <c r="D61" t="s">
        <v>17</v>
      </c>
      <c r="E61">
        <v>219</v>
      </c>
      <c r="F61" s="3">
        <v>17413755.120000001</v>
      </c>
      <c r="G61">
        <v>4144078.79</v>
      </c>
      <c r="H61">
        <v>13269676.33</v>
      </c>
      <c r="I61">
        <v>4.4000000000000004</v>
      </c>
      <c r="J61">
        <v>4.87</v>
      </c>
      <c r="K61" t="str">
        <f t="shared" si="0"/>
        <v>Jan 2021</v>
      </c>
    </row>
    <row r="62" spans="1:11" x14ac:dyDescent="0.25">
      <c r="A62" s="6">
        <v>44104</v>
      </c>
      <c r="B62" t="s">
        <v>10</v>
      </c>
      <c r="C62" t="s">
        <v>11</v>
      </c>
      <c r="D62" t="s">
        <v>17</v>
      </c>
      <c r="E62">
        <v>440</v>
      </c>
      <c r="F62" s="3">
        <v>27536694.329999998</v>
      </c>
      <c r="G62">
        <v>6618195.6699999999</v>
      </c>
      <c r="H62">
        <v>20918498.66</v>
      </c>
      <c r="I62">
        <v>3.42</v>
      </c>
      <c r="J62">
        <v>4.55</v>
      </c>
      <c r="K62" t="str">
        <f t="shared" si="0"/>
        <v>Sep 2020</v>
      </c>
    </row>
    <row r="63" spans="1:11" x14ac:dyDescent="0.25">
      <c r="A63" s="6">
        <v>44333</v>
      </c>
      <c r="B63" t="s">
        <v>10</v>
      </c>
      <c r="C63" t="s">
        <v>13</v>
      </c>
      <c r="D63" t="s">
        <v>17</v>
      </c>
      <c r="E63">
        <v>449</v>
      </c>
      <c r="F63" s="3">
        <v>16968728.870000001</v>
      </c>
      <c r="G63">
        <v>3778538.35</v>
      </c>
      <c r="H63">
        <v>13190190.529999999</v>
      </c>
      <c r="I63">
        <v>0.62</v>
      </c>
      <c r="J63">
        <v>4.37</v>
      </c>
      <c r="K63" t="str">
        <f t="shared" si="0"/>
        <v>May 2021</v>
      </c>
    </row>
    <row r="64" spans="1:11" x14ac:dyDescent="0.25">
      <c r="A64" s="6">
        <v>44869</v>
      </c>
      <c r="B64" t="s">
        <v>10</v>
      </c>
      <c r="C64" t="s">
        <v>13</v>
      </c>
      <c r="D64" t="s">
        <v>12</v>
      </c>
      <c r="E64">
        <v>337</v>
      </c>
      <c r="F64" s="3">
        <v>22513422.41</v>
      </c>
      <c r="G64">
        <v>8843532.25</v>
      </c>
      <c r="H64">
        <v>13669890.17</v>
      </c>
      <c r="I64">
        <v>2.6</v>
      </c>
      <c r="J64">
        <v>4.3099999999999996</v>
      </c>
      <c r="K64" t="str">
        <f t="shared" si="0"/>
        <v>Nov 2022</v>
      </c>
    </row>
    <row r="65" spans="1:11" x14ac:dyDescent="0.25">
      <c r="A65" s="6">
        <v>44200</v>
      </c>
      <c r="B65" t="s">
        <v>10</v>
      </c>
      <c r="C65" t="s">
        <v>18</v>
      </c>
      <c r="D65" t="s">
        <v>17</v>
      </c>
      <c r="E65">
        <v>174</v>
      </c>
      <c r="F65" s="3">
        <v>14118593.609999999</v>
      </c>
      <c r="G65">
        <v>3217896.82</v>
      </c>
      <c r="H65">
        <v>10900696.800000001</v>
      </c>
      <c r="I65">
        <v>1.63</v>
      </c>
      <c r="J65">
        <v>3.56</v>
      </c>
      <c r="K65" t="str">
        <f t="shared" si="0"/>
        <v>Jan 2021</v>
      </c>
    </row>
    <row r="66" spans="1:11" x14ac:dyDescent="0.25">
      <c r="A66" s="6">
        <v>44357</v>
      </c>
      <c r="B66" t="s">
        <v>10</v>
      </c>
      <c r="C66" t="s">
        <v>13</v>
      </c>
      <c r="D66" t="s">
        <v>17</v>
      </c>
      <c r="E66">
        <v>320</v>
      </c>
      <c r="F66" s="3">
        <v>17539355.289999999</v>
      </c>
      <c r="G66">
        <v>6570030.2199999997</v>
      </c>
      <c r="H66">
        <v>10969325.07</v>
      </c>
      <c r="I66">
        <v>2.85</v>
      </c>
      <c r="J66">
        <v>4.6500000000000004</v>
      </c>
      <c r="K66" t="str">
        <f t="shared" ref="K66:K129" si="1">TEXT(A66,"mmm yyyy")</f>
        <v>Jun 2021</v>
      </c>
    </row>
    <row r="67" spans="1:11" x14ac:dyDescent="0.25">
      <c r="A67" s="6">
        <v>44811</v>
      </c>
      <c r="B67" t="s">
        <v>10</v>
      </c>
      <c r="C67" t="s">
        <v>18</v>
      </c>
      <c r="D67" t="s">
        <v>12</v>
      </c>
      <c r="E67">
        <v>157</v>
      </c>
      <c r="F67" s="3">
        <v>10873659.26</v>
      </c>
      <c r="G67">
        <v>4163855.85</v>
      </c>
      <c r="H67">
        <v>6709803.4100000001</v>
      </c>
      <c r="I67">
        <v>0.73</v>
      </c>
      <c r="J67">
        <v>4.3</v>
      </c>
      <c r="K67" t="str">
        <f t="shared" si="1"/>
        <v>Sep 2022</v>
      </c>
    </row>
    <row r="68" spans="1:11" x14ac:dyDescent="0.25">
      <c r="A68" s="6">
        <v>45081</v>
      </c>
      <c r="B68" t="s">
        <v>10</v>
      </c>
      <c r="C68" t="s">
        <v>15</v>
      </c>
      <c r="D68" t="s">
        <v>17</v>
      </c>
      <c r="E68">
        <v>96</v>
      </c>
      <c r="F68" s="3">
        <v>7053424.4699999997</v>
      </c>
      <c r="G68">
        <v>2626197.17</v>
      </c>
      <c r="H68">
        <v>4427227.3</v>
      </c>
      <c r="I68">
        <v>1.1000000000000001</v>
      </c>
      <c r="J68">
        <v>4.95</v>
      </c>
      <c r="K68" t="str">
        <f t="shared" si="1"/>
        <v>Jun 2023</v>
      </c>
    </row>
    <row r="69" spans="1:11" x14ac:dyDescent="0.25">
      <c r="A69" s="6">
        <v>44468</v>
      </c>
      <c r="B69" t="s">
        <v>10</v>
      </c>
      <c r="C69" t="s">
        <v>11</v>
      </c>
      <c r="D69" t="s">
        <v>17</v>
      </c>
      <c r="E69">
        <v>155</v>
      </c>
      <c r="F69" s="3">
        <v>8178203.9299999997</v>
      </c>
      <c r="G69">
        <v>1970642.6</v>
      </c>
      <c r="H69">
        <v>6207561.3300000001</v>
      </c>
      <c r="I69">
        <v>1.72</v>
      </c>
      <c r="J69">
        <v>4.16</v>
      </c>
      <c r="K69" t="str">
        <f t="shared" si="1"/>
        <v>Sep 2021</v>
      </c>
    </row>
    <row r="70" spans="1:11" x14ac:dyDescent="0.25">
      <c r="A70" s="6">
        <v>44004</v>
      </c>
      <c r="B70" t="s">
        <v>10</v>
      </c>
      <c r="C70" t="s">
        <v>15</v>
      </c>
      <c r="D70" t="s">
        <v>17</v>
      </c>
      <c r="E70">
        <v>488</v>
      </c>
      <c r="F70" s="3">
        <v>23813096.550000001</v>
      </c>
      <c r="G70">
        <v>8647327.5</v>
      </c>
      <c r="H70">
        <v>15165769.050000001</v>
      </c>
      <c r="I70">
        <v>0.86</v>
      </c>
      <c r="J70">
        <v>4.1399999999999997</v>
      </c>
      <c r="K70" t="str">
        <f t="shared" si="1"/>
        <v>Jun 2020</v>
      </c>
    </row>
    <row r="71" spans="1:11" x14ac:dyDescent="0.25">
      <c r="A71" s="6">
        <v>44047</v>
      </c>
      <c r="B71" t="s">
        <v>10</v>
      </c>
      <c r="C71" t="s">
        <v>15</v>
      </c>
      <c r="D71" t="s">
        <v>12</v>
      </c>
      <c r="E71">
        <v>445</v>
      </c>
      <c r="F71" s="3">
        <v>25584123.309999999</v>
      </c>
      <c r="G71">
        <v>9346932.6699999999</v>
      </c>
      <c r="H71">
        <v>16237190.640000001</v>
      </c>
      <c r="I71">
        <v>1.2</v>
      </c>
      <c r="J71">
        <v>3.88</v>
      </c>
      <c r="K71" t="str">
        <f t="shared" si="1"/>
        <v>Aug 2020</v>
      </c>
    </row>
    <row r="72" spans="1:11" x14ac:dyDescent="0.25">
      <c r="A72" s="6">
        <v>43921</v>
      </c>
      <c r="B72" t="s">
        <v>10</v>
      </c>
      <c r="C72" t="s">
        <v>15</v>
      </c>
      <c r="D72" t="s">
        <v>12</v>
      </c>
      <c r="E72">
        <v>175</v>
      </c>
      <c r="F72" s="3">
        <v>7028530.4199999999</v>
      </c>
      <c r="G72">
        <v>2554356.3199999998</v>
      </c>
      <c r="H72">
        <v>4474174.09</v>
      </c>
      <c r="I72">
        <v>4.71</v>
      </c>
      <c r="J72">
        <v>4.46</v>
      </c>
      <c r="K72" t="str">
        <f t="shared" si="1"/>
        <v>Mar 2020</v>
      </c>
    </row>
    <row r="73" spans="1:11" x14ac:dyDescent="0.25">
      <c r="A73" s="6">
        <v>45325</v>
      </c>
      <c r="B73" t="s">
        <v>10</v>
      </c>
      <c r="C73" t="s">
        <v>15</v>
      </c>
      <c r="D73" t="s">
        <v>12</v>
      </c>
      <c r="E73">
        <v>238</v>
      </c>
      <c r="F73" s="3">
        <v>17989070.640000001</v>
      </c>
      <c r="G73">
        <v>5201165.41</v>
      </c>
      <c r="H73">
        <v>12787905.23</v>
      </c>
      <c r="I73">
        <v>3.25</v>
      </c>
      <c r="J73">
        <v>4.13</v>
      </c>
      <c r="K73" t="str">
        <f t="shared" si="1"/>
        <v>Feb 2024</v>
      </c>
    </row>
    <row r="74" spans="1:11" x14ac:dyDescent="0.25">
      <c r="A74" s="6">
        <v>44541</v>
      </c>
      <c r="B74" t="s">
        <v>10</v>
      </c>
      <c r="C74" t="s">
        <v>16</v>
      </c>
      <c r="D74" t="s">
        <v>12</v>
      </c>
      <c r="E74">
        <v>125</v>
      </c>
      <c r="F74" s="3">
        <v>8266505.8200000003</v>
      </c>
      <c r="G74">
        <v>3044311.97</v>
      </c>
      <c r="H74">
        <v>5222193.8499999996</v>
      </c>
      <c r="I74">
        <v>1.04</v>
      </c>
      <c r="J74">
        <v>4.01</v>
      </c>
      <c r="K74" t="str">
        <f t="shared" si="1"/>
        <v>Dec 2021</v>
      </c>
    </row>
    <row r="75" spans="1:11" x14ac:dyDescent="0.25">
      <c r="A75" s="6">
        <v>45343</v>
      </c>
      <c r="B75" t="s">
        <v>10</v>
      </c>
      <c r="C75" t="s">
        <v>16</v>
      </c>
      <c r="D75" t="s">
        <v>14</v>
      </c>
      <c r="E75">
        <v>269</v>
      </c>
      <c r="F75" s="3">
        <v>10095609.09</v>
      </c>
      <c r="G75">
        <v>3956007.22</v>
      </c>
      <c r="H75">
        <v>6139601.8700000001</v>
      </c>
      <c r="I75">
        <v>4.3499999999999996</v>
      </c>
      <c r="J75">
        <v>4.5599999999999996</v>
      </c>
      <c r="K75" t="str">
        <f t="shared" si="1"/>
        <v>Feb 2024</v>
      </c>
    </row>
    <row r="76" spans="1:11" x14ac:dyDescent="0.25">
      <c r="A76" s="6">
        <v>45200</v>
      </c>
      <c r="B76" t="s">
        <v>10</v>
      </c>
      <c r="C76" t="s">
        <v>13</v>
      </c>
      <c r="D76" t="s">
        <v>17</v>
      </c>
      <c r="E76">
        <v>253</v>
      </c>
      <c r="F76" s="3">
        <v>9093796.7300000004</v>
      </c>
      <c r="G76">
        <v>2249142.5099999998</v>
      </c>
      <c r="H76">
        <v>6844654.2199999997</v>
      </c>
      <c r="I76">
        <v>4.13</v>
      </c>
      <c r="J76">
        <v>4.0199999999999996</v>
      </c>
      <c r="K76" t="str">
        <f t="shared" si="1"/>
        <v>Oct 2023</v>
      </c>
    </row>
    <row r="77" spans="1:11" x14ac:dyDescent="0.25">
      <c r="A77" s="6">
        <v>44906</v>
      </c>
      <c r="B77" t="s">
        <v>10</v>
      </c>
      <c r="C77" t="s">
        <v>13</v>
      </c>
      <c r="D77" t="s">
        <v>14</v>
      </c>
      <c r="E77">
        <v>303</v>
      </c>
      <c r="F77" s="3">
        <v>17835137.73</v>
      </c>
      <c r="G77">
        <v>5712577.7300000004</v>
      </c>
      <c r="H77">
        <v>12122560.01</v>
      </c>
      <c r="I77">
        <v>3.27</v>
      </c>
      <c r="J77">
        <v>4.45</v>
      </c>
      <c r="K77" t="str">
        <f t="shared" si="1"/>
        <v>Dec 2022</v>
      </c>
    </row>
    <row r="78" spans="1:11" x14ac:dyDescent="0.25">
      <c r="A78" s="6">
        <v>45368</v>
      </c>
      <c r="B78" t="s">
        <v>10</v>
      </c>
      <c r="C78" t="s">
        <v>11</v>
      </c>
      <c r="D78" t="s">
        <v>12</v>
      </c>
      <c r="E78">
        <v>339</v>
      </c>
      <c r="F78" s="3">
        <v>16729361.609999999</v>
      </c>
      <c r="G78">
        <v>6640537.6100000003</v>
      </c>
      <c r="H78">
        <v>10088824</v>
      </c>
      <c r="I78">
        <v>4.7</v>
      </c>
      <c r="J78">
        <v>4.25</v>
      </c>
      <c r="K78" t="str">
        <f t="shared" si="1"/>
        <v>Mar 2024</v>
      </c>
    </row>
    <row r="79" spans="1:11" x14ac:dyDescent="0.25">
      <c r="A79" s="6">
        <v>45345</v>
      </c>
      <c r="B79" t="s">
        <v>10</v>
      </c>
      <c r="C79" t="s">
        <v>11</v>
      </c>
      <c r="D79" t="s">
        <v>17</v>
      </c>
      <c r="E79">
        <v>374</v>
      </c>
      <c r="F79" s="3">
        <v>27159134.739999998</v>
      </c>
      <c r="G79">
        <v>7518456.9400000004</v>
      </c>
      <c r="H79">
        <v>19640677.789999999</v>
      </c>
      <c r="I79">
        <v>4.75</v>
      </c>
      <c r="J79">
        <v>4.92</v>
      </c>
      <c r="K79" t="str">
        <f t="shared" si="1"/>
        <v>Feb 2024</v>
      </c>
    </row>
    <row r="80" spans="1:11" x14ac:dyDescent="0.25">
      <c r="A80" s="6">
        <v>44643</v>
      </c>
      <c r="B80" t="s">
        <v>10</v>
      </c>
      <c r="C80" t="s">
        <v>11</v>
      </c>
      <c r="D80" t="s">
        <v>14</v>
      </c>
      <c r="E80">
        <v>433</v>
      </c>
      <c r="F80" s="3">
        <v>30310951.670000002</v>
      </c>
      <c r="G80">
        <v>7268873.5999999996</v>
      </c>
      <c r="H80">
        <v>23042078.079999998</v>
      </c>
      <c r="I80">
        <v>3.55</v>
      </c>
      <c r="J80">
        <v>4.3600000000000003</v>
      </c>
      <c r="K80" t="str">
        <f t="shared" si="1"/>
        <v>Mar 2022</v>
      </c>
    </row>
    <row r="81" spans="1:11" x14ac:dyDescent="0.25">
      <c r="A81" s="6">
        <v>43958</v>
      </c>
      <c r="B81" t="s">
        <v>10</v>
      </c>
      <c r="C81" t="s">
        <v>15</v>
      </c>
      <c r="D81" t="s">
        <v>12</v>
      </c>
      <c r="E81">
        <v>82</v>
      </c>
      <c r="F81" s="3">
        <v>4936720.54</v>
      </c>
      <c r="G81">
        <v>1435976.69</v>
      </c>
      <c r="H81">
        <v>3500743.84</v>
      </c>
      <c r="I81">
        <v>4.74</v>
      </c>
      <c r="J81">
        <v>4.08</v>
      </c>
      <c r="K81" t="str">
        <f t="shared" si="1"/>
        <v>May 2020</v>
      </c>
    </row>
    <row r="82" spans="1:11" x14ac:dyDescent="0.25">
      <c r="A82" s="6">
        <v>45100</v>
      </c>
      <c r="B82" t="s">
        <v>10</v>
      </c>
      <c r="C82" t="s">
        <v>13</v>
      </c>
      <c r="D82" t="s">
        <v>12</v>
      </c>
      <c r="E82">
        <v>466</v>
      </c>
      <c r="F82" s="3">
        <v>33007554.699999999</v>
      </c>
      <c r="G82">
        <v>11838592.82</v>
      </c>
      <c r="H82">
        <v>21168961.879999999</v>
      </c>
      <c r="I82">
        <v>1.73</v>
      </c>
      <c r="J82">
        <v>3.82</v>
      </c>
      <c r="K82" t="str">
        <f t="shared" si="1"/>
        <v>Jun 2023</v>
      </c>
    </row>
    <row r="83" spans="1:11" x14ac:dyDescent="0.25">
      <c r="A83" s="6">
        <v>44314</v>
      </c>
      <c r="B83" t="s">
        <v>10</v>
      </c>
      <c r="C83" t="s">
        <v>15</v>
      </c>
      <c r="D83" t="s">
        <v>12</v>
      </c>
      <c r="E83">
        <v>351</v>
      </c>
      <c r="F83" s="3">
        <v>12636772.34</v>
      </c>
      <c r="G83">
        <v>4816018.0999999996</v>
      </c>
      <c r="H83">
        <v>7820754.25</v>
      </c>
      <c r="I83">
        <v>3.57</v>
      </c>
      <c r="J83">
        <v>3.61</v>
      </c>
      <c r="K83" t="str">
        <f t="shared" si="1"/>
        <v>Apr 2021</v>
      </c>
    </row>
    <row r="84" spans="1:11" x14ac:dyDescent="0.25">
      <c r="A84" s="6">
        <v>44515</v>
      </c>
      <c r="B84" t="s">
        <v>10</v>
      </c>
      <c r="C84" t="s">
        <v>18</v>
      </c>
      <c r="D84" t="s">
        <v>14</v>
      </c>
      <c r="E84">
        <v>313</v>
      </c>
      <c r="F84" s="3">
        <v>17589602.829999998</v>
      </c>
      <c r="G84">
        <v>4637978.3899999997</v>
      </c>
      <c r="H84">
        <v>12951624.439999999</v>
      </c>
      <c r="I84">
        <v>2.0299999999999998</v>
      </c>
      <c r="J84">
        <v>3.89</v>
      </c>
      <c r="K84" t="str">
        <f t="shared" si="1"/>
        <v>Nov 2021</v>
      </c>
    </row>
    <row r="85" spans="1:11" x14ac:dyDescent="0.25">
      <c r="A85" s="6">
        <v>44922</v>
      </c>
      <c r="B85" t="s">
        <v>10</v>
      </c>
      <c r="C85" t="s">
        <v>15</v>
      </c>
      <c r="D85" t="s">
        <v>12</v>
      </c>
      <c r="E85">
        <v>440</v>
      </c>
      <c r="F85" s="3">
        <v>18259588.829999998</v>
      </c>
      <c r="G85">
        <v>4759408.7</v>
      </c>
      <c r="H85">
        <v>13500180.130000001</v>
      </c>
      <c r="I85">
        <v>3.33</v>
      </c>
      <c r="J85">
        <v>4.82</v>
      </c>
      <c r="K85" t="str">
        <f t="shared" si="1"/>
        <v>Dec 2022</v>
      </c>
    </row>
    <row r="86" spans="1:11" x14ac:dyDescent="0.25">
      <c r="A86" s="6">
        <v>45366</v>
      </c>
      <c r="B86" t="s">
        <v>10</v>
      </c>
      <c r="C86" t="s">
        <v>13</v>
      </c>
      <c r="D86" t="s">
        <v>14</v>
      </c>
      <c r="E86">
        <v>469</v>
      </c>
      <c r="F86" s="3">
        <v>27195917.890000001</v>
      </c>
      <c r="G86">
        <v>5615518.9100000001</v>
      </c>
      <c r="H86">
        <v>21580398.98</v>
      </c>
      <c r="I86">
        <v>2.97</v>
      </c>
      <c r="J86">
        <v>4.1399999999999997</v>
      </c>
      <c r="K86" t="str">
        <f t="shared" si="1"/>
        <v>Mar 2024</v>
      </c>
    </row>
    <row r="87" spans="1:11" x14ac:dyDescent="0.25">
      <c r="A87" s="6">
        <v>43943</v>
      </c>
      <c r="B87" t="s">
        <v>10</v>
      </c>
      <c r="C87" t="s">
        <v>18</v>
      </c>
      <c r="D87" t="s">
        <v>14</v>
      </c>
      <c r="E87">
        <v>457</v>
      </c>
      <c r="F87" s="3">
        <v>36274791.170000002</v>
      </c>
      <c r="G87">
        <v>7323843.0300000003</v>
      </c>
      <c r="H87">
        <v>28950948.140000001</v>
      </c>
      <c r="I87">
        <v>2.36</v>
      </c>
      <c r="J87">
        <v>4.0599999999999996</v>
      </c>
      <c r="K87" t="str">
        <f t="shared" si="1"/>
        <v>Apr 2020</v>
      </c>
    </row>
    <row r="88" spans="1:11" x14ac:dyDescent="0.25">
      <c r="A88" s="6">
        <v>44469</v>
      </c>
      <c r="B88" t="s">
        <v>10</v>
      </c>
      <c r="C88" t="s">
        <v>16</v>
      </c>
      <c r="D88" t="s">
        <v>12</v>
      </c>
      <c r="E88">
        <v>145</v>
      </c>
      <c r="F88" s="3">
        <v>7792908.2300000004</v>
      </c>
      <c r="G88">
        <v>1666502.01</v>
      </c>
      <c r="H88">
        <v>6126406.2300000004</v>
      </c>
      <c r="I88">
        <v>4.3600000000000003</v>
      </c>
      <c r="J88">
        <v>4.1399999999999997</v>
      </c>
      <c r="K88" t="str">
        <f t="shared" si="1"/>
        <v>Sep 2021</v>
      </c>
    </row>
    <row r="89" spans="1:11" x14ac:dyDescent="0.25">
      <c r="A89" s="6">
        <v>44110</v>
      </c>
      <c r="B89" t="s">
        <v>10</v>
      </c>
      <c r="C89" t="s">
        <v>16</v>
      </c>
      <c r="D89" t="s">
        <v>12</v>
      </c>
      <c r="E89">
        <v>62</v>
      </c>
      <c r="F89" s="3">
        <v>4693088.87</v>
      </c>
      <c r="G89">
        <v>1653622.86</v>
      </c>
      <c r="H89">
        <v>3039466.01</v>
      </c>
      <c r="I89">
        <v>2.2000000000000002</v>
      </c>
      <c r="J89">
        <v>4.3</v>
      </c>
      <c r="K89" t="str">
        <f t="shared" si="1"/>
        <v>Oct 2020</v>
      </c>
    </row>
    <row r="90" spans="1:11" x14ac:dyDescent="0.25">
      <c r="A90" s="6">
        <v>44601</v>
      </c>
      <c r="B90" t="s">
        <v>10</v>
      </c>
      <c r="C90" t="s">
        <v>11</v>
      </c>
      <c r="D90" t="s">
        <v>14</v>
      </c>
      <c r="E90">
        <v>133</v>
      </c>
      <c r="F90" s="3">
        <v>10700536.359999999</v>
      </c>
      <c r="G90">
        <v>3595274.07</v>
      </c>
      <c r="H90">
        <v>7105262.2999999998</v>
      </c>
      <c r="I90">
        <v>4.53</v>
      </c>
      <c r="J90">
        <v>4.08</v>
      </c>
      <c r="K90" t="str">
        <f t="shared" si="1"/>
        <v>Feb 2022</v>
      </c>
    </row>
    <row r="91" spans="1:11" x14ac:dyDescent="0.25">
      <c r="A91" s="6">
        <v>44567</v>
      </c>
      <c r="B91" t="s">
        <v>10</v>
      </c>
      <c r="C91" t="s">
        <v>16</v>
      </c>
      <c r="D91" t="s">
        <v>17</v>
      </c>
      <c r="E91">
        <v>445</v>
      </c>
      <c r="F91" s="3">
        <v>39035303.140000001</v>
      </c>
      <c r="G91">
        <v>9000423.3699999992</v>
      </c>
      <c r="H91">
        <v>30034879.77</v>
      </c>
      <c r="I91">
        <v>2.1</v>
      </c>
      <c r="J91">
        <v>4.9400000000000004</v>
      </c>
      <c r="K91" t="str">
        <f t="shared" si="1"/>
        <v>Jan 2022</v>
      </c>
    </row>
    <row r="92" spans="1:11" x14ac:dyDescent="0.25">
      <c r="A92" s="6">
        <v>45051</v>
      </c>
      <c r="B92" t="s">
        <v>10</v>
      </c>
      <c r="C92" t="s">
        <v>18</v>
      </c>
      <c r="D92" t="s">
        <v>14</v>
      </c>
      <c r="E92">
        <v>272</v>
      </c>
      <c r="F92" s="3">
        <v>23741082.920000002</v>
      </c>
      <c r="G92">
        <v>6773625.8799999999</v>
      </c>
      <c r="H92">
        <v>16967457.039999999</v>
      </c>
      <c r="I92">
        <v>3.34</v>
      </c>
      <c r="J92">
        <v>4.17</v>
      </c>
      <c r="K92" t="str">
        <f t="shared" si="1"/>
        <v>May 2023</v>
      </c>
    </row>
    <row r="93" spans="1:11" x14ac:dyDescent="0.25">
      <c r="A93" s="6">
        <v>45308</v>
      </c>
      <c r="B93" t="s">
        <v>10</v>
      </c>
      <c r="C93" t="s">
        <v>16</v>
      </c>
      <c r="D93" t="s">
        <v>17</v>
      </c>
      <c r="E93">
        <v>148</v>
      </c>
      <c r="F93" s="3">
        <v>10083869.140000001</v>
      </c>
      <c r="G93">
        <v>2916853.83</v>
      </c>
      <c r="H93">
        <v>7167015.3099999996</v>
      </c>
      <c r="I93">
        <v>1.46</v>
      </c>
      <c r="J93">
        <v>4.92</v>
      </c>
      <c r="K93" t="str">
        <f t="shared" si="1"/>
        <v>Jan 2024</v>
      </c>
    </row>
    <row r="94" spans="1:11" x14ac:dyDescent="0.25">
      <c r="A94" s="6">
        <v>44825</v>
      </c>
      <c r="B94" t="s">
        <v>10</v>
      </c>
      <c r="C94" t="s">
        <v>16</v>
      </c>
      <c r="D94" t="s">
        <v>12</v>
      </c>
      <c r="E94">
        <v>193</v>
      </c>
      <c r="F94" s="3">
        <v>15136796.59</v>
      </c>
      <c r="G94">
        <v>5778604.9900000002</v>
      </c>
      <c r="H94">
        <v>9358191.5999999996</v>
      </c>
      <c r="I94">
        <v>2.72</v>
      </c>
      <c r="J94">
        <v>3.59</v>
      </c>
      <c r="K94" t="str">
        <f t="shared" si="1"/>
        <v>Sep 2022</v>
      </c>
    </row>
    <row r="95" spans="1:11" x14ac:dyDescent="0.25">
      <c r="A95" s="6">
        <v>44126</v>
      </c>
      <c r="B95" t="s">
        <v>10</v>
      </c>
      <c r="C95" t="s">
        <v>13</v>
      </c>
      <c r="D95" t="s">
        <v>14</v>
      </c>
      <c r="E95">
        <v>272</v>
      </c>
      <c r="F95" s="3">
        <v>10355832.470000001</v>
      </c>
      <c r="G95">
        <v>2615809.64</v>
      </c>
      <c r="H95">
        <v>7740022.8399999999</v>
      </c>
      <c r="I95">
        <v>2.96</v>
      </c>
      <c r="J95">
        <v>4.5599999999999996</v>
      </c>
      <c r="K95" t="str">
        <f t="shared" si="1"/>
        <v>Oct 2020</v>
      </c>
    </row>
    <row r="96" spans="1:11" x14ac:dyDescent="0.25">
      <c r="A96" s="6">
        <v>45425</v>
      </c>
      <c r="B96" t="s">
        <v>10</v>
      </c>
      <c r="C96" t="s">
        <v>16</v>
      </c>
      <c r="D96" t="s">
        <v>12</v>
      </c>
      <c r="E96">
        <v>288</v>
      </c>
      <c r="F96" s="3">
        <v>12344988.24</v>
      </c>
      <c r="G96">
        <v>3057827.34</v>
      </c>
      <c r="H96">
        <v>9287160.9100000001</v>
      </c>
      <c r="I96">
        <v>3.28</v>
      </c>
      <c r="J96">
        <v>3.65</v>
      </c>
      <c r="K96" t="str">
        <f t="shared" si="1"/>
        <v>May 2024</v>
      </c>
    </row>
    <row r="97" spans="1:11" x14ac:dyDescent="0.25">
      <c r="A97" s="6">
        <v>44300</v>
      </c>
      <c r="B97" t="s">
        <v>10</v>
      </c>
      <c r="C97" t="s">
        <v>11</v>
      </c>
      <c r="D97" t="s">
        <v>12</v>
      </c>
      <c r="E97">
        <v>56</v>
      </c>
      <c r="F97" s="3">
        <v>3272361.74</v>
      </c>
      <c r="G97">
        <v>1163274.5900000001</v>
      </c>
      <c r="H97">
        <v>2109087.16</v>
      </c>
      <c r="I97">
        <v>2.2799999999999998</v>
      </c>
      <c r="J97">
        <v>4.84</v>
      </c>
      <c r="K97" t="str">
        <f t="shared" si="1"/>
        <v>Apr 2021</v>
      </c>
    </row>
    <row r="98" spans="1:11" x14ac:dyDescent="0.25">
      <c r="A98" s="6">
        <v>43891</v>
      </c>
      <c r="B98" t="s">
        <v>10</v>
      </c>
      <c r="C98" t="s">
        <v>16</v>
      </c>
      <c r="D98" t="s">
        <v>14</v>
      </c>
      <c r="E98">
        <v>243</v>
      </c>
      <c r="F98" s="3">
        <v>9592226.4499999993</v>
      </c>
      <c r="G98">
        <v>3674134.07</v>
      </c>
      <c r="H98">
        <v>5918092.3899999997</v>
      </c>
      <c r="I98">
        <v>4.9400000000000004</v>
      </c>
      <c r="J98">
        <v>4.0599999999999996</v>
      </c>
      <c r="K98" t="str">
        <f t="shared" si="1"/>
        <v>Mar 2020</v>
      </c>
    </row>
    <row r="99" spans="1:11" x14ac:dyDescent="0.25">
      <c r="A99" s="6">
        <v>44987</v>
      </c>
      <c r="B99" t="s">
        <v>10</v>
      </c>
      <c r="C99" t="s">
        <v>11</v>
      </c>
      <c r="D99" t="s">
        <v>14</v>
      </c>
      <c r="E99">
        <v>370</v>
      </c>
      <c r="F99" s="3">
        <v>30865325.359999999</v>
      </c>
      <c r="G99">
        <v>10885057.039999999</v>
      </c>
      <c r="H99">
        <v>19980268.32</v>
      </c>
      <c r="I99">
        <v>4.58</v>
      </c>
      <c r="J99">
        <v>4.3899999999999997</v>
      </c>
      <c r="K99" t="str">
        <f t="shared" si="1"/>
        <v>Mar 2023</v>
      </c>
    </row>
    <row r="100" spans="1:11" x14ac:dyDescent="0.25">
      <c r="A100" s="6">
        <v>44815</v>
      </c>
      <c r="B100" t="s">
        <v>10</v>
      </c>
      <c r="C100" t="s">
        <v>15</v>
      </c>
      <c r="D100" t="s">
        <v>12</v>
      </c>
      <c r="E100">
        <v>341</v>
      </c>
      <c r="F100" s="3">
        <v>18991748.530000001</v>
      </c>
      <c r="G100">
        <v>7279534.4900000002</v>
      </c>
      <c r="H100">
        <v>11712214.039999999</v>
      </c>
      <c r="I100">
        <v>4</v>
      </c>
      <c r="J100">
        <v>4.34</v>
      </c>
      <c r="K100" t="str">
        <f t="shared" si="1"/>
        <v>Sep 2022</v>
      </c>
    </row>
    <row r="101" spans="1:11" x14ac:dyDescent="0.25">
      <c r="A101" s="6">
        <v>44548</v>
      </c>
      <c r="B101" t="s">
        <v>10</v>
      </c>
      <c r="C101" t="s">
        <v>13</v>
      </c>
      <c r="D101" t="s">
        <v>14</v>
      </c>
      <c r="E101">
        <v>140</v>
      </c>
      <c r="F101" s="3">
        <v>6815175.9900000002</v>
      </c>
      <c r="G101">
        <v>2275924.5699999998</v>
      </c>
      <c r="H101">
        <v>4539251.41</v>
      </c>
      <c r="I101">
        <v>2.46</v>
      </c>
      <c r="J101">
        <v>3.88</v>
      </c>
      <c r="K101" t="str">
        <f t="shared" si="1"/>
        <v>Dec 2021</v>
      </c>
    </row>
    <row r="102" spans="1:11" x14ac:dyDescent="0.25">
      <c r="A102" s="6">
        <v>45316</v>
      </c>
      <c r="B102" t="s">
        <v>10</v>
      </c>
      <c r="C102" t="s">
        <v>13</v>
      </c>
      <c r="D102" t="s">
        <v>14</v>
      </c>
      <c r="E102">
        <v>291</v>
      </c>
      <c r="F102" s="3">
        <v>17685913.579999998</v>
      </c>
      <c r="G102">
        <v>6875210.46</v>
      </c>
      <c r="H102">
        <v>10810703.119999999</v>
      </c>
      <c r="I102">
        <v>1.03</v>
      </c>
      <c r="J102">
        <v>3.68</v>
      </c>
      <c r="K102" t="str">
        <f t="shared" si="1"/>
        <v>Jan 2024</v>
      </c>
    </row>
    <row r="103" spans="1:11" x14ac:dyDescent="0.25">
      <c r="A103" s="6">
        <v>44082</v>
      </c>
      <c r="B103" t="s">
        <v>10</v>
      </c>
      <c r="C103" t="s">
        <v>11</v>
      </c>
      <c r="D103" t="s">
        <v>12</v>
      </c>
      <c r="E103">
        <v>410</v>
      </c>
      <c r="F103" s="3">
        <v>31131972.859999999</v>
      </c>
      <c r="G103">
        <v>8212368.9500000002</v>
      </c>
      <c r="H103">
        <v>22919603.91</v>
      </c>
      <c r="I103">
        <v>1.57</v>
      </c>
      <c r="J103">
        <v>4.0999999999999996</v>
      </c>
      <c r="K103" t="str">
        <f t="shared" si="1"/>
        <v>Sep 2020</v>
      </c>
    </row>
    <row r="104" spans="1:11" x14ac:dyDescent="0.25">
      <c r="A104" s="6">
        <v>44048</v>
      </c>
      <c r="B104" t="s">
        <v>10</v>
      </c>
      <c r="C104" t="s">
        <v>15</v>
      </c>
      <c r="D104" t="s">
        <v>12</v>
      </c>
      <c r="E104">
        <v>418</v>
      </c>
      <c r="F104" s="3">
        <v>16535671.49</v>
      </c>
      <c r="G104">
        <v>4866877.6399999997</v>
      </c>
      <c r="H104">
        <v>11668793.84</v>
      </c>
      <c r="I104">
        <v>2.46</v>
      </c>
      <c r="J104">
        <v>4.7</v>
      </c>
      <c r="K104" t="str">
        <f t="shared" si="1"/>
        <v>Aug 2020</v>
      </c>
    </row>
    <row r="105" spans="1:11" x14ac:dyDescent="0.25">
      <c r="A105" s="6">
        <v>44956</v>
      </c>
      <c r="B105" t="s">
        <v>10</v>
      </c>
      <c r="C105" t="s">
        <v>13</v>
      </c>
      <c r="D105" t="s">
        <v>12</v>
      </c>
      <c r="E105">
        <v>222</v>
      </c>
      <c r="F105" s="3">
        <v>19612220.469999999</v>
      </c>
      <c r="G105">
        <v>7675595.8499999996</v>
      </c>
      <c r="H105">
        <v>11936624.630000001</v>
      </c>
      <c r="I105">
        <v>4.51</v>
      </c>
      <c r="J105">
        <v>4.29</v>
      </c>
      <c r="K105" t="str">
        <f t="shared" si="1"/>
        <v>Jan 2023</v>
      </c>
    </row>
    <row r="106" spans="1:11" x14ac:dyDescent="0.25">
      <c r="A106" s="6">
        <v>44294</v>
      </c>
      <c r="B106" t="s">
        <v>10</v>
      </c>
      <c r="C106" t="s">
        <v>16</v>
      </c>
      <c r="D106" t="s">
        <v>12</v>
      </c>
      <c r="E106">
        <v>252</v>
      </c>
      <c r="F106" s="3">
        <v>21558943.809999999</v>
      </c>
      <c r="G106">
        <v>7532737.3600000003</v>
      </c>
      <c r="H106">
        <v>14026206.449999999</v>
      </c>
      <c r="I106">
        <v>3.63</v>
      </c>
      <c r="J106">
        <v>3.61</v>
      </c>
      <c r="K106" t="str">
        <f t="shared" si="1"/>
        <v>Apr 2021</v>
      </c>
    </row>
    <row r="107" spans="1:11" x14ac:dyDescent="0.25">
      <c r="A107" s="6">
        <v>44471</v>
      </c>
      <c r="B107" t="s">
        <v>10</v>
      </c>
      <c r="C107" t="s">
        <v>11</v>
      </c>
      <c r="D107" t="s">
        <v>14</v>
      </c>
      <c r="E107">
        <v>96</v>
      </c>
      <c r="F107" s="3">
        <v>6683224.8099999996</v>
      </c>
      <c r="G107">
        <v>1743320.94</v>
      </c>
      <c r="H107">
        <v>4939903.87</v>
      </c>
      <c r="I107">
        <v>2.5499999999999998</v>
      </c>
      <c r="J107">
        <v>4.4400000000000004</v>
      </c>
      <c r="K107" t="str">
        <f t="shared" si="1"/>
        <v>Oct 2021</v>
      </c>
    </row>
    <row r="108" spans="1:11" x14ac:dyDescent="0.25">
      <c r="A108" s="6">
        <v>45067</v>
      </c>
      <c r="B108" t="s">
        <v>10</v>
      </c>
      <c r="C108" t="s">
        <v>16</v>
      </c>
      <c r="D108" t="s">
        <v>14</v>
      </c>
      <c r="E108">
        <v>423</v>
      </c>
      <c r="F108" s="3">
        <v>23743455.609999999</v>
      </c>
      <c r="G108">
        <v>5997118.6699999999</v>
      </c>
      <c r="H108">
        <v>17746336.940000001</v>
      </c>
      <c r="I108">
        <v>4.62</v>
      </c>
      <c r="J108">
        <v>4.9400000000000004</v>
      </c>
      <c r="K108" t="str">
        <f t="shared" si="1"/>
        <v>May 2023</v>
      </c>
    </row>
    <row r="109" spans="1:11" x14ac:dyDescent="0.25">
      <c r="A109" s="6">
        <v>43952</v>
      </c>
      <c r="B109" t="s">
        <v>10</v>
      </c>
      <c r="C109" t="s">
        <v>15</v>
      </c>
      <c r="D109" t="s">
        <v>12</v>
      </c>
      <c r="E109">
        <v>321</v>
      </c>
      <c r="F109" s="3">
        <v>26952607.100000001</v>
      </c>
      <c r="G109">
        <v>8324815.3600000003</v>
      </c>
      <c r="H109">
        <v>18627791.75</v>
      </c>
      <c r="I109">
        <v>3.29</v>
      </c>
      <c r="J109">
        <v>3.92</v>
      </c>
      <c r="K109" t="str">
        <f t="shared" si="1"/>
        <v>May 2020</v>
      </c>
    </row>
    <row r="110" spans="1:11" x14ac:dyDescent="0.25">
      <c r="A110" s="6">
        <v>44849</v>
      </c>
      <c r="B110" t="s">
        <v>10</v>
      </c>
      <c r="C110" t="s">
        <v>15</v>
      </c>
      <c r="D110" t="s">
        <v>14</v>
      </c>
      <c r="E110">
        <v>397</v>
      </c>
      <c r="F110" s="3">
        <v>28018933.98</v>
      </c>
      <c r="G110">
        <v>9031800.3499999996</v>
      </c>
      <c r="H110">
        <v>18987133.629999999</v>
      </c>
      <c r="I110">
        <v>1.53</v>
      </c>
      <c r="J110">
        <v>3.9</v>
      </c>
      <c r="K110" t="str">
        <f t="shared" si="1"/>
        <v>Oct 2022</v>
      </c>
    </row>
    <row r="111" spans="1:11" x14ac:dyDescent="0.25">
      <c r="A111" s="6">
        <v>44115</v>
      </c>
      <c r="B111" t="s">
        <v>10</v>
      </c>
      <c r="C111" t="s">
        <v>15</v>
      </c>
      <c r="D111" t="s">
        <v>17</v>
      </c>
      <c r="E111">
        <v>406</v>
      </c>
      <c r="F111" s="3">
        <v>35968236.060000002</v>
      </c>
      <c r="G111">
        <v>7292842.25</v>
      </c>
      <c r="H111">
        <v>28675393.800000001</v>
      </c>
      <c r="I111">
        <v>3.64</v>
      </c>
      <c r="J111">
        <v>4.3</v>
      </c>
      <c r="K111" t="str">
        <f t="shared" si="1"/>
        <v>Oct 2020</v>
      </c>
    </row>
    <row r="112" spans="1:11" x14ac:dyDescent="0.25">
      <c r="A112" s="6">
        <v>44630</v>
      </c>
      <c r="B112" t="s">
        <v>10</v>
      </c>
      <c r="C112" t="s">
        <v>11</v>
      </c>
      <c r="D112" t="s">
        <v>12</v>
      </c>
      <c r="E112">
        <v>466</v>
      </c>
      <c r="F112" s="3">
        <v>26849228.260000002</v>
      </c>
      <c r="G112">
        <v>7502845.6299999999</v>
      </c>
      <c r="H112">
        <v>19346382.620000001</v>
      </c>
      <c r="I112">
        <v>1.72</v>
      </c>
      <c r="J112">
        <v>3.7</v>
      </c>
      <c r="K112" t="str">
        <f t="shared" si="1"/>
        <v>Mar 2022</v>
      </c>
    </row>
    <row r="113" spans="1:11" x14ac:dyDescent="0.25">
      <c r="A113" s="6">
        <v>44507</v>
      </c>
      <c r="B113" t="s">
        <v>10</v>
      </c>
      <c r="C113" t="s">
        <v>13</v>
      </c>
      <c r="D113" t="s">
        <v>14</v>
      </c>
      <c r="E113">
        <v>84</v>
      </c>
      <c r="F113" s="3">
        <v>6740122.0599999996</v>
      </c>
      <c r="G113">
        <v>1415695.35</v>
      </c>
      <c r="H113">
        <v>5324426.71</v>
      </c>
      <c r="I113">
        <v>3.77</v>
      </c>
      <c r="J113">
        <v>4.42</v>
      </c>
      <c r="K113" t="str">
        <f t="shared" si="1"/>
        <v>Nov 2021</v>
      </c>
    </row>
    <row r="114" spans="1:11" x14ac:dyDescent="0.25">
      <c r="A114" s="6">
        <v>45203</v>
      </c>
      <c r="B114" t="s">
        <v>10</v>
      </c>
      <c r="C114" t="s">
        <v>18</v>
      </c>
      <c r="D114" t="s">
        <v>12</v>
      </c>
      <c r="E114">
        <v>499</v>
      </c>
      <c r="F114" s="3">
        <v>19736030.390000001</v>
      </c>
      <c r="G114">
        <v>4434048.6100000003</v>
      </c>
      <c r="H114">
        <v>15301981.779999999</v>
      </c>
      <c r="I114">
        <v>2.98</v>
      </c>
      <c r="J114">
        <v>3.75</v>
      </c>
      <c r="K114" t="str">
        <f t="shared" si="1"/>
        <v>Oct 2023</v>
      </c>
    </row>
    <row r="115" spans="1:11" x14ac:dyDescent="0.25">
      <c r="A115" s="6">
        <v>44972</v>
      </c>
      <c r="B115" t="s">
        <v>10</v>
      </c>
      <c r="C115" t="s">
        <v>18</v>
      </c>
      <c r="D115" t="s">
        <v>12</v>
      </c>
      <c r="E115">
        <v>338</v>
      </c>
      <c r="F115" s="3">
        <v>26285626.449999999</v>
      </c>
      <c r="G115">
        <v>7988884.8799999999</v>
      </c>
      <c r="H115">
        <v>18296741.579999998</v>
      </c>
      <c r="I115">
        <v>4.93</v>
      </c>
      <c r="J115">
        <v>4.07</v>
      </c>
      <c r="K115" t="str">
        <f t="shared" si="1"/>
        <v>Feb 2023</v>
      </c>
    </row>
    <row r="116" spans="1:11" x14ac:dyDescent="0.25">
      <c r="A116" s="6">
        <v>44863</v>
      </c>
      <c r="B116" t="s">
        <v>10</v>
      </c>
      <c r="C116" t="s">
        <v>13</v>
      </c>
      <c r="D116" t="s">
        <v>17</v>
      </c>
      <c r="E116">
        <v>331</v>
      </c>
      <c r="F116" s="3">
        <v>18519118.039999999</v>
      </c>
      <c r="G116">
        <v>3815255.37</v>
      </c>
      <c r="H116">
        <v>14703862.67</v>
      </c>
      <c r="I116">
        <v>4.29</v>
      </c>
      <c r="J116">
        <v>4.76</v>
      </c>
      <c r="K116" t="str">
        <f t="shared" si="1"/>
        <v>Oct 2022</v>
      </c>
    </row>
    <row r="117" spans="1:11" x14ac:dyDescent="0.25">
      <c r="A117" s="6">
        <v>45358</v>
      </c>
      <c r="B117" t="s">
        <v>10</v>
      </c>
      <c r="C117" t="s">
        <v>15</v>
      </c>
      <c r="D117" t="s">
        <v>12</v>
      </c>
      <c r="E117">
        <v>147</v>
      </c>
      <c r="F117" s="3">
        <v>5442704.7999999998</v>
      </c>
      <c r="G117">
        <v>2031378.41</v>
      </c>
      <c r="H117">
        <v>3411326.39</v>
      </c>
      <c r="I117">
        <v>0.56000000000000005</v>
      </c>
      <c r="J117">
        <v>3.61</v>
      </c>
      <c r="K117" t="str">
        <f t="shared" si="1"/>
        <v>Mar 2024</v>
      </c>
    </row>
    <row r="118" spans="1:11" x14ac:dyDescent="0.25">
      <c r="A118" s="6">
        <v>43860</v>
      </c>
      <c r="B118" t="s">
        <v>10</v>
      </c>
      <c r="C118" t="s">
        <v>13</v>
      </c>
      <c r="D118" t="s">
        <v>12</v>
      </c>
      <c r="E118">
        <v>246</v>
      </c>
      <c r="F118" s="3">
        <v>22136180.120000001</v>
      </c>
      <c r="G118">
        <v>4442125.54</v>
      </c>
      <c r="H118">
        <v>17694054.579999998</v>
      </c>
      <c r="I118">
        <v>3</v>
      </c>
      <c r="J118">
        <v>4.6500000000000004</v>
      </c>
      <c r="K118" t="str">
        <f t="shared" si="1"/>
        <v>Jan 2020</v>
      </c>
    </row>
    <row r="119" spans="1:11" x14ac:dyDescent="0.25">
      <c r="A119" s="6">
        <v>44583</v>
      </c>
      <c r="B119" t="s">
        <v>10</v>
      </c>
      <c r="C119" t="s">
        <v>16</v>
      </c>
      <c r="D119" t="s">
        <v>14</v>
      </c>
      <c r="E119">
        <v>214</v>
      </c>
      <c r="F119" s="3">
        <v>16400845.75</v>
      </c>
      <c r="G119">
        <v>5320924.58</v>
      </c>
      <c r="H119">
        <v>11079921.16</v>
      </c>
      <c r="I119">
        <v>1.58</v>
      </c>
      <c r="J119">
        <v>3.81</v>
      </c>
      <c r="K119" t="str">
        <f t="shared" si="1"/>
        <v>Jan 2022</v>
      </c>
    </row>
    <row r="120" spans="1:11" x14ac:dyDescent="0.25">
      <c r="A120" s="6">
        <v>45366</v>
      </c>
      <c r="B120" t="s">
        <v>10</v>
      </c>
      <c r="C120" t="s">
        <v>15</v>
      </c>
      <c r="D120" t="s">
        <v>17</v>
      </c>
      <c r="E120">
        <v>50</v>
      </c>
      <c r="F120" s="3">
        <v>4373640.32</v>
      </c>
      <c r="G120">
        <v>1219218.1599999999</v>
      </c>
      <c r="H120">
        <v>3154422.16</v>
      </c>
      <c r="I120">
        <v>1.53</v>
      </c>
      <c r="J120">
        <v>4.51</v>
      </c>
      <c r="K120" t="str">
        <f t="shared" si="1"/>
        <v>Mar 2024</v>
      </c>
    </row>
    <row r="121" spans="1:11" x14ac:dyDescent="0.25">
      <c r="A121" s="6">
        <v>45351</v>
      </c>
      <c r="B121" t="s">
        <v>10</v>
      </c>
      <c r="C121" t="s">
        <v>11</v>
      </c>
      <c r="D121" t="s">
        <v>17</v>
      </c>
      <c r="E121">
        <v>337</v>
      </c>
      <c r="F121" s="3">
        <v>12664226.029999999</v>
      </c>
      <c r="G121">
        <v>4385184.5999999996</v>
      </c>
      <c r="H121">
        <v>8279041.4299999997</v>
      </c>
      <c r="I121">
        <v>0.6</v>
      </c>
      <c r="J121">
        <v>4.25</v>
      </c>
      <c r="K121" t="str">
        <f t="shared" si="1"/>
        <v>Feb 2024</v>
      </c>
    </row>
    <row r="122" spans="1:11" x14ac:dyDescent="0.25">
      <c r="A122" s="6">
        <v>45103</v>
      </c>
      <c r="B122" t="s">
        <v>10</v>
      </c>
      <c r="C122" t="s">
        <v>18</v>
      </c>
      <c r="D122" t="s">
        <v>17</v>
      </c>
      <c r="E122">
        <v>487</v>
      </c>
      <c r="F122" s="3">
        <v>37731548.119999997</v>
      </c>
      <c r="G122">
        <v>11167304.41</v>
      </c>
      <c r="H122">
        <v>26564243.710000001</v>
      </c>
      <c r="I122">
        <v>4.33</v>
      </c>
      <c r="J122">
        <v>4.33</v>
      </c>
      <c r="K122" t="str">
        <f t="shared" si="1"/>
        <v>Jun 2023</v>
      </c>
    </row>
    <row r="123" spans="1:11" x14ac:dyDescent="0.25">
      <c r="A123" s="6">
        <v>44149</v>
      </c>
      <c r="B123" t="s">
        <v>10</v>
      </c>
      <c r="C123" t="s">
        <v>13</v>
      </c>
      <c r="D123" t="s">
        <v>17</v>
      </c>
      <c r="E123">
        <v>438</v>
      </c>
      <c r="F123" s="3">
        <v>17459754.100000001</v>
      </c>
      <c r="G123">
        <v>4218912.6900000004</v>
      </c>
      <c r="H123">
        <v>13240841.41</v>
      </c>
      <c r="I123">
        <v>3.15</v>
      </c>
      <c r="J123">
        <v>4.22</v>
      </c>
      <c r="K123" t="str">
        <f t="shared" si="1"/>
        <v>Nov 2020</v>
      </c>
    </row>
    <row r="124" spans="1:11" x14ac:dyDescent="0.25">
      <c r="A124" s="6">
        <v>45174</v>
      </c>
      <c r="B124" t="s">
        <v>10</v>
      </c>
      <c r="C124" t="s">
        <v>16</v>
      </c>
      <c r="D124" t="s">
        <v>12</v>
      </c>
      <c r="E124">
        <v>456</v>
      </c>
      <c r="F124" s="3">
        <v>34898842.369999997</v>
      </c>
      <c r="G124">
        <v>9629919.9000000004</v>
      </c>
      <c r="H124">
        <v>25268922.469999999</v>
      </c>
      <c r="I124">
        <v>3.67</v>
      </c>
      <c r="J124">
        <v>3.82</v>
      </c>
      <c r="K124" t="str">
        <f t="shared" si="1"/>
        <v>Sep 2023</v>
      </c>
    </row>
    <row r="125" spans="1:11" x14ac:dyDescent="0.25">
      <c r="A125" s="6">
        <v>44892</v>
      </c>
      <c r="B125" t="s">
        <v>10</v>
      </c>
      <c r="C125" t="s">
        <v>13</v>
      </c>
      <c r="D125" t="s">
        <v>12</v>
      </c>
      <c r="E125">
        <v>471</v>
      </c>
      <c r="F125" s="3">
        <v>32475216.460000001</v>
      </c>
      <c r="G125">
        <v>6621938.7400000002</v>
      </c>
      <c r="H125">
        <v>25853277.719999999</v>
      </c>
      <c r="I125">
        <v>3.24</v>
      </c>
      <c r="J125">
        <v>4.45</v>
      </c>
      <c r="K125" t="str">
        <f t="shared" si="1"/>
        <v>Nov 2022</v>
      </c>
    </row>
    <row r="126" spans="1:11" x14ac:dyDescent="0.25">
      <c r="A126" s="6">
        <v>45595</v>
      </c>
      <c r="B126" t="s">
        <v>10</v>
      </c>
      <c r="C126" t="s">
        <v>13</v>
      </c>
      <c r="D126" t="s">
        <v>14</v>
      </c>
      <c r="E126">
        <v>384</v>
      </c>
      <c r="F126" s="3">
        <v>22679470.350000001</v>
      </c>
      <c r="G126">
        <v>4970620.08</v>
      </c>
      <c r="H126">
        <v>17708850.27</v>
      </c>
      <c r="I126">
        <v>2.0699999999999998</v>
      </c>
      <c r="J126">
        <v>4.2699999999999996</v>
      </c>
      <c r="K126" t="str">
        <f t="shared" si="1"/>
        <v>Oct 2024</v>
      </c>
    </row>
    <row r="127" spans="1:11" x14ac:dyDescent="0.25">
      <c r="A127" s="6">
        <v>43843</v>
      </c>
      <c r="B127" t="s">
        <v>10</v>
      </c>
      <c r="C127" t="s">
        <v>15</v>
      </c>
      <c r="D127" t="s">
        <v>17</v>
      </c>
      <c r="E127">
        <v>384</v>
      </c>
      <c r="F127" s="3">
        <v>21814983.559999999</v>
      </c>
      <c r="G127">
        <v>6011831.2000000002</v>
      </c>
      <c r="H127">
        <v>15803152.369999999</v>
      </c>
      <c r="I127">
        <v>4.38</v>
      </c>
      <c r="J127">
        <v>4.92</v>
      </c>
      <c r="K127" t="str">
        <f t="shared" si="1"/>
        <v>Jan 2020</v>
      </c>
    </row>
    <row r="128" spans="1:11" x14ac:dyDescent="0.25">
      <c r="A128" s="6">
        <v>44961</v>
      </c>
      <c r="B128" t="s">
        <v>10</v>
      </c>
      <c r="C128" t="s">
        <v>11</v>
      </c>
      <c r="D128" t="s">
        <v>14</v>
      </c>
      <c r="E128">
        <v>437</v>
      </c>
      <c r="F128" s="3">
        <v>26335400.530000001</v>
      </c>
      <c r="G128">
        <v>6098797.2699999996</v>
      </c>
      <c r="H128">
        <v>20236603.260000002</v>
      </c>
      <c r="I128">
        <v>3.96</v>
      </c>
      <c r="J128">
        <v>3.6</v>
      </c>
      <c r="K128" t="str">
        <f t="shared" si="1"/>
        <v>Feb 2023</v>
      </c>
    </row>
    <row r="129" spans="1:11" x14ac:dyDescent="0.25">
      <c r="A129" s="6">
        <v>44142</v>
      </c>
      <c r="B129" t="s">
        <v>10</v>
      </c>
      <c r="C129" t="s">
        <v>18</v>
      </c>
      <c r="D129" t="s">
        <v>14</v>
      </c>
      <c r="E129">
        <v>118</v>
      </c>
      <c r="F129" s="3">
        <v>10490411.41</v>
      </c>
      <c r="G129">
        <v>3162611.27</v>
      </c>
      <c r="H129">
        <v>7327800.1399999997</v>
      </c>
      <c r="I129">
        <v>1.98</v>
      </c>
      <c r="J129">
        <v>4.45</v>
      </c>
      <c r="K129" t="str">
        <f t="shared" si="1"/>
        <v>Nov 2020</v>
      </c>
    </row>
    <row r="130" spans="1:11" x14ac:dyDescent="0.25">
      <c r="A130" s="6">
        <v>45226</v>
      </c>
      <c r="B130" t="s">
        <v>10</v>
      </c>
      <c r="C130" t="s">
        <v>16</v>
      </c>
      <c r="D130" t="s">
        <v>12</v>
      </c>
      <c r="E130">
        <v>289</v>
      </c>
      <c r="F130" s="3">
        <v>15544147.23</v>
      </c>
      <c r="G130">
        <v>4547398.5599999996</v>
      </c>
      <c r="H130">
        <v>10996748.67</v>
      </c>
      <c r="I130">
        <v>2.57</v>
      </c>
      <c r="J130">
        <v>4.38</v>
      </c>
      <c r="K130" t="str">
        <f t="shared" ref="K130:K193" si="2">TEXT(A130,"mmm yyyy")</f>
        <v>Oct 2023</v>
      </c>
    </row>
    <row r="131" spans="1:11" x14ac:dyDescent="0.25">
      <c r="A131" s="6">
        <v>44035</v>
      </c>
      <c r="B131" t="s">
        <v>10</v>
      </c>
      <c r="C131" t="s">
        <v>13</v>
      </c>
      <c r="D131" t="s">
        <v>17</v>
      </c>
      <c r="E131">
        <v>423</v>
      </c>
      <c r="F131" s="3">
        <v>31036236.100000001</v>
      </c>
      <c r="G131">
        <v>11296772.369999999</v>
      </c>
      <c r="H131">
        <v>19739463.739999998</v>
      </c>
      <c r="I131">
        <v>3.63</v>
      </c>
      <c r="J131">
        <v>4.12</v>
      </c>
      <c r="K131" t="str">
        <f t="shared" si="2"/>
        <v>Jul 2020</v>
      </c>
    </row>
    <row r="132" spans="1:11" x14ac:dyDescent="0.25">
      <c r="A132" s="6">
        <v>44761</v>
      </c>
      <c r="B132" t="s">
        <v>10</v>
      </c>
      <c r="C132" t="s">
        <v>11</v>
      </c>
      <c r="D132" t="s">
        <v>12</v>
      </c>
      <c r="E132">
        <v>401</v>
      </c>
      <c r="F132" s="3">
        <v>24488223.98</v>
      </c>
      <c r="G132">
        <v>6525828.9100000001</v>
      </c>
      <c r="H132">
        <v>17962395.07</v>
      </c>
      <c r="I132">
        <v>1.28</v>
      </c>
      <c r="J132">
        <v>3.79</v>
      </c>
      <c r="K132" t="str">
        <f t="shared" si="2"/>
        <v>Jul 2022</v>
      </c>
    </row>
    <row r="133" spans="1:11" x14ac:dyDescent="0.25">
      <c r="A133" s="6">
        <v>45085</v>
      </c>
      <c r="B133" t="s">
        <v>10</v>
      </c>
      <c r="C133" t="s">
        <v>15</v>
      </c>
      <c r="D133" t="s">
        <v>17</v>
      </c>
      <c r="E133">
        <v>452</v>
      </c>
      <c r="F133" s="3">
        <v>36249715.229999997</v>
      </c>
      <c r="G133">
        <v>11998056.689999999</v>
      </c>
      <c r="H133">
        <v>24251658.539999999</v>
      </c>
      <c r="I133">
        <v>2.06</v>
      </c>
      <c r="J133">
        <v>3.55</v>
      </c>
      <c r="K133" t="str">
        <f t="shared" si="2"/>
        <v>Jun 2023</v>
      </c>
    </row>
    <row r="134" spans="1:11" x14ac:dyDescent="0.25">
      <c r="A134" s="6">
        <v>45646</v>
      </c>
      <c r="B134" t="s">
        <v>10</v>
      </c>
      <c r="C134" t="s">
        <v>15</v>
      </c>
      <c r="D134" t="s">
        <v>12</v>
      </c>
      <c r="E134">
        <v>375</v>
      </c>
      <c r="F134" s="3">
        <v>15613114.84</v>
      </c>
      <c r="G134">
        <v>4806407.57</v>
      </c>
      <c r="H134">
        <v>10806707.27</v>
      </c>
      <c r="I134">
        <v>1.43</v>
      </c>
      <c r="J134">
        <v>4.05</v>
      </c>
      <c r="K134" t="str">
        <f t="shared" si="2"/>
        <v>Dec 2024</v>
      </c>
    </row>
    <row r="135" spans="1:11" x14ac:dyDescent="0.25">
      <c r="A135" s="6">
        <v>44271</v>
      </c>
      <c r="B135" t="s">
        <v>10</v>
      </c>
      <c r="C135" t="s">
        <v>16</v>
      </c>
      <c r="D135" t="s">
        <v>14</v>
      </c>
      <c r="E135">
        <v>127</v>
      </c>
      <c r="F135" s="3">
        <v>6750745.0999999996</v>
      </c>
      <c r="G135">
        <v>2266113.39</v>
      </c>
      <c r="H135">
        <v>4484631.71</v>
      </c>
      <c r="I135">
        <v>0.92</v>
      </c>
      <c r="J135">
        <v>4.22</v>
      </c>
      <c r="K135" t="str">
        <f t="shared" si="2"/>
        <v>Mar 2021</v>
      </c>
    </row>
    <row r="136" spans="1:11" x14ac:dyDescent="0.25">
      <c r="A136" s="6">
        <v>44838</v>
      </c>
      <c r="B136" t="s">
        <v>10</v>
      </c>
      <c r="C136" t="s">
        <v>15</v>
      </c>
      <c r="D136" t="s">
        <v>17</v>
      </c>
      <c r="E136">
        <v>263</v>
      </c>
      <c r="F136" s="3">
        <v>10387644.4</v>
      </c>
      <c r="G136">
        <v>2340172.94</v>
      </c>
      <c r="H136">
        <v>8047471.46</v>
      </c>
      <c r="I136">
        <v>4.6399999999999997</v>
      </c>
      <c r="J136">
        <v>3.59</v>
      </c>
      <c r="K136" t="str">
        <f t="shared" si="2"/>
        <v>Oct 2022</v>
      </c>
    </row>
    <row r="137" spans="1:11" x14ac:dyDescent="0.25">
      <c r="A137" s="6">
        <v>45439</v>
      </c>
      <c r="B137" t="s">
        <v>10</v>
      </c>
      <c r="C137" t="s">
        <v>13</v>
      </c>
      <c r="D137" t="s">
        <v>14</v>
      </c>
      <c r="E137">
        <v>75</v>
      </c>
      <c r="F137" s="3">
        <v>6206742.0700000003</v>
      </c>
      <c r="G137">
        <v>2377781.77</v>
      </c>
      <c r="H137">
        <v>3828960.29</v>
      </c>
      <c r="I137">
        <v>3.19</v>
      </c>
      <c r="J137">
        <v>4.9800000000000004</v>
      </c>
      <c r="K137" t="str">
        <f t="shared" si="2"/>
        <v>May 2024</v>
      </c>
    </row>
    <row r="138" spans="1:11" x14ac:dyDescent="0.25">
      <c r="A138" s="6">
        <v>45356</v>
      </c>
      <c r="B138" t="s">
        <v>10</v>
      </c>
      <c r="C138" t="s">
        <v>15</v>
      </c>
      <c r="D138" t="s">
        <v>14</v>
      </c>
      <c r="E138">
        <v>352</v>
      </c>
      <c r="F138" s="3">
        <v>19492339.91</v>
      </c>
      <c r="G138">
        <v>5908038.6200000001</v>
      </c>
      <c r="H138">
        <v>13584301.289999999</v>
      </c>
      <c r="I138">
        <v>3.28</v>
      </c>
      <c r="J138">
        <v>4.05</v>
      </c>
      <c r="K138" t="str">
        <f t="shared" si="2"/>
        <v>Mar 2024</v>
      </c>
    </row>
    <row r="139" spans="1:11" x14ac:dyDescent="0.25">
      <c r="A139" s="6">
        <v>44780</v>
      </c>
      <c r="B139" t="s">
        <v>10</v>
      </c>
      <c r="C139" t="s">
        <v>11</v>
      </c>
      <c r="D139" t="s">
        <v>12</v>
      </c>
      <c r="E139">
        <v>265</v>
      </c>
      <c r="F139" s="3">
        <v>19776521.59</v>
      </c>
      <c r="G139">
        <v>7664029.5800000001</v>
      </c>
      <c r="H139">
        <v>12112492.02</v>
      </c>
      <c r="I139">
        <v>1.1599999999999999</v>
      </c>
      <c r="J139">
        <v>3.7</v>
      </c>
      <c r="K139" t="str">
        <f t="shared" si="2"/>
        <v>Aug 2022</v>
      </c>
    </row>
    <row r="140" spans="1:11" x14ac:dyDescent="0.25">
      <c r="A140" s="6">
        <v>44572</v>
      </c>
      <c r="B140" t="s">
        <v>10</v>
      </c>
      <c r="C140" t="s">
        <v>13</v>
      </c>
      <c r="D140" t="s">
        <v>14</v>
      </c>
      <c r="E140">
        <v>52</v>
      </c>
      <c r="F140" s="3">
        <v>4380291.5599999996</v>
      </c>
      <c r="G140">
        <v>1303857.3500000001</v>
      </c>
      <c r="H140">
        <v>3076434.21</v>
      </c>
      <c r="I140">
        <v>2.89</v>
      </c>
      <c r="J140">
        <v>3.66</v>
      </c>
      <c r="K140" t="str">
        <f t="shared" si="2"/>
        <v>Jan 2022</v>
      </c>
    </row>
    <row r="141" spans="1:11" x14ac:dyDescent="0.25">
      <c r="A141" s="6">
        <v>44827</v>
      </c>
      <c r="B141" t="s">
        <v>10</v>
      </c>
      <c r="C141" t="s">
        <v>15</v>
      </c>
      <c r="D141" t="s">
        <v>12</v>
      </c>
      <c r="E141">
        <v>343</v>
      </c>
      <c r="F141" s="3">
        <v>22052824.73</v>
      </c>
      <c r="G141">
        <v>7751697.9900000002</v>
      </c>
      <c r="H141">
        <v>14301126.74</v>
      </c>
      <c r="I141">
        <v>1.71</v>
      </c>
      <c r="J141">
        <v>4.07</v>
      </c>
      <c r="K141" t="str">
        <f t="shared" si="2"/>
        <v>Sep 2022</v>
      </c>
    </row>
    <row r="142" spans="1:11" x14ac:dyDescent="0.25">
      <c r="A142" s="6">
        <v>45322</v>
      </c>
      <c r="B142" t="s">
        <v>10</v>
      </c>
      <c r="C142" t="s">
        <v>11</v>
      </c>
      <c r="D142" t="s">
        <v>17</v>
      </c>
      <c r="E142">
        <v>251</v>
      </c>
      <c r="F142" s="3">
        <v>16570538.1</v>
      </c>
      <c r="G142">
        <v>3842011.87</v>
      </c>
      <c r="H142">
        <v>12728526.23</v>
      </c>
      <c r="I142">
        <v>0.9</v>
      </c>
      <c r="J142">
        <v>4.3</v>
      </c>
      <c r="K142" t="str">
        <f t="shared" si="2"/>
        <v>Jan 2024</v>
      </c>
    </row>
    <row r="143" spans="1:11" x14ac:dyDescent="0.25">
      <c r="A143" s="6">
        <v>45065</v>
      </c>
      <c r="B143" t="s">
        <v>10</v>
      </c>
      <c r="C143" t="s">
        <v>18</v>
      </c>
      <c r="D143" t="s">
        <v>12</v>
      </c>
      <c r="E143">
        <v>74</v>
      </c>
      <c r="F143" s="3">
        <v>6214446.0300000003</v>
      </c>
      <c r="G143">
        <v>1748008.76</v>
      </c>
      <c r="H143">
        <v>4466437.2699999996</v>
      </c>
      <c r="I143">
        <v>3.56</v>
      </c>
      <c r="J143">
        <v>4.68</v>
      </c>
      <c r="K143" t="str">
        <f t="shared" si="2"/>
        <v>May 2023</v>
      </c>
    </row>
    <row r="144" spans="1:11" x14ac:dyDescent="0.25">
      <c r="A144" s="6">
        <v>45476</v>
      </c>
      <c r="B144" t="s">
        <v>10</v>
      </c>
      <c r="C144" t="s">
        <v>18</v>
      </c>
      <c r="D144" t="s">
        <v>17</v>
      </c>
      <c r="E144">
        <v>158</v>
      </c>
      <c r="F144" s="3">
        <v>9697568.4600000009</v>
      </c>
      <c r="G144">
        <v>2745964.49</v>
      </c>
      <c r="H144">
        <v>6951603.9800000004</v>
      </c>
      <c r="I144">
        <v>3.82</v>
      </c>
      <c r="J144">
        <v>4.34</v>
      </c>
      <c r="K144" t="str">
        <f t="shared" si="2"/>
        <v>Jul 2024</v>
      </c>
    </row>
    <row r="145" spans="1:11" x14ac:dyDescent="0.25">
      <c r="A145" s="6">
        <v>44272</v>
      </c>
      <c r="B145" t="s">
        <v>10</v>
      </c>
      <c r="C145" t="s">
        <v>18</v>
      </c>
      <c r="D145" t="s">
        <v>17</v>
      </c>
      <c r="E145">
        <v>473</v>
      </c>
      <c r="F145" s="3">
        <v>27784623.100000001</v>
      </c>
      <c r="G145">
        <v>10404895.109999999</v>
      </c>
      <c r="H145">
        <v>17379727.98</v>
      </c>
      <c r="I145">
        <v>1.78</v>
      </c>
      <c r="J145">
        <v>4.04</v>
      </c>
      <c r="K145" t="str">
        <f t="shared" si="2"/>
        <v>Mar 2021</v>
      </c>
    </row>
    <row r="146" spans="1:11" x14ac:dyDescent="0.25">
      <c r="A146" s="6">
        <v>44790</v>
      </c>
      <c r="B146" t="s">
        <v>10</v>
      </c>
      <c r="C146" t="s">
        <v>11</v>
      </c>
      <c r="D146" t="s">
        <v>12</v>
      </c>
      <c r="E146">
        <v>331</v>
      </c>
      <c r="F146" s="3">
        <v>22645542.82</v>
      </c>
      <c r="G146">
        <v>7951515.1600000001</v>
      </c>
      <c r="H146">
        <v>14694027.66</v>
      </c>
      <c r="I146">
        <v>2.74</v>
      </c>
      <c r="J146">
        <v>4</v>
      </c>
      <c r="K146" t="str">
        <f t="shared" si="2"/>
        <v>Aug 2022</v>
      </c>
    </row>
    <row r="147" spans="1:11" x14ac:dyDescent="0.25">
      <c r="A147" s="6">
        <v>44129</v>
      </c>
      <c r="B147" t="s">
        <v>10</v>
      </c>
      <c r="C147" t="s">
        <v>18</v>
      </c>
      <c r="D147" t="s">
        <v>17</v>
      </c>
      <c r="E147">
        <v>426</v>
      </c>
      <c r="F147" s="3">
        <v>20468223.73</v>
      </c>
      <c r="G147">
        <v>7770628.21</v>
      </c>
      <c r="H147">
        <v>12697595.52</v>
      </c>
      <c r="I147">
        <v>1.19</v>
      </c>
      <c r="J147">
        <v>3.87</v>
      </c>
      <c r="K147" t="str">
        <f t="shared" si="2"/>
        <v>Oct 2020</v>
      </c>
    </row>
    <row r="148" spans="1:11" x14ac:dyDescent="0.25">
      <c r="A148" s="6">
        <v>44402</v>
      </c>
      <c r="B148" t="s">
        <v>10</v>
      </c>
      <c r="C148" t="s">
        <v>16</v>
      </c>
      <c r="D148" t="s">
        <v>12</v>
      </c>
      <c r="E148">
        <v>53</v>
      </c>
      <c r="F148" s="3">
        <v>4335133.0599999996</v>
      </c>
      <c r="G148">
        <v>1657852.32</v>
      </c>
      <c r="H148">
        <v>2677280.75</v>
      </c>
      <c r="I148">
        <v>4.13</v>
      </c>
      <c r="J148">
        <v>3.58</v>
      </c>
      <c r="K148" t="str">
        <f t="shared" si="2"/>
        <v>Jul 2021</v>
      </c>
    </row>
    <row r="149" spans="1:11" x14ac:dyDescent="0.25">
      <c r="A149" s="6">
        <v>44160</v>
      </c>
      <c r="B149" t="s">
        <v>10</v>
      </c>
      <c r="C149" t="s">
        <v>15</v>
      </c>
      <c r="D149" t="s">
        <v>17</v>
      </c>
      <c r="E149">
        <v>186</v>
      </c>
      <c r="F149" s="3">
        <v>7330791.2199999997</v>
      </c>
      <c r="G149">
        <v>2163299.79</v>
      </c>
      <c r="H149">
        <v>5167491.43</v>
      </c>
      <c r="I149">
        <v>2.35</v>
      </c>
      <c r="J149">
        <v>4.97</v>
      </c>
      <c r="K149" t="str">
        <f t="shared" si="2"/>
        <v>Nov 2020</v>
      </c>
    </row>
    <row r="150" spans="1:11" x14ac:dyDescent="0.25">
      <c r="A150" s="6">
        <v>45219</v>
      </c>
      <c r="B150" t="s">
        <v>10</v>
      </c>
      <c r="C150" t="s">
        <v>16</v>
      </c>
      <c r="D150" t="s">
        <v>12</v>
      </c>
      <c r="E150">
        <v>272</v>
      </c>
      <c r="F150" s="3">
        <v>22933289.530000001</v>
      </c>
      <c r="G150">
        <v>6531408.1200000001</v>
      </c>
      <c r="H150">
        <v>16401881.42</v>
      </c>
      <c r="I150">
        <v>4.63</v>
      </c>
      <c r="J150">
        <v>3.51</v>
      </c>
      <c r="K150" t="str">
        <f t="shared" si="2"/>
        <v>Oct 2023</v>
      </c>
    </row>
    <row r="151" spans="1:11" x14ac:dyDescent="0.25">
      <c r="A151" s="6">
        <v>44102</v>
      </c>
      <c r="B151" t="s">
        <v>10</v>
      </c>
      <c r="C151" t="s">
        <v>11</v>
      </c>
      <c r="D151" t="s">
        <v>17</v>
      </c>
      <c r="E151">
        <v>167</v>
      </c>
      <c r="F151" s="3">
        <v>8213837.4699999997</v>
      </c>
      <c r="G151">
        <v>3004806.41</v>
      </c>
      <c r="H151">
        <v>5209031.05</v>
      </c>
      <c r="I151">
        <v>3.51</v>
      </c>
      <c r="J151">
        <v>4.8899999999999997</v>
      </c>
      <c r="K151" t="str">
        <f t="shared" si="2"/>
        <v>Sep 2020</v>
      </c>
    </row>
    <row r="152" spans="1:11" x14ac:dyDescent="0.25">
      <c r="A152" s="6">
        <v>45585</v>
      </c>
      <c r="B152" t="s">
        <v>10</v>
      </c>
      <c r="C152" t="s">
        <v>18</v>
      </c>
      <c r="D152" t="s">
        <v>14</v>
      </c>
      <c r="E152">
        <v>384</v>
      </c>
      <c r="F152" s="3">
        <v>24739975.780000001</v>
      </c>
      <c r="G152">
        <v>7537679.4100000001</v>
      </c>
      <c r="H152">
        <v>17202296.370000001</v>
      </c>
      <c r="I152">
        <v>4.2699999999999996</v>
      </c>
      <c r="J152">
        <v>3.81</v>
      </c>
      <c r="K152" t="str">
        <f t="shared" si="2"/>
        <v>Oct 2024</v>
      </c>
    </row>
    <row r="153" spans="1:11" x14ac:dyDescent="0.25">
      <c r="A153" s="6">
        <v>44695</v>
      </c>
      <c r="B153" t="s">
        <v>10</v>
      </c>
      <c r="C153" t="s">
        <v>16</v>
      </c>
      <c r="D153" t="s">
        <v>12</v>
      </c>
      <c r="E153">
        <v>459</v>
      </c>
      <c r="F153" s="3">
        <v>24236282.32</v>
      </c>
      <c r="G153">
        <v>7632313.4000000004</v>
      </c>
      <c r="H153">
        <v>16603968.92</v>
      </c>
      <c r="I153">
        <v>2.78</v>
      </c>
      <c r="J153">
        <v>3.86</v>
      </c>
      <c r="K153" t="str">
        <f t="shared" si="2"/>
        <v>May 2022</v>
      </c>
    </row>
    <row r="154" spans="1:11" x14ac:dyDescent="0.25">
      <c r="A154" s="6">
        <v>44862</v>
      </c>
      <c r="B154" t="s">
        <v>10</v>
      </c>
      <c r="C154" t="s">
        <v>18</v>
      </c>
      <c r="D154" t="s">
        <v>12</v>
      </c>
      <c r="E154">
        <v>96</v>
      </c>
      <c r="F154" s="3">
        <v>7094174.9100000001</v>
      </c>
      <c r="G154">
        <v>1748317.55</v>
      </c>
      <c r="H154">
        <v>5345857.3600000003</v>
      </c>
      <c r="I154">
        <v>0.89</v>
      </c>
      <c r="J154">
        <v>4.26</v>
      </c>
      <c r="K154" t="str">
        <f t="shared" si="2"/>
        <v>Oct 2022</v>
      </c>
    </row>
    <row r="155" spans="1:11" x14ac:dyDescent="0.25">
      <c r="A155" s="6">
        <v>44107</v>
      </c>
      <c r="B155" t="s">
        <v>10</v>
      </c>
      <c r="C155" t="s">
        <v>15</v>
      </c>
      <c r="D155" t="s">
        <v>17</v>
      </c>
      <c r="E155">
        <v>405</v>
      </c>
      <c r="F155" s="3">
        <v>21317304.829999998</v>
      </c>
      <c r="G155">
        <v>5994924.5300000003</v>
      </c>
      <c r="H155">
        <v>15322380.300000001</v>
      </c>
      <c r="I155">
        <v>2.16</v>
      </c>
      <c r="J155">
        <v>4.18</v>
      </c>
      <c r="K155" t="str">
        <f t="shared" si="2"/>
        <v>Oct 2020</v>
      </c>
    </row>
    <row r="156" spans="1:11" x14ac:dyDescent="0.25">
      <c r="A156" s="6">
        <v>44705</v>
      </c>
      <c r="B156" t="s">
        <v>10</v>
      </c>
      <c r="C156" t="s">
        <v>16</v>
      </c>
      <c r="D156" t="s">
        <v>17</v>
      </c>
      <c r="E156">
        <v>310</v>
      </c>
      <c r="F156" s="3">
        <v>11930543.25</v>
      </c>
      <c r="G156">
        <v>2410064.63</v>
      </c>
      <c r="H156">
        <v>9520478.6199999992</v>
      </c>
      <c r="I156">
        <v>1.95</v>
      </c>
      <c r="J156">
        <v>4.71</v>
      </c>
      <c r="K156" t="str">
        <f t="shared" si="2"/>
        <v>May 2022</v>
      </c>
    </row>
    <row r="157" spans="1:11" x14ac:dyDescent="0.25">
      <c r="A157" s="6">
        <v>45642</v>
      </c>
      <c r="B157" t="s">
        <v>10</v>
      </c>
      <c r="C157" t="s">
        <v>13</v>
      </c>
      <c r="D157" t="s">
        <v>17</v>
      </c>
      <c r="E157">
        <v>370</v>
      </c>
      <c r="F157" s="3">
        <v>15775084.140000001</v>
      </c>
      <c r="G157">
        <v>6301480.7199999997</v>
      </c>
      <c r="H157">
        <v>9473603.4199999999</v>
      </c>
      <c r="I157">
        <v>1.03</v>
      </c>
      <c r="J157">
        <v>4.21</v>
      </c>
      <c r="K157" t="str">
        <f t="shared" si="2"/>
        <v>Dec 2024</v>
      </c>
    </row>
    <row r="158" spans="1:11" x14ac:dyDescent="0.25">
      <c r="A158" s="6">
        <v>44042</v>
      </c>
      <c r="B158" t="s">
        <v>10</v>
      </c>
      <c r="C158" t="s">
        <v>15</v>
      </c>
      <c r="D158" t="s">
        <v>14</v>
      </c>
      <c r="E158">
        <v>87</v>
      </c>
      <c r="F158" s="3">
        <v>5015658.7699999996</v>
      </c>
      <c r="G158">
        <v>1656302.67</v>
      </c>
      <c r="H158">
        <v>3359356.1</v>
      </c>
      <c r="I158">
        <v>4.68</v>
      </c>
      <c r="J158">
        <v>4.75</v>
      </c>
      <c r="K158" t="str">
        <f t="shared" si="2"/>
        <v>Jul 2020</v>
      </c>
    </row>
    <row r="159" spans="1:11" x14ac:dyDescent="0.25">
      <c r="A159" s="6">
        <v>44135</v>
      </c>
      <c r="B159" t="s">
        <v>10</v>
      </c>
      <c r="C159" t="s">
        <v>16</v>
      </c>
      <c r="D159" t="s">
        <v>14</v>
      </c>
      <c r="E159">
        <v>285</v>
      </c>
      <c r="F159" s="3">
        <v>16378524.24</v>
      </c>
      <c r="G159">
        <v>3495379.95</v>
      </c>
      <c r="H159">
        <v>12883144.289999999</v>
      </c>
      <c r="I159">
        <v>4.96</v>
      </c>
      <c r="J159">
        <v>3.81</v>
      </c>
      <c r="K159" t="str">
        <f t="shared" si="2"/>
        <v>Oct 2020</v>
      </c>
    </row>
    <row r="160" spans="1:11" x14ac:dyDescent="0.25">
      <c r="A160" s="6">
        <v>44501</v>
      </c>
      <c r="B160" t="s">
        <v>10</v>
      </c>
      <c r="C160" t="s">
        <v>13</v>
      </c>
      <c r="D160" t="s">
        <v>17</v>
      </c>
      <c r="E160">
        <v>84</v>
      </c>
      <c r="F160" s="3">
        <v>7220196.3399999999</v>
      </c>
      <c r="G160">
        <v>1846064.78</v>
      </c>
      <c r="H160">
        <v>5374131.5599999996</v>
      </c>
      <c r="I160">
        <v>0.72</v>
      </c>
      <c r="J160">
        <v>4.67</v>
      </c>
      <c r="K160" t="str">
        <f t="shared" si="2"/>
        <v>Nov 2021</v>
      </c>
    </row>
    <row r="161" spans="1:11" x14ac:dyDescent="0.25">
      <c r="A161" s="6">
        <v>43901</v>
      </c>
      <c r="B161" t="s">
        <v>10</v>
      </c>
      <c r="C161" t="s">
        <v>16</v>
      </c>
      <c r="D161" t="s">
        <v>17</v>
      </c>
      <c r="E161">
        <v>316</v>
      </c>
      <c r="F161" s="3">
        <v>24881745.879999999</v>
      </c>
      <c r="G161">
        <v>8949330.4000000004</v>
      </c>
      <c r="H161">
        <v>15932415.48</v>
      </c>
      <c r="I161">
        <v>1.24</v>
      </c>
      <c r="J161">
        <v>3.75</v>
      </c>
      <c r="K161" t="str">
        <f t="shared" si="2"/>
        <v>Mar 2020</v>
      </c>
    </row>
    <row r="162" spans="1:11" x14ac:dyDescent="0.25">
      <c r="A162" s="6">
        <v>44377</v>
      </c>
      <c r="B162" t="s">
        <v>10</v>
      </c>
      <c r="C162" t="s">
        <v>16</v>
      </c>
      <c r="D162" t="s">
        <v>12</v>
      </c>
      <c r="E162">
        <v>54</v>
      </c>
      <c r="F162" s="3">
        <v>2590004.4900000002</v>
      </c>
      <c r="G162">
        <v>707714.29</v>
      </c>
      <c r="H162">
        <v>1882290.2</v>
      </c>
      <c r="I162">
        <v>4.59</v>
      </c>
      <c r="J162">
        <v>3.97</v>
      </c>
      <c r="K162" t="str">
        <f t="shared" si="2"/>
        <v>Jun 2021</v>
      </c>
    </row>
    <row r="163" spans="1:11" x14ac:dyDescent="0.25">
      <c r="A163" s="6">
        <v>44929</v>
      </c>
      <c r="B163" t="s">
        <v>10</v>
      </c>
      <c r="C163" t="s">
        <v>18</v>
      </c>
      <c r="D163" t="s">
        <v>17</v>
      </c>
      <c r="E163">
        <v>91</v>
      </c>
      <c r="F163" s="3">
        <v>5149187.76</v>
      </c>
      <c r="G163">
        <v>1218710.3400000001</v>
      </c>
      <c r="H163">
        <v>3930477.43</v>
      </c>
      <c r="I163">
        <v>2.48</v>
      </c>
      <c r="J163">
        <v>4.07</v>
      </c>
      <c r="K163" t="str">
        <f t="shared" si="2"/>
        <v>Jan 2023</v>
      </c>
    </row>
    <row r="164" spans="1:11" x14ac:dyDescent="0.25">
      <c r="A164" s="6">
        <v>44456</v>
      </c>
      <c r="B164" t="s">
        <v>10</v>
      </c>
      <c r="C164" t="s">
        <v>15</v>
      </c>
      <c r="D164" t="s">
        <v>12</v>
      </c>
      <c r="E164">
        <v>228</v>
      </c>
      <c r="F164" s="3">
        <v>15806233.359999999</v>
      </c>
      <c r="G164">
        <v>4616112.26</v>
      </c>
      <c r="H164">
        <v>11190121.1</v>
      </c>
      <c r="I164">
        <v>2.4700000000000002</v>
      </c>
      <c r="J164">
        <v>4.37</v>
      </c>
      <c r="K164" t="str">
        <f t="shared" si="2"/>
        <v>Sep 2021</v>
      </c>
    </row>
    <row r="165" spans="1:11" x14ac:dyDescent="0.25">
      <c r="A165" s="6">
        <v>45256</v>
      </c>
      <c r="B165" t="s">
        <v>10</v>
      </c>
      <c r="C165" t="s">
        <v>13</v>
      </c>
      <c r="D165" t="s">
        <v>14</v>
      </c>
      <c r="E165">
        <v>194</v>
      </c>
      <c r="F165" s="3">
        <v>16388460.699999999</v>
      </c>
      <c r="G165">
        <v>5297107.04</v>
      </c>
      <c r="H165">
        <v>11091353.66</v>
      </c>
      <c r="I165">
        <v>2.95</v>
      </c>
      <c r="J165">
        <v>4.8600000000000003</v>
      </c>
      <c r="K165" t="str">
        <f t="shared" si="2"/>
        <v>Nov 2023</v>
      </c>
    </row>
    <row r="166" spans="1:11" x14ac:dyDescent="0.25">
      <c r="A166" s="6">
        <v>44978</v>
      </c>
      <c r="B166" t="s">
        <v>10</v>
      </c>
      <c r="C166" t="s">
        <v>13</v>
      </c>
      <c r="D166" t="s">
        <v>12</v>
      </c>
      <c r="E166">
        <v>484</v>
      </c>
      <c r="F166" s="3">
        <v>31390648.649999999</v>
      </c>
      <c r="G166">
        <v>9847069.7899999991</v>
      </c>
      <c r="H166">
        <v>21543578.850000001</v>
      </c>
      <c r="I166">
        <v>2</v>
      </c>
      <c r="J166">
        <v>4.5999999999999996</v>
      </c>
      <c r="K166" t="str">
        <f t="shared" si="2"/>
        <v>Feb 2023</v>
      </c>
    </row>
    <row r="167" spans="1:11" x14ac:dyDescent="0.25">
      <c r="A167" s="6">
        <v>45079</v>
      </c>
      <c r="B167" t="s">
        <v>10</v>
      </c>
      <c r="C167" t="s">
        <v>13</v>
      </c>
      <c r="D167" t="s">
        <v>14</v>
      </c>
      <c r="E167">
        <v>91</v>
      </c>
      <c r="F167" s="3">
        <v>3882056.72</v>
      </c>
      <c r="G167">
        <v>936332.52</v>
      </c>
      <c r="H167">
        <v>2945724.2</v>
      </c>
      <c r="I167">
        <v>3.29</v>
      </c>
      <c r="J167">
        <v>4.3</v>
      </c>
      <c r="K167" t="str">
        <f t="shared" si="2"/>
        <v>Jun 2023</v>
      </c>
    </row>
    <row r="168" spans="1:11" x14ac:dyDescent="0.25">
      <c r="A168" s="6">
        <v>44702</v>
      </c>
      <c r="B168" t="s">
        <v>10</v>
      </c>
      <c r="C168" t="s">
        <v>18</v>
      </c>
      <c r="D168" t="s">
        <v>14</v>
      </c>
      <c r="E168">
        <v>280</v>
      </c>
      <c r="F168" s="3">
        <v>18626523.079999998</v>
      </c>
      <c r="G168">
        <v>3733900.32</v>
      </c>
      <c r="H168">
        <v>14892622.75</v>
      </c>
      <c r="I168">
        <v>3.89</v>
      </c>
      <c r="J168">
        <v>4.5599999999999996</v>
      </c>
      <c r="K168" t="str">
        <f t="shared" si="2"/>
        <v>May 2022</v>
      </c>
    </row>
    <row r="169" spans="1:11" x14ac:dyDescent="0.25">
      <c r="A169" s="6">
        <v>45141</v>
      </c>
      <c r="B169" t="s">
        <v>10</v>
      </c>
      <c r="C169" t="s">
        <v>15</v>
      </c>
      <c r="D169" t="s">
        <v>17</v>
      </c>
      <c r="E169">
        <v>460</v>
      </c>
      <c r="F169" s="3">
        <v>34921841.200000003</v>
      </c>
      <c r="G169">
        <v>13734533.609999999</v>
      </c>
      <c r="H169">
        <v>21187307.59</v>
      </c>
      <c r="I169">
        <v>3.06</v>
      </c>
      <c r="J169">
        <v>4.6399999999999997</v>
      </c>
      <c r="K169" t="str">
        <f t="shared" si="2"/>
        <v>Aug 2023</v>
      </c>
    </row>
    <row r="170" spans="1:11" x14ac:dyDescent="0.25">
      <c r="A170" s="6">
        <v>44957</v>
      </c>
      <c r="B170" t="s">
        <v>10</v>
      </c>
      <c r="C170" t="s">
        <v>13</v>
      </c>
      <c r="D170" t="s">
        <v>12</v>
      </c>
      <c r="E170">
        <v>172</v>
      </c>
      <c r="F170" s="3">
        <v>13158849.859999999</v>
      </c>
      <c r="G170">
        <v>4992688.63</v>
      </c>
      <c r="H170">
        <v>8166161.2400000002</v>
      </c>
      <c r="I170">
        <v>2.91</v>
      </c>
      <c r="J170">
        <v>4.07</v>
      </c>
      <c r="K170" t="str">
        <f t="shared" si="2"/>
        <v>Jan 2023</v>
      </c>
    </row>
    <row r="171" spans="1:11" x14ac:dyDescent="0.25">
      <c r="A171" s="6">
        <v>44467</v>
      </c>
      <c r="B171" t="s">
        <v>10</v>
      </c>
      <c r="C171" t="s">
        <v>13</v>
      </c>
      <c r="D171" t="s">
        <v>17</v>
      </c>
      <c r="E171">
        <v>414</v>
      </c>
      <c r="F171" s="3">
        <v>17392916.84</v>
      </c>
      <c r="G171">
        <v>5575169.7800000003</v>
      </c>
      <c r="H171">
        <v>11817747.07</v>
      </c>
      <c r="I171">
        <v>4.09</v>
      </c>
      <c r="J171">
        <v>3.72</v>
      </c>
      <c r="K171" t="str">
        <f t="shared" si="2"/>
        <v>Sep 2021</v>
      </c>
    </row>
    <row r="172" spans="1:11" x14ac:dyDescent="0.25">
      <c r="A172" s="6">
        <v>44590</v>
      </c>
      <c r="B172" t="s">
        <v>10</v>
      </c>
      <c r="C172" t="s">
        <v>13</v>
      </c>
      <c r="D172" t="s">
        <v>17</v>
      </c>
      <c r="E172">
        <v>96</v>
      </c>
      <c r="F172" s="3">
        <v>5519283.3399999999</v>
      </c>
      <c r="G172">
        <v>1355666.26</v>
      </c>
      <c r="H172">
        <v>4163617.07</v>
      </c>
      <c r="I172">
        <v>0.55000000000000004</v>
      </c>
      <c r="J172">
        <v>4.4000000000000004</v>
      </c>
      <c r="K172" t="str">
        <f t="shared" si="2"/>
        <v>Jan 2022</v>
      </c>
    </row>
    <row r="173" spans="1:11" x14ac:dyDescent="0.25">
      <c r="A173" s="6">
        <v>44009</v>
      </c>
      <c r="B173" t="s">
        <v>10</v>
      </c>
      <c r="C173" t="s">
        <v>18</v>
      </c>
      <c r="D173" t="s">
        <v>17</v>
      </c>
      <c r="E173">
        <v>469</v>
      </c>
      <c r="F173" s="3">
        <v>30414577.02</v>
      </c>
      <c r="G173">
        <v>10634158.43</v>
      </c>
      <c r="H173">
        <v>19780418.579999998</v>
      </c>
      <c r="I173">
        <v>2.06</v>
      </c>
      <c r="J173">
        <v>3.77</v>
      </c>
      <c r="K173" t="str">
        <f t="shared" si="2"/>
        <v>Jun 2020</v>
      </c>
    </row>
    <row r="174" spans="1:11" x14ac:dyDescent="0.25">
      <c r="A174" s="6">
        <v>44639</v>
      </c>
      <c r="B174" t="s">
        <v>10</v>
      </c>
      <c r="C174" t="s">
        <v>16</v>
      </c>
      <c r="D174" t="s">
        <v>17</v>
      </c>
      <c r="E174">
        <v>379</v>
      </c>
      <c r="F174" s="3">
        <v>20404918.140000001</v>
      </c>
      <c r="G174">
        <v>7234151.6200000001</v>
      </c>
      <c r="H174">
        <v>13170766.52</v>
      </c>
      <c r="I174">
        <v>2.41</v>
      </c>
      <c r="J174">
        <v>3.93</v>
      </c>
      <c r="K174" t="str">
        <f t="shared" si="2"/>
        <v>Mar 2022</v>
      </c>
    </row>
    <row r="175" spans="1:11" x14ac:dyDescent="0.25">
      <c r="A175" s="6">
        <v>45027</v>
      </c>
      <c r="B175" t="s">
        <v>10</v>
      </c>
      <c r="C175" t="s">
        <v>15</v>
      </c>
      <c r="D175" t="s">
        <v>12</v>
      </c>
      <c r="E175">
        <v>412</v>
      </c>
      <c r="F175" s="3">
        <v>17894942.789999999</v>
      </c>
      <c r="G175">
        <v>5059867.26</v>
      </c>
      <c r="H175">
        <v>12835075.539999999</v>
      </c>
      <c r="I175">
        <v>2.78</v>
      </c>
      <c r="J175">
        <v>4.42</v>
      </c>
      <c r="K175" t="str">
        <f t="shared" si="2"/>
        <v>Apr 2023</v>
      </c>
    </row>
    <row r="176" spans="1:11" x14ac:dyDescent="0.25">
      <c r="A176" s="6">
        <v>44202</v>
      </c>
      <c r="B176" t="s">
        <v>10</v>
      </c>
      <c r="C176" t="s">
        <v>16</v>
      </c>
      <c r="D176" t="s">
        <v>14</v>
      </c>
      <c r="E176">
        <v>160</v>
      </c>
      <c r="F176" s="3">
        <v>11989641.16</v>
      </c>
      <c r="G176">
        <v>3373973.97</v>
      </c>
      <c r="H176">
        <v>8615667.1899999995</v>
      </c>
      <c r="I176">
        <v>0.96</v>
      </c>
      <c r="J176">
        <v>4.88</v>
      </c>
      <c r="K176" t="str">
        <f t="shared" si="2"/>
        <v>Jan 2021</v>
      </c>
    </row>
    <row r="177" spans="1:11" x14ac:dyDescent="0.25">
      <c r="A177" s="6">
        <v>44169</v>
      </c>
      <c r="B177" t="s">
        <v>10</v>
      </c>
      <c r="C177" t="s">
        <v>11</v>
      </c>
      <c r="D177" t="s">
        <v>14</v>
      </c>
      <c r="E177">
        <v>182</v>
      </c>
      <c r="F177" s="3">
        <v>15604218.810000001</v>
      </c>
      <c r="G177">
        <v>4034506.24</v>
      </c>
      <c r="H177">
        <v>11569712.560000001</v>
      </c>
      <c r="I177">
        <v>1.19</v>
      </c>
      <c r="J177">
        <v>4.3600000000000003</v>
      </c>
      <c r="K177" t="str">
        <f t="shared" si="2"/>
        <v>Dec 2020</v>
      </c>
    </row>
    <row r="178" spans="1:11" x14ac:dyDescent="0.25">
      <c r="A178" s="6">
        <v>44587</v>
      </c>
      <c r="B178" t="s">
        <v>10</v>
      </c>
      <c r="C178" t="s">
        <v>18</v>
      </c>
      <c r="D178" t="s">
        <v>12</v>
      </c>
      <c r="E178">
        <v>427</v>
      </c>
      <c r="F178" s="3">
        <v>16563622.35</v>
      </c>
      <c r="G178">
        <v>6369305.5599999996</v>
      </c>
      <c r="H178">
        <v>10194316.800000001</v>
      </c>
      <c r="I178">
        <v>0.97</v>
      </c>
      <c r="J178">
        <v>4.76</v>
      </c>
      <c r="K178" t="str">
        <f t="shared" si="2"/>
        <v>Jan 2022</v>
      </c>
    </row>
    <row r="179" spans="1:11" x14ac:dyDescent="0.25">
      <c r="A179" s="6">
        <v>45509</v>
      </c>
      <c r="B179" t="s">
        <v>10</v>
      </c>
      <c r="C179" t="s">
        <v>11</v>
      </c>
      <c r="D179" t="s">
        <v>17</v>
      </c>
      <c r="E179">
        <v>316</v>
      </c>
      <c r="F179" s="3">
        <v>18895588.280000001</v>
      </c>
      <c r="G179">
        <v>7130295.4100000001</v>
      </c>
      <c r="H179">
        <v>11765292.859999999</v>
      </c>
      <c r="I179">
        <v>4.93</v>
      </c>
      <c r="J179">
        <v>4.76</v>
      </c>
      <c r="K179" t="str">
        <f t="shared" si="2"/>
        <v>Aug 2024</v>
      </c>
    </row>
    <row r="180" spans="1:11" x14ac:dyDescent="0.25">
      <c r="A180" s="6">
        <v>45070</v>
      </c>
      <c r="B180" t="s">
        <v>10</v>
      </c>
      <c r="C180" t="s">
        <v>15</v>
      </c>
      <c r="D180" t="s">
        <v>17</v>
      </c>
      <c r="E180">
        <v>231</v>
      </c>
      <c r="F180" s="3">
        <v>18725320.469999999</v>
      </c>
      <c r="G180">
        <v>6246218.5899999999</v>
      </c>
      <c r="H180">
        <v>12479101.890000001</v>
      </c>
      <c r="I180">
        <v>1.9</v>
      </c>
      <c r="J180">
        <v>3.84</v>
      </c>
      <c r="K180" t="str">
        <f t="shared" si="2"/>
        <v>May 2023</v>
      </c>
    </row>
    <row r="181" spans="1:11" x14ac:dyDescent="0.25">
      <c r="A181" s="6">
        <v>44550</v>
      </c>
      <c r="B181" t="s">
        <v>10</v>
      </c>
      <c r="C181" t="s">
        <v>15</v>
      </c>
      <c r="D181" t="s">
        <v>12</v>
      </c>
      <c r="E181">
        <v>448</v>
      </c>
      <c r="F181" s="3">
        <v>25511426.620000001</v>
      </c>
      <c r="G181">
        <v>9925161.1400000006</v>
      </c>
      <c r="H181">
        <v>15586265.48</v>
      </c>
      <c r="I181">
        <v>2.0099999999999998</v>
      </c>
      <c r="J181">
        <v>4.7</v>
      </c>
      <c r="K181" t="str">
        <f t="shared" si="2"/>
        <v>Dec 2021</v>
      </c>
    </row>
    <row r="182" spans="1:11" x14ac:dyDescent="0.25">
      <c r="A182" s="6">
        <v>44604</v>
      </c>
      <c r="B182" t="s">
        <v>10</v>
      </c>
      <c r="C182" t="s">
        <v>16</v>
      </c>
      <c r="D182" t="s">
        <v>17</v>
      </c>
      <c r="E182">
        <v>166</v>
      </c>
      <c r="F182" s="3">
        <v>11321977.58</v>
      </c>
      <c r="G182">
        <v>4270044.67</v>
      </c>
      <c r="H182">
        <v>7051932.9100000001</v>
      </c>
      <c r="I182">
        <v>2.37</v>
      </c>
      <c r="J182">
        <v>4.8</v>
      </c>
      <c r="K182" t="str">
        <f t="shared" si="2"/>
        <v>Feb 2022</v>
      </c>
    </row>
    <row r="183" spans="1:11" x14ac:dyDescent="0.25">
      <c r="A183" s="6">
        <v>44225</v>
      </c>
      <c r="B183" t="s">
        <v>10</v>
      </c>
      <c r="C183" t="s">
        <v>11</v>
      </c>
      <c r="D183" t="s">
        <v>14</v>
      </c>
      <c r="E183">
        <v>343</v>
      </c>
      <c r="F183" s="3">
        <v>18538817.18</v>
      </c>
      <c r="G183">
        <v>6129106.4800000004</v>
      </c>
      <c r="H183">
        <v>12409710.710000001</v>
      </c>
      <c r="I183">
        <v>3.82</v>
      </c>
      <c r="J183">
        <v>4.18</v>
      </c>
      <c r="K183" t="str">
        <f t="shared" si="2"/>
        <v>Jan 2021</v>
      </c>
    </row>
    <row r="184" spans="1:11" x14ac:dyDescent="0.25">
      <c r="A184" s="6">
        <v>44315</v>
      </c>
      <c r="B184" t="s">
        <v>10</v>
      </c>
      <c r="C184" t="s">
        <v>11</v>
      </c>
      <c r="D184" t="s">
        <v>12</v>
      </c>
      <c r="E184">
        <v>476</v>
      </c>
      <c r="F184" s="3">
        <v>17519925.829999998</v>
      </c>
      <c r="G184">
        <v>3809709.75</v>
      </c>
      <c r="H184">
        <v>13710216.07</v>
      </c>
      <c r="I184">
        <v>1.62</v>
      </c>
      <c r="J184">
        <v>4.37</v>
      </c>
      <c r="K184" t="str">
        <f t="shared" si="2"/>
        <v>Apr 2021</v>
      </c>
    </row>
    <row r="185" spans="1:11" x14ac:dyDescent="0.25">
      <c r="A185" s="6">
        <v>45180</v>
      </c>
      <c r="B185" t="s">
        <v>10</v>
      </c>
      <c r="C185" t="s">
        <v>11</v>
      </c>
      <c r="D185" t="s">
        <v>14</v>
      </c>
      <c r="E185">
        <v>229</v>
      </c>
      <c r="F185" s="3">
        <v>13291366.039999999</v>
      </c>
      <c r="G185">
        <v>2884636.07</v>
      </c>
      <c r="H185">
        <v>10406729.970000001</v>
      </c>
      <c r="I185">
        <v>2.13</v>
      </c>
      <c r="J185">
        <v>4.37</v>
      </c>
      <c r="K185" t="str">
        <f t="shared" si="2"/>
        <v>Sep 2023</v>
      </c>
    </row>
    <row r="186" spans="1:11" x14ac:dyDescent="0.25">
      <c r="A186" s="6">
        <v>45385</v>
      </c>
      <c r="B186" t="s">
        <v>10</v>
      </c>
      <c r="C186" t="s">
        <v>16</v>
      </c>
      <c r="D186" t="s">
        <v>12</v>
      </c>
      <c r="E186">
        <v>199</v>
      </c>
      <c r="F186" s="3">
        <v>9373964.0099999998</v>
      </c>
      <c r="G186">
        <v>3350853.2</v>
      </c>
      <c r="H186">
        <v>6023110.8099999996</v>
      </c>
      <c r="I186">
        <v>2.82</v>
      </c>
      <c r="J186">
        <v>4.96</v>
      </c>
      <c r="K186" t="str">
        <f t="shared" si="2"/>
        <v>Apr 2024</v>
      </c>
    </row>
    <row r="187" spans="1:11" x14ac:dyDescent="0.25">
      <c r="A187" s="6">
        <v>44600</v>
      </c>
      <c r="B187" t="s">
        <v>10</v>
      </c>
      <c r="C187" t="s">
        <v>13</v>
      </c>
      <c r="D187" t="s">
        <v>14</v>
      </c>
      <c r="E187">
        <v>410</v>
      </c>
      <c r="F187" s="3">
        <v>17702344.510000002</v>
      </c>
      <c r="G187">
        <v>5612973.9900000002</v>
      </c>
      <c r="H187">
        <v>12089370.52</v>
      </c>
      <c r="I187">
        <v>0.88</v>
      </c>
      <c r="J187">
        <v>5</v>
      </c>
      <c r="K187" t="str">
        <f t="shared" si="2"/>
        <v>Feb 2022</v>
      </c>
    </row>
    <row r="188" spans="1:11" x14ac:dyDescent="0.25">
      <c r="A188" s="6">
        <v>44472</v>
      </c>
      <c r="B188" t="s">
        <v>10</v>
      </c>
      <c r="C188" t="s">
        <v>15</v>
      </c>
      <c r="D188" t="s">
        <v>14</v>
      </c>
      <c r="E188">
        <v>98</v>
      </c>
      <c r="F188" s="3">
        <v>5044821.96</v>
      </c>
      <c r="G188">
        <v>1705213.46</v>
      </c>
      <c r="H188">
        <v>3339608.5</v>
      </c>
      <c r="I188">
        <v>2.29</v>
      </c>
      <c r="J188">
        <v>4.1399999999999997</v>
      </c>
      <c r="K188" t="str">
        <f t="shared" si="2"/>
        <v>Oct 2021</v>
      </c>
    </row>
    <row r="189" spans="1:11" x14ac:dyDescent="0.25">
      <c r="A189" s="6">
        <v>44796</v>
      </c>
      <c r="B189" t="s">
        <v>10</v>
      </c>
      <c r="C189" t="s">
        <v>16</v>
      </c>
      <c r="D189" t="s">
        <v>14</v>
      </c>
      <c r="E189">
        <v>489</v>
      </c>
      <c r="F189" s="3">
        <v>41268170.109999999</v>
      </c>
      <c r="G189">
        <v>14814120.529999999</v>
      </c>
      <c r="H189">
        <v>26454049.579999998</v>
      </c>
      <c r="I189">
        <v>1.36</v>
      </c>
      <c r="J189">
        <v>3.55</v>
      </c>
      <c r="K189" t="str">
        <f t="shared" si="2"/>
        <v>Aug 2022</v>
      </c>
    </row>
    <row r="190" spans="1:11" x14ac:dyDescent="0.25">
      <c r="A190" s="6">
        <v>44129</v>
      </c>
      <c r="B190" t="s">
        <v>10</v>
      </c>
      <c r="C190" t="s">
        <v>11</v>
      </c>
      <c r="D190" t="s">
        <v>12</v>
      </c>
      <c r="E190">
        <v>335</v>
      </c>
      <c r="F190" s="3">
        <v>27138706.68</v>
      </c>
      <c r="G190">
        <v>7666936.46</v>
      </c>
      <c r="H190">
        <v>19471770.219999999</v>
      </c>
      <c r="I190">
        <v>1.82</v>
      </c>
      <c r="J190">
        <v>4.57</v>
      </c>
      <c r="K190" t="str">
        <f t="shared" si="2"/>
        <v>Oct 2020</v>
      </c>
    </row>
    <row r="191" spans="1:11" x14ac:dyDescent="0.25">
      <c r="A191" s="6">
        <v>44110</v>
      </c>
      <c r="B191" t="s">
        <v>10</v>
      </c>
      <c r="C191" t="s">
        <v>16</v>
      </c>
      <c r="D191" t="s">
        <v>17</v>
      </c>
      <c r="E191">
        <v>243</v>
      </c>
      <c r="F191" s="3">
        <v>15648002.99</v>
      </c>
      <c r="G191">
        <v>4753588.0599999996</v>
      </c>
      <c r="H191">
        <v>10894414.92</v>
      </c>
      <c r="I191">
        <v>2.74</v>
      </c>
      <c r="J191">
        <v>4.6500000000000004</v>
      </c>
      <c r="K191" t="str">
        <f t="shared" si="2"/>
        <v>Oct 2020</v>
      </c>
    </row>
    <row r="192" spans="1:11" x14ac:dyDescent="0.25">
      <c r="A192" s="6">
        <v>45154</v>
      </c>
      <c r="B192" t="s">
        <v>10</v>
      </c>
      <c r="C192" t="s">
        <v>13</v>
      </c>
      <c r="D192" t="s">
        <v>17</v>
      </c>
      <c r="E192">
        <v>181</v>
      </c>
      <c r="F192" s="3">
        <v>8146094.54</v>
      </c>
      <c r="G192">
        <v>1854400.39</v>
      </c>
      <c r="H192">
        <v>6291694.1500000004</v>
      </c>
      <c r="I192">
        <v>4.76</v>
      </c>
      <c r="J192">
        <v>4.0599999999999996</v>
      </c>
      <c r="K192" t="str">
        <f t="shared" si="2"/>
        <v>Aug 2023</v>
      </c>
    </row>
    <row r="193" spans="1:11" x14ac:dyDescent="0.25">
      <c r="A193" s="6">
        <v>45506</v>
      </c>
      <c r="B193" t="s">
        <v>10</v>
      </c>
      <c r="C193" t="s">
        <v>18</v>
      </c>
      <c r="D193" t="s">
        <v>14</v>
      </c>
      <c r="E193">
        <v>415</v>
      </c>
      <c r="F193" s="3">
        <v>26544153.5</v>
      </c>
      <c r="G193">
        <v>6366616.4299999997</v>
      </c>
      <c r="H193">
        <v>20177537.07</v>
      </c>
      <c r="I193">
        <v>4.91</v>
      </c>
      <c r="J193">
        <v>4.76</v>
      </c>
      <c r="K193" t="str">
        <f t="shared" si="2"/>
        <v>Aug 2024</v>
      </c>
    </row>
    <row r="194" spans="1:11" x14ac:dyDescent="0.25">
      <c r="A194" s="6">
        <v>45446</v>
      </c>
      <c r="B194" t="s">
        <v>10</v>
      </c>
      <c r="C194" t="s">
        <v>13</v>
      </c>
      <c r="D194" t="s">
        <v>17</v>
      </c>
      <c r="E194">
        <v>440</v>
      </c>
      <c r="F194" s="3">
        <v>31345959.390000001</v>
      </c>
      <c r="G194">
        <v>12368513.779999999</v>
      </c>
      <c r="H194">
        <v>18977445.609999999</v>
      </c>
      <c r="I194">
        <v>1.5</v>
      </c>
      <c r="J194">
        <v>3.85</v>
      </c>
      <c r="K194" t="str">
        <f t="shared" ref="K194:K257" si="3">TEXT(A194,"mmm yyyy")</f>
        <v>Jun 2024</v>
      </c>
    </row>
    <row r="195" spans="1:11" x14ac:dyDescent="0.25">
      <c r="A195" s="6">
        <v>45038</v>
      </c>
      <c r="B195" t="s">
        <v>10</v>
      </c>
      <c r="C195" t="s">
        <v>16</v>
      </c>
      <c r="D195" t="s">
        <v>12</v>
      </c>
      <c r="E195">
        <v>492</v>
      </c>
      <c r="F195" s="3">
        <v>30899043.210000001</v>
      </c>
      <c r="G195">
        <v>8682328.4600000009</v>
      </c>
      <c r="H195">
        <v>22216714.75</v>
      </c>
      <c r="I195">
        <v>2.0299999999999998</v>
      </c>
      <c r="J195">
        <v>4.3499999999999996</v>
      </c>
      <c r="K195" t="str">
        <f t="shared" si="3"/>
        <v>Apr 2023</v>
      </c>
    </row>
    <row r="196" spans="1:11" x14ac:dyDescent="0.25">
      <c r="A196" s="6">
        <v>44238</v>
      </c>
      <c r="B196" t="s">
        <v>10</v>
      </c>
      <c r="C196" t="s">
        <v>15</v>
      </c>
      <c r="D196" t="s">
        <v>12</v>
      </c>
      <c r="E196">
        <v>100</v>
      </c>
      <c r="F196" s="3">
        <v>7090103.5899999999</v>
      </c>
      <c r="G196">
        <v>2498293.3199999998</v>
      </c>
      <c r="H196">
        <v>4591810.2699999996</v>
      </c>
      <c r="I196">
        <v>0.95</v>
      </c>
      <c r="J196">
        <v>3.86</v>
      </c>
      <c r="K196" t="str">
        <f t="shared" si="3"/>
        <v>Feb 2021</v>
      </c>
    </row>
    <row r="197" spans="1:11" x14ac:dyDescent="0.25">
      <c r="A197" s="6">
        <v>45235</v>
      </c>
      <c r="B197" t="s">
        <v>10</v>
      </c>
      <c r="C197" t="s">
        <v>15</v>
      </c>
      <c r="D197" t="s">
        <v>12</v>
      </c>
      <c r="E197">
        <v>127</v>
      </c>
      <c r="F197" s="3">
        <v>8658333.8499999996</v>
      </c>
      <c r="G197">
        <v>2066137.95</v>
      </c>
      <c r="H197">
        <v>6592195.9000000004</v>
      </c>
      <c r="I197">
        <v>4.83</v>
      </c>
      <c r="J197">
        <v>4.92</v>
      </c>
      <c r="K197" t="str">
        <f t="shared" si="3"/>
        <v>Nov 2023</v>
      </c>
    </row>
    <row r="198" spans="1:11" x14ac:dyDescent="0.25">
      <c r="A198" s="6">
        <v>43954</v>
      </c>
      <c r="B198" t="s">
        <v>10</v>
      </c>
      <c r="C198" t="s">
        <v>18</v>
      </c>
      <c r="D198" t="s">
        <v>17</v>
      </c>
      <c r="E198">
        <v>231</v>
      </c>
      <c r="F198" s="3">
        <v>10689325.470000001</v>
      </c>
      <c r="G198">
        <v>3649019.89</v>
      </c>
      <c r="H198">
        <v>7040305.5800000001</v>
      </c>
      <c r="I198">
        <v>4.53</v>
      </c>
      <c r="J198">
        <v>3.52</v>
      </c>
      <c r="K198" t="str">
        <f t="shared" si="3"/>
        <v>May 2020</v>
      </c>
    </row>
    <row r="199" spans="1:11" x14ac:dyDescent="0.25">
      <c r="A199" s="6">
        <v>44109</v>
      </c>
      <c r="B199" t="s">
        <v>10</v>
      </c>
      <c r="C199" t="s">
        <v>11</v>
      </c>
      <c r="D199" t="s">
        <v>14</v>
      </c>
      <c r="E199">
        <v>312</v>
      </c>
      <c r="F199" s="3">
        <v>23548123.16</v>
      </c>
      <c r="G199">
        <v>5424884.2999999998</v>
      </c>
      <c r="H199">
        <v>18123238.870000001</v>
      </c>
      <c r="I199">
        <v>1.05</v>
      </c>
      <c r="J199">
        <v>4.8099999999999996</v>
      </c>
      <c r="K199" t="str">
        <f t="shared" si="3"/>
        <v>Oct 2020</v>
      </c>
    </row>
    <row r="200" spans="1:11" x14ac:dyDescent="0.25">
      <c r="A200" s="6">
        <v>45211</v>
      </c>
      <c r="B200" t="s">
        <v>10</v>
      </c>
      <c r="C200" t="s">
        <v>13</v>
      </c>
      <c r="D200" t="s">
        <v>17</v>
      </c>
      <c r="E200">
        <v>334</v>
      </c>
      <c r="F200" s="3">
        <v>19431568.989999998</v>
      </c>
      <c r="G200">
        <v>4303425.21</v>
      </c>
      <c r="H200">
        <v>15128143.789999999</v>
      </c>
      <c r="I200">
        <v>4.18</v>
      </c>
      <c r="J200">
        <v>4.01</v>
      </c>
      <c r="K200" t="str">
        <f t="shared" si="3"/>
        <v>Oct 2023</v>
      </c>
    </row>
    <row r="201" spans="1:11" x14ac:dyDescent="0.25">
      <c r="A201" s="6">
        <v>44679</v>
      </c>
      <c r="B201" t="s">
        <v>10</v>
      </c>
      <c r="C201" t="s">
        <v>15</v>
      </c>
      <c r="D201" t="s">
        <v>14</v>
      </c>
      <c r="E201">
        <v>283</v>
      </c>
      <c r="F201" s="3">
        <v>22747795.609999999</v>
      </c>
      <c r="G201">
        <v>7447358.8899999997</v>
      </c>
      <c r="H201">
        <v>15300436.720000001</v>
      </c>
      <c r="I201">
        <v>0.65</v>
      </c>
      <c r="J201">
        <v>4.75</v>
      </c>
      <c r="K201" t="str">
        <f t="shared" si="3"/>
        <v>Apr 2022</v>
      </c>
    </row>
    <row r="202" spans="1:11" x14ac:dyDescent="0.25">
      <c r="A202" s="6">
        <v>45294</v>
      </c>
      <c r="B202" t="s">
        <v>10</v>
      </c>
      <c r="C202" t="s">
        <v>11</v>
      </c>
      <c r="D202" t="s">
        <v>12</v>
      </c>
      <c r="E202">
        <v>342</v>
      </c>
      <c r="F202" s="3">
        <v>19671033.18</v>
      </c>
      <c r="G202">
        <v>5696545.5899999999</v>
      </c>
      <c r="H202">
        <v>13974487.59</v>
      </c>
      <c r="I202">
        <v>2.46</v>
      </c>
      <c r="J202">
        <v>3.94</v>
      </c>
      <c r="K202" t="str">
        <f t="shared" si="3"/>
        <v>Jan 2024</v>
      </c>
    </row>
    <row r="203" spans="1:11" x14ac:dyDescent="0.25">
      <c r="A203" s="6">
        <v>44551</v>
      </c>
      <c r="B203" t="s">
        <v>10</v>
      </c>
      <c r="C203" t="s">
        <v>13</v>
      </c>
      <c r="D203" t="s">
        <v>14</v>
      </c>
      <c r="E203">
        <v>391</v>
      </c>
      <c r="F203" s="3">
        <v>30453712.449999999</v>
      </c>
      <c r="G203">
        <v>11485691.189999999</v>
      </c>
      <c r="H203">
        <v>18968021.260000002</v>
      </c>
      <c r="I203">
        <v>3.05</v>
      </c>
      <c r="J203">
        <v>4.9800000000000004</v>
      </c>
      <c r="K203" t="str">
        <f t="shared" si="3"/>
        <v>Dec 2021</v>
      </c>
    </row>
    <row r="204" spans="1:11" x14ac:dyDescent="0.25">
      <c r="A204" s="6">
        <v>45036</v>
      </c>
      <c r="B204" t="s">
        <v>10</v>
      </c>
      <c r="C204" t="s">
        <v>18</v>
      </c>
      <c r="D204" t="s">
        <v>17</v>
      </c>
      <c r="E204">
        <v>264</v>
      </c>
      <c r="F204" s="3">
        <v>20853898.32</v>
      </c>
      <c r="G204">
        <v>6568087.4900000002</v>
      </c>
      <c r="H204">
        <v>14285810.83</v>
      </c>
      <c r="I204">
        <v>0.6</v>
      </c>
      <c r="J204">
        <v>3.9</v>
      </c>
      <c r="K204" t="str">
        <f t="shared" si="3"/>
        <v>Apr 2023</v>
      </c>
    </row>
    <row r="205" spans="1:11" x14ac:dyDescent="0.25">
      <c r="A205" s="6">
        <v>45281</v>
      </c>
      <c r="B205" t="s">
        <v>10</v>
      </c>
      <c r="C205" t="s">
        <v>16</v>
      </c>
      <c r="D205" t="s">
        <v>12</v>
      </c>
      <c r="E205">
        <v>89</v>
      </c>
      <c r="F205" s="3">
        <v>6535850.4500000002</v>
      </c>
      <c r="G205">
        <v>2088138.8</v>
      </c>
      <c r="H205">
        <v>4447711.6500000004</v>
      </c>
      <c r="I205">
        <v>1.48</v>
      </c>
      <c r="J205">
        <v>4.47</v>
      </c>
      <c r="K205" t="str">
        <f t="shared" si="3"/>
        <v>Dec 2023</v>
      </c>
    </row>
    <row r="206" spans="1:11" x14ac:dyDescent="0.25">
      <c r="A206" s="6">
        <v>44009</v>
      </c>
      <c r="B206" t="s">
        <v>10</v>
      </c>
      <c r="C206" t="s">
        <v>11</v>
      </c>
      <c r="D206" t="s">
        <v>17</v>
      </c>
      <c r="E206">
        <v>53</v>
      </c>
      <c r="F206" s="3">
        <v>2240585.16</v>
      </c>
      <c r="G206">
        <v>492672.28</v>
      </c>
      <c r="H206">
        <v>1747912.88</v>
      </c>
      <c r="I206">
        <v>3.61</v>
      </c>
      <c r="J206">
        <v>4.5199999999999996</v>
      </c>
      <c r="K206" t="str">
        <f t="shared" si="3"/>
        <v>Jun 2020</v>
      </c>
    </row>
    <row r="207" spans="1:11" x14ac:dyDescent="0.25">
      <c r="A207" s="6">
        <v>45239</v>
      </c>
      <c r="B207" t="s">
        <v>10</v>
      </c>
      <c r="C207" t="s">
        <v>15</v>
      </c>
      <c r="D207" t="s">
        <v>12</v>
      </c>
      <c r="E207">
        <v>375</v>
      </c>
      <c r="F207" s="3">
        <v>31982412.890000001</v>
      </c>
      <c r="G207">
        <v>12039772.4</v>
      </c>
      <c r="H207">
        <v>19942640.48</v>
      </c>
      <c r="I207">
        <v>3.09</v>
      </c>
      <c r="J207">
        <v>3.91</v>
      </c>
      <c r="K207" t="str">
        <f t="shared" si="3"/>
        <v>Nov 2023</v>
      </c>
    </row>
    <row r="208" spans="1:11" x14ac:dyDescent="0.25">
      <c r="A208" s="6">
        <v>45307</v>
      </c>
      <c r="B208" t="s">
        <v>10</v>
      </c>
      <c r="C208" t="s">
        <v>16</v>
      </c>
      <c r="D208" t="s">
        <v>12</v>
      </c>
      <c r="E208">
        <v>66</v>
      </c>
      <c r="F208" s="3">
        <v>3781050.56</v>
      </c>
      <c r="G208">
        <v>1136232.24</v>
      </c>
      <c r="H208">
        <v>2644818.3199999998</v>
      </c>
      <c r="I208">
        <v>3.74</v>
      </c>
      <c r="J208">
        <v>3.66</v>
      </c>
      <c r="K208" t="str">
        <f t="shared" si="3"/>
        <v>Jan 2024</v>
      </c>
    </row>
    <row r="209" spans="1:11" x14ac:dyDescent="0.25">
      <c r="A209" s="6">
        <v>44571</v>
      </c>
      <c r="B209" t="s">
        <v>10</v>
      </c>
      <c r="C209" t="s">
        <v>15</v>
      </c>
      <c r="D209" t="s">
        <v>12</v>
      </c>
      <c r="E209">
        <v>391</v>
      </c>
      <c r="F209" s="3">
        <v>16628725.470000001</v>
      </c>
      <c r="G209">
        <v>3658257.61</v>
      </c>
      <c r="H209">
        <v>12970467.869999999</v>
      </c>
      <c r="I209">
        <v>4.43</v>
      </c>
      <c r="J209">
        <v>4.4000000000000004</v>
      </c>
      <c r="K209" t="str">
        <f t="shared" si="3"/>
        <v>Jan 2022</v>
      </c>
    </row>
    <row r="210" spans="1:11" x14ac:dyDescent="0.25">
      <c r="A210" s="6">
        <v>45431</v>
      </c>
      <c r="B210" t="s">
        <v>10</v>
      </c>
      <c r="C210" t="s">
        <v>15</v>
      </c>
      <c r="D210" t="s">
        <v>17</v>
      </c>
      <c r="E210">
        <v>317</v>
      </c>
      <c r="F210" s="3">
        <v>22133064.73</v>
      </c>
      <c r="G210">
        <v>6665266.8700000001</v>
      </c>
      <c r="H210">
        <v>15467797.869999999</v>
      </c>
      <c r="I210">
        <v>3.08</v>
      </c>
      <c r="J210">
        <v>4.76</v>
      </c>
      <c r="K210" t="str">
        <f t="shared" si="3"/>
        <v>May 2024</v>
      </c>
    </row>
    <row r="211" spans="1:11" x14ac:dyDescent="0.25">
      <c r="A211" s="6">
        <v>45338</v>
      </c>
      <c r="B211" t="s">
        <v>10</v>
      </c>
      <c r="C211" t="s">
        <v>11</v>
      </c>
      <c r="D211" t="s">
        <v>17</v>
      </c>
      <c r="E211">
        <v>239</v>
      </c>
      <c r="F211" s="3">
        <v>15186173.24</v>
      </c>
      <c r="G211">
        <v>5931822.6299999999</v>
      </c>
      <c r="H211">
        <v>9254350.5999999996</v>
      </c>
      <c r="I211">
        <v>1.25</v>
      </c>
      <c r="J211">
        <v>4.6100000000000003</v>
      </c>
      <c r="K211" t="str">
        <f t="shared" si="3"/>
        <v>Feb 2024</v>
      </c>
    </row>
    <row r="212" spans="1:11" x14ac:dyDescent="0.25">
      <c r="A212" s="6">
        <v>43900</v>
      </c>
      <c r="B212" t="s">
        <v>10</v>
      </c>
      <c r="C212" t="s">
        <v>15</v>
      </c>
      <c r="D212" t="s">
        <v>12</v>
      </c>
      <c r="E212">
        <v>356</v>
      </c>
      <c r="F212" s="3">
        <v>14228797.689999999</v>
      </c>
      <c r="G212">
        <v>3497478.52</v>
      </c>
      <c r="H212">
        <v>10731319.16</v>
      </c>
      <c r="I212">
        <v>0.81</v>
      </c>
      <c r="J212">
        <v>4.76</v>
      </c>
      <c r="K212" t="str">
        <f t="shared" si="3"/>
        <v>Mar 2020</v>
      </c>
    </row>
    <row r="213" spans="1:11" x14ac:dyDescent="0.25">
      <c r="A213" s="6">
        <v>44070</v>
      </c>
      <c r="B213" t="s">
        <v>10</v>
      </c>
      <c r="C213" t="s">
        <v>15</v>
      </c>
      <c r="D213" t="s">
        <v>17</v>
      </c>
      <c r="E213">
        <v>60</v>
      </c>
      <c r="F213" s="3">
        <v>3273719.96</v>
      </c>
      <c r="G213">
        <v>838697</v>
      </c>
      <c r="H213">
        <v>2435022.9700000002</v>
      </c>
      <c r="I213">
        <v>1.84</v>
      </c>
      <c r="J213">
        <v>4.3499999999999996</v>
      </c>
      <c r="K213" t="str">
        <f t="shared" si="3"/>
        <v>Aug 2020</v>
      </c>
    </row>
    <row r="214" spans="1:11" x14ac:dyDescent="0.25">
      <c r="A214" s="6">
        <v>44763</v>
      </c>
      <c r="B214" t="s">
        <v>10</v>
      </c>
      <c r="C214" t="s">
        <v>11</v>
      </c>
      <c r="D214" t="s">
        <v>14</v>
      </c>
      <c r="E214">
        <v>147</v>
      </c>
      <c r="F214" s="3">
        <v>8351910.1799999997</v>
      </c>
      <c r="G214">
        <v>1747074.39</v>
      </c>
      <c r="H214">
        <v>6604835.79</v>
      </c>
      <c r="I214">
        <v>1.1100000000000001</v>
      </c>
      <c r="J214">
        <v>4.2300000000000004</v>
      </c>
      <c r="K214" t="str">
        <f t="shared" si="3"/>
        <v>Jul 2022</v>
      </c>
    </row>
    <row r="215" spans="1:11" x14ac:dyDescent="0.25">
      <c r="A215" s="6">
        <v>45351</v>
      </c>
      <c r="B215" t="s">
        <v>10</v>
      </c>
      <c r="C215" t="s">
        <v>18</v>
      </c>
      <c r="D215" t="s">
        <v>14</v>
      </c>
      <c r="E215">
        <v>299</v>
      </c>
      <c r="F215" s="3">
        <v>10977806.66</v>
      </c>
      <c r="G215">
        <v>3815305.87</v>
      </c>
      <c r="H215">
        <v>7162500.79</v>
      </c>
      <c r="I215">
        <v>3.18</v>
      </c>
      <c r="J215">
        <v>3.58</v>
      </c>
      <c r="K215" t="str">
        <f t="shared" si="3"/>
        <v>Feb 2024</v>
      </c>
    </row>
    <row r="216" spans="1:11" x14ac:dyDescent="0.25">
      <c r="A216" s="6">
        <v>45280</v>
      </c>
      <c r="B216" t="s">
        <v>10</v>
      </c>
      <c r="C216" t="s">
        <v>16</v>
      </c>
      <c r="D216" t="s">
        <v>12</v>
      </c>
      <c r="E216">
        <v>495</v>
      </c>
      <c r="F216" s="3">
        <v>43331308.609999999</v>
      </c>
      <c r="G216">
        <v>15992094.189999999</v>
      </c>
      <c r="H216">
        <v>27339214.420000002</v>
      </c>
      <c r="I216">
        <v>3.3</v>
      </c>
      <c r="J216">
        <v>4.21</v>
      </c>
      <c r="K216" t="str">
        <f t="shared" si="3"/>
        <v>Dec 2023</v>
      </c>
    </row>
    <row r="217" spans="1:11" x14ac:dyDescent="0.25">
      <c r="A217" s="6">
        <v>44976</v>
      </c>
      <c r="B217" t="s">
        <v>10</v>
      </c>
      <c r="C217" t="s">
        <v>18</v>
      </c>
      <c r="D217" t="s">
        <v>17</v>
      </c>
      <c r="E217">
        <v>122</v>
      </c>
      <c r="F217" s="3">
        <v>4774174.5199999996</v>
      </c>
      <c r="G217">
        <v>1214369.77</v>
      </c>
      <c r="H217">
        <v>3559804.75</v>
      </c>
      <c r="I217">
        <v>2.73</v>
      </c>
      <c r="J217">
        <v>4.53</v>
      </c>
      <c r="K217" t="str">
        <f t="shared" si="3"/>
        <v>Feb 2023</v>
      </c>
    </row>
    <row r="218" spans="1:11" x14ac:dyDescent="0.25">
      <c r="A218" s="6">
        <v>44839</v>
      </c>
      <c r="B218" t="s">
        <v>10</v>
      </c>
      <c r="C218" t="s">
        <v>18</v>
      </c>
      <c r="D218" t="s">
        <v>14</v>
      </c>
      <c r="E218">
        <v>91</v>
      </c>
      <c r="F218" s="3">
        <v>5485705.9699999997</v>
      </c>
      <c r="G218">
        <v>2110972.7200000002</v>
      </c>
      <c r="H218">
        <v>3374733.26</v>
      </c>
      <c r="I218">
        <v>0.85</v>
      </c>
      <c r="J218">
        <v>3.5</v>
      </c>
      <c r="K218" t="str">
        <f t="shared" si="3"/>
        <v>Oct 2022</v>
      </c>
    </row>
    <row r="219" spans="1:11" x14ac:dyDescent="0.25">
      <c r="A219" s="6">
        <v>44675</v>
      </c>
      <c r="B219" t="s">
        <v>10</v>
      </c>
      <c r="C219" t="s">
        <v>18</v>
      </c>
      <c r="D219" t="s">
        <v>14</v>
      </c>
      <c r="E219">
        <v>484</v>
      </c>
      <c r="F219" s="3">
        <v>24184503.550000001</v>
      </c>
      <c r="G219">
        <v>6818914.29</v>
      </c>
      <c r="H219">
        <v>17365589.260000002</v>
      </c>
      <c r="I219">
        <v>2.12</v>
      </c>
      <c r="J219">
        <v>3.64</v>
      </c>
      <c r="K219" t="str">
        <f t="shared" si="3"/>
        <v>Apr 2022</v>
      </c>
    </row>
    <row r="220" spans="1:11" x14ac:dyDescent="0.25">
      <c r="A220" s="6">
        <v>45627</v>
      </c>
      <c r="B220" t="s">
        <v>10</v>
      </c>
      <c r="C220" t="s">
        <v>11</v>
      </c>
      <c r="D220" t="s">
        <v>12</v>
      </c>
      <c r="E220">
        <v>354</v>
      </c>
      <c r="F220" s="3">
        <v>15053858.74</v>
      </c>
      <c r="G220">
        <v>3160595.72</v>
      </c>
      <c r="H220">
        <v>11893263.029999999</v>
      </c>
      <c r="I220">
        <v>2.5099999999999998</v>
      </c>
      <c r="J220">
        <v>3.78</v>
      </c>
      <c r="K220" t="str">
        <f t="shared" si="3"/>
        <v>Dec 2024</v>
      </c>
    </row>
    <row r="221" spans="1:11" x14ac:dyDescent="0.25">
      <c r="A221" s="6">
        <v>44570</v>
      </c>
      <c r="B221" t="s">
        <v>10</v>
      </c>
      <c r="C221" t="s">
        <v>13</v>
      </c>
      <c r="D221" t="s">
        <v>14</v>
      </c>
      <c r="E221">
        <v>367</v>
      </c>
      <c r="F221" s="3">
        <v>32185677.460000001</v>
      </c>
      <c r="G221">
        <v>7992396.2599999998</v>
      </c>
      <c r="H221">
        <v>24193281.199999999</v>
      </c>
      <c r="I221">
        <v>3.38</v>
      </c>
      <c r="J221">
        <v>4.6399999999999997</v>
      </c>
      <c r="K221" t="str">
        <f t="shared" si="3"/>
        <v>Jan 2022</v>
      </c>
    </row>
    <row r="222" spans="1:11" x14ac:dyDescent="0.25">
      <c r="A222" s="6">
        <v>44703</v>
      </c>
      <c r="B222" t="s">
        <v>10</v>
      </c>
      <c r="C222" t="s">
        <v>16</v>
      </c>
      <c r="D222" t="s">
        <v>17</v>
      </c>
      <c r="E222">
        <v>423</v>
      </c>
      <c r="F222" s="3">
        <v>29630192.699999999</v>
      </c>
      <c r="G222">
        <v>6041141.1699999999</v>
      </c>
      <c r="H222">
        <v>23589051.530000001</v>
      </c>
      <c r="I222">
        <v>4.57</v>
      </c>
      <c r="J222">
        <v>4.47</v>
      </c>
      <c r="K222" t="str">
        <f t="shared" si="3"/>
        <v>May 2022</v>
      </c>
    </row>
    <row r="223" spans="1:11" x14ac:dyDescent="0.25">
      <c r="A223" s="6">
        <v>45626</v>
      </c>
      <c r="B223" t="s">
        <v>10</v>
      </c>
      <c r="C223" t="s">
        <v>13</v>
      </c>
      <c r="D223" t="s">
        <v>12</v>
      </c>
      <c r="E223">
        <v>108</v>
      </c>
      <c r="F223" s="3">
        <v>9646747.9700000007</v>
      </c>
      <c r="G223">
        <v>2037278.68</v>
      </c>
      <c r="H223">
        <v>7609469.2800000003</v>
      </c>
      <c r="I223">
        <v>0.68</v>
      </c>
      <c r="J223">
        <v>4.5599999999999996</v>
      </c>
      <c r="K223" t="str">
        <f t="shared" si="3"/>
        <v>Nov 2024</v>
      </c>
    </row>
    <row r="224" spans="1:11" x14ac:dyDescent="0.25">
      <c r="A224" s="6">
        <v>43899</v>
      </c>
      <c r="B224" t="s">
        <v>10</v>
      </c>
      <c r="C224" t="s">
        <v>11</v>
      </c>
      <c r="D224" t="s">
        <v>14</v>
      </c>
      <c r="E224">
        <v>248</v>
      </c>
      <c r="F224" s="3">
        <v>22311181.73</v>
      </c>
      <c r="G224">
        <v>6444332.3600000003</v>
      </c>
      <c r="H224">
        <v>15866849.369999999</v>
      </c>
      <c r="I224">
        <v>2.63</v>
      </c>
      <c r="J224">
        <v>3.97</v>
      </c>
      <c r="K224" t="str">
        <f t="shared" si="3"/>
        <v>Mar 2020</v>
      </c>
    </row>
    <row r="225" spans="1:11" x14ac:dyDescent="0.25">
      <c r="A225" s="6">
        <v>44377</v>
      </c>
      <c r="B225" t="s">
        <v>10</v>
      </c>
      <c r="C225" t="s">
        <v>13</v>
      </c>
      <c r="D225" t="s">
        <v>12</v>
      </c>
      <c r="E225">
        <v>384</v>
      </c>
      <c r="F225" s="3">
        <v>28169516.039999999</v>
      </c>
      <c r="G225">
        <v>9592570.8900000006</v>
      </c>
      <c r="H225">
        <v>18576945.149999999</v>
      </c>
      <c r="I225">
        <v>4.66</v>
      </c>
      <c r="J225">
        <v>4.96</v>
      </c>
      <c r="K225" t="str">
        <f t="shared" si="3"/>
        <v>Jun 2021</v>
      </c>
    </row>
    <row r="226" spans="1:11" x14ac:dyDescent="0.25">
      <c r="A226" s="6">
        <v>44768</v>
      </c>
      <c r="B226" t="s">
        <v>10</v>
      </c>
      <c r="C226" t="s">
        <v>18</v>
      </c>
      <c r="D226" t="s">
        <v>12</v>
      </c>
      <c r="E226">
        <v>264</v>
      </c>
      <c r="F226" s="3">
        <v>20788363.489999998</v>
      </c>
      <c r="G226">
        <v>5217610.87</v>
      </c>
      <c r="H226">
        <v>15570752.619999999</v>
      </c>
      <c r="I226">
        <v>0.75</v>
      </c>
      <c r="J226">
        <v>4.18</v>
      </c>
      <c r="K226" t="str">
        <f t="shared" si="3"/>
        <v>Jul 2022</v>
      </c>
    </row>
    <row r="227" spans="1:11" x14ac:dyDescent="0.25">
      <c r="A227" s="6">
        <v>44562</v>
      </c>
      <c r="B227" t="s">
        <v>10</v>
      </c>
      <c r="C227" t="s">
        <v>13</v>
      </c>
      <c r="D227" t="s">
        <v>17</v>
      </c>
      <c r="E227">
        <v>492</v>
      </c>
      <c r="F227" s="3">
        <v>39650452.729999997</v>
      </c>
      <c r="G227">
        <v>15566707.199999999</v>
      </c>
      <c r="H227">
        <v>24083745.530000001</v>
      </c>
      <c r="I227">
        <v>3.18</v>
      </c>
      <c r="J227">
        <v>3.85</v>
      </c>
      <c r="K227" t="str">
        <f t="shared" si="3"/>
        <v>Jan 2022</v>
      </c>
    </row>
    <row r="228" spans="1:11" x14ac:dyDescent="0.25">
      <c r="A228" s="6">
        <v>44817</v>
      </c>
      <c r="B228" t="s">
        <v>10</v>
      </c>
      <c r="C228" t="s">
        <v>13</v>
      </c>
      <c r="D228" t="s">
        <v>17</v>
      </c>
      <c r="E228">
        <v>237</v>
      </c>
      <c r="F228" s="3">
        <v>14565641.66</v>
      </c>
      <c r="G228">
        <v>3248142.88</v>
      </c>
      <c r="H228">
        <v>11317498.779999999</v>
      </c>
      <c r="I228">
        <v>2.89</v>
      </c>
      <c r="J228">
        <v>4.16</v>
      </c>
      <c r="K228" t="str">
        <f t="shared" si="3"/>
        <v>Sep 2022</v>
      </c>
    </row>
    <row r="229" spans="1:11" x14ac:dyDescent="0.25">
      <c r="A229" s="6">
        <v>44656</v>
      </c>
      <c r="B229" t="s">
        <v>10</v>
      </c>
      <c r="C229" t="s">
        <v>15</v>
      </c>
      <c r="D229" t="s">
        <v>12</v>
      </c>
      <c r="E229">
        <v>413</v>
      </c>
      <c r="F229" s="3">
        <v>27457696.559999999</v>
      </c>
      <c r="G229">
        <v>6568007.4299999997</v>
      </c>
      <c r="H229">
        <v>20889689.120000001</v>
      </c>
      <c r="I229">
        <v>2.92</v>
      </c>
      <c r="J229">
        <v>4.49</v>
      </c>
      <c r="K229" t="str">
        <f t="shared" si="3"/>
        <v>Apr 2022</v>
      </c>
    </row>
    <row r="230" spans="1:11" x14ac:dyDescent="0.25">
      <c r="A230" s="6">
        <v>45464</v>
      </c>
      <c r="B230" t="s">
        <v>10</v>
      </c>
      <c r="C230" t="s">
        <v>11</v>
      </c>
      <c r="D230" t="s">
        <v>17</v>
      </c>
      <c r="E230">
        <v>446</v>
      </c>
      <c r="F230" s="3">
        <v>30963115.460000001</v>
      </c>
      <c r="G230">
        <v>6898719.9199999999</v>
      </c>
      <c r="H230">
        <v>24064395.539999999</v>
      </c>
      <c r="I230">
        <v>3.27</v>
      </c>
      <c r="J230">
        <v>3.85</v>
      </c>
      <c r="K230" t="str">
        <f t="shared" si="3"/>
        <v>Jun 2024</v>
      </c>
    </row>
    <row r="231" spans="1:11" x14ac:dyDescent="0.25">
      <c r="A231" s="6">
        <v>44132</v>
      </c>
      <c r="B231" t="s">
        <v>10</v>
      </c>
      <c r="C231" t="s">
        <v>11</v>
      </c>
      <c r="D231" t="s">
        <v>17</v>
      </c>
      <c r="E231">
        <v>360</v>
      </c>
      <c r="F231" s="3">
        <v>21746468.440000001</v>
      </c>
      <c r="G231">
        <v>4391302.1500000004</v>
      </c>
      <c r="H231">
        <v>17355166.289999999</v>
      </c>
      <c r="I231">
        <v>0.5</v>
      </c>
      <c r="J231">
        <v>3.78</v>
      </c>
      <c r="K231" t="str">
        <f t="shared" si="3"/>
        <v>Oct 2020</v>
      </c>
    </row>
    <row r="232" spans="1:11" x14ac:dyDescent="0.25">
      <c r="A232" s="6">
        <v>43839</v>
      </c>
      <c r="B232" t="s">
        <v>10</v>
      </c>
      <c r="C232" t="s">
        <v>16</v>
      </c>
      <c r="D232" t="s">
        <v>14</v>
      </c>
      <c r="E232">
        <v>323</v>
      </c>
      <c r="F232" s="3">
        <v>27987537.66</v>
      </c>
      <c r="G232">
        <v>6723819.8899999997</v>
      </c>
      <c r="H232">
        <v>21263717.780000001</v>
      </c>
      <c r="I232">
        <v>4.99</v>
      </c>
      <c r="J232">
        <v>4.03</v>
      </c>
      <c r="K232" t="str">
        <f t="shared" si="3"/>
        <v>Jan 2020</v>
      </c>
    </row>
    <row r="233" spans="1:11" x14ac:dyDescent="0.25">
      <c r="A233" s="6">
        <v>44778</v>
      </c>
      <c r="B233" t="s">
        <v>10</v>
      </c>
      <c r="C233" t="s">
        <v>11</v>
      </c>
      <c r="D233" t="s">
        <v>12</v>
      </c>
      <c r="E233">
        <v>495</v>
      </c>
      <c r="F233" s="3">
        <v>19735594.350000001</v>
      </c>
      <c r="G233">
        <v>7745838.8099999996</v>
      </c>
      <c r="H233">
        <v>11989755.550000001</v>
      </c>
      <c r="I233">
        <v>2.66</v>
      </c>
      <c r="J233">
        <v>4.37</v>
      </c>
      <c r="K233" t="str">
        <f t="shared" si="3"/>
        <v>Aug 2022</v>
      </c>
    </row>
    <row r="234" spans="1:11" x14ac:dyDescent="0.25">
      <c r="A234" s="6">
        <v>43889</v>
      </c>
      <c r="B234" t="s">
        <v>10</v>
      </c>
      <c r="C234" t="s">
        <v>13</v>
      </c>
      <c r="D234" t="s">
        <v>17</v>
      </c>
      <c r="E234">
        <v>285</v>
      </c>
      <c r="F234" s="3">
        <v>25400508.379999999</v>
      </c>
      <c r="G234">
        <v>6257296.29</v>
      </c>
      <c r="H234">
        <v>19143212.09</v>
      </c>
      <c r="I234">
        <v>2.38</v>
      </c>
      <c r="J234">
        <v>4.13</v>
      </c>
      <c r="K234" t="str">
        <f t="shared" si="3"/>
        <v>Feb 2020</v>
      </c>
    </row>
    <row r="235" spans="1:11" x14ac:dyDescent="0.25">
      <c r="A235" s="6">
        <v>45371</v>
      </c>
      <c r="B235" t="s">
        <v>10</v>
      </c>
      <c r="C235" t="s">
        <v>11</v>
      </c>
      <c r="D235" t="s">
        <v>12</v>
      </c>
      <c r="E235">
        <v>438</v>
      </c>
      <c r="F235" s="3">
        <v>32970427.84</v>
      </c>
      <c r="G235">
        <v>13166104.939999999</v>
      </c>
      <c r="H235">
        <v>19804322.899999999</v>
      </c>
      <c r="I235">
        <v>2.6</v>
      </c>
      <c r="J235">
        <v>3.95</v>
      </c>
      <c r="K235" t="str">
        <f t="shared" si="3"/>
        <v>Mar 2024</v>
      </c>
    </row>
    <row r="236" spans="1:11" x14ac:dyDescent="0.25">
      <c r="A236" s="6">
        <v>44198</v>
      </c>
      <c r="B236" t="s">
        <v>10</v>
      </c>
      <c r="C236" t="s">
        <v>15</v>
      </c>
      <c r="D236" t="s">
        <v>12</v>
      </c>
      <c r="E236">
        <v>373</v>
      </c>
      <c r="F236" s="3">
        <v>27734576.260000002</v>
      </c>
      <c r="G236">
        <v>7826095.3899999997</v>
      </c>
      <c r="H236">
        <v>19908480.870000001</v>
      </c>
      <c r="I236">
        <v>1.75</v>
      </c>
      <c r="J236">
        <v>4.87</v>
      </c>
      <c r="K236" t="str">
        <f t="shared" si="3"/>
        <v>Jan 2021</v>
      </c>
    </row>
    <row r="237" spans="1:11" x14ac:dyDescent="0.25">
      <c r="A237" s="6">
        <v>43928</v>
      </c>
      <c r="B237" t="s">
        <v>10</v>
      </c>
      <c r="C237" t="s">
        <v>16</v>
      </c>
      <c r="D237" t="s">
        <v>12</v>
      </c>
      <c r="E237">
        <v>122</v>
      </c>
      <c r="F237" s="3">
        <v>5004527.59</v>
      </c>
      <c r="G237">
        <v>1609826.27</v>
      </c>
      <c r="H237">
        <v>3394701.32</v>
      </c>
      <c r="I237">
        <v>1.06</v>
      </c>
      <c r="J237">
        <v>4.93</v>
      </c>
      <c r="K237" t="str">
        <f t="shared" si="3"/>
        <v>Apr 2020</v>
      </c>
    </row>
    <row r="238" spans="1:11" x14ac:dyDescent="0.25">
      <c r="A238" s="6">
        <v>45031</v>
      </c>
      <c r="B238" t="s">
        <v>10</v>
      </c>
      <c r="C238" t="s">
        <v>16</v>
      </c>
      <c r="D238" t="s">
        <v>14</v>
      </c>
      <c r="E238">
        <v>342</v>
      </c>
      <c r="F238" s="3">
        <v>26761149.719999999</v>
      </c>
      <c r="G238">
        <v>10225911.640000001</v>
      </c>
      <c r="H238">
        <v>16535238.08</v>
      </c>
      <c r="I238">
        <v>2.38</v>
      </c>
      <c r="J238">
        <v>4.82</v>
      </c>
      <c r="K238" t="str">
        <f t="shared" si="3"/>
        <v>Apr 2023</v>
      </c>
    </row>
    <row r="239" spans="1:11" x14ac:dyDescent="0.25">
      <c r="A239" s="6">
        <v>44802</v>
      </c>
      <c r="B239" t="s">
        <v>10</v>
      </c>
      <c r="C239" t="s">
        <v>13</v>
      </c>
      <c r="D239" t="s">
        <v>12</v>
      </c>
      <c r="E239">
        <v>351</v>
      </c>
      <c r="F239" s="3">
        <v>23883414.010000002</v>
      </c>
      <c r="G239">
        <v>5236562.87</v>
      </c>
      <c r="H239">
        <v>18646851.140000001</v>
      </c>
      <c r="I239">
        <v>4.95</v>
      </c>
      <c r="J239">
        <v>4.62</v>
      </c>
      <c r="K239" t="str">
        <f t="shared" si="3"/>
        <v>Aug 2022</v>
      </c>
    </row>
    <row r="240" spans="1:11" x14ac:dyDescent="0.25">
      <c r="A240" s="6">
        <v>45450</v>
      </c>
      <c r="B240" t="s">
        <v>10</v>
      </c>
      <c r="C240" t="s">
        <v>16</v>
      </c>
      <c r="D240" t="s">
        <v>17</v>
      </c>
      <c r="E240">
        <v>309</v>
      </c>
      <c r="F240" s="3">
        <v>14752260.57</v>
      </c>
      <c r="G240">
        <v>3119419.27</v>
      </c>
      <c r="H240">
        <v>11632841.289999999</v>
      </c>
      <c r="I240">
        <v>3.42</v>
      </c>
      <c r="J240">
        <v>4.41</v>
      </c>
      <c r="K240" t="str">
        <f t="shared" si="3"/>
        <v>Jun 2024</v>
      </c>
    </row>
    <row r="241" spans="1:11" x14ac:dyDescent="0.25">
      <c r="A241" s="6">
        <v>44405</v>
      </c>
      <c r="B241" t="s">
        <v>10</v>
      </c>
      <c r="C241" t="s">
        <v>15</v>
      </c>
      <c r="D241" t="s">
        <v>12</v>
      </c>
      <c r="E241">
        <v>415</v>
      </c>
      <c r="F241" s="3">
        <v>19790038.449999999</v>
      </c>
      <c r="G241">
        <v>7217316.0700000003</v>
      </c>
      <c r="H241">
        <v>12572722.380000001</v>
      </c>
      <c r="I241">
        <v>1.49</v>
      </c>
      <c r="J241">
        <v>3.78</v>
      </c>
      <c r="K241" t="str">
        <f t="shared" si="3"/>
        <v>Jul 2021</v>
      </c>
    </row>
    <row r="242" spans="1:11" x14ac:dyDescent="0.25">
      <c r="A242" s="6">
        <v>44715</v>
      </c>
      <c r="B242" t="s">
        <v>10</v>
      </c>
      <c r="C242" t="s">
        <v>15</v>
      </c>
      <c r="D242" t="s">
        <v>17</v>
      </c>
      <c r="E242">
        <v>308</v>
      </c>
      <c r="F242" s="3">
        <v>24775924.489999998</v>
      </c>
      <c r="G242">
        <v>5942407.9299999997</v>
      </c>
      <c r="H242">
        <v>18833516.550000001</v>
      </c>
      <c r="I242">
        <v>3.33</v>
      </c>
      <c r="J242">
        <v>3.82</v>
      </c>
      <c r="K242" t="str">
        <f t="shared" si="3"/>
        <v>Jun 2022</v>
      </c>
    </row>
    <row r="243" spans="1:11" x14ac:dyDescent="0.25">
      <c r="A243" s="6">
        <v>45194</v>
      </c>
      <c r="B243" t="s">
        <v>10</v>
      </c>
      <c r="C243" t="s">
        <v>11</v>
      </c>
      <c r="D243" t="s">
        <v>14</v>
      </c>
      <c r="E243">
        <v>58</v>
      </c>
      <c r="F243" s="3">
        <v>4989529.78</v>
      </c>
      <c r="G243">
        <v>1002987.47</v>
      </c>
      <c r="H243">
        <v>3986542.31</v>
      </c>
      <c r="I243">
        <v>1.28</v>
      </c>
      <c r="J243">
        <v>4.09</v>
      </c>
      <c r="K243" t="str">
        <f t="shared" si="3"/>
        <v>Sep 2023</v>
      </c>
    </row>
    <row r="244" spans="1:11" x14ac:dyDescent="0.25">
      <c r="A244" s="6">
        <v>44394</v>
      </c>
      <c r="B244" t="s">
        <v>10</v>
      </c>
      <c r="C244" t="s">
        <v>11</v>
      </c>
      <c r="D244" t="s">
        <v>12</v>
      </c>
      <c r="E244">
        <v>227</v>
      </c>
      <c r="F244" s="3">
        <v>14077461.470000001</v>
      </c>
      <c r="G244">
        <v>2825808.89</v>
      </c>
      <c r="H244">
        <v>11251652.58</v>
      </c>
      <c r="I244">
        <v>4.54</v>
      </c>
      <c r="J244">
        <v>4.2</v>
      </c>
      <c r="K244" t="str">
        <f t="shared" si="3"/>
        <v>Jul 2021</v>
      </c>
    </row>
    <row r="245" spans="1:11" x14ac:dyDescent="0.25">
      <c r="A245" s="6">
        <v>44488</v>
      </c>
      <c r="B245" t="s">
        <v>10</v>
      </c>
      <c r="C245" t="s">
        <v>18</v>
      </c>
      <c r="D245" t="s">
        <v>14</v>
      </c>
      <c r="E245">
        <v>318</v>
      </c>
      <c r="F245" s="3">
        <v>15044570.08</v>
      </c>
      <c r="G245">
        <v>4402118.17</v>
      </c>
      <c r="H245">
        <v>10642451.92</v>
      </c>
      <c r="I245">
        <v>3.17</v>
      </c>
      <c r="J245">
        <v>4.37</v>
      </c>
      <c r="K245" t="str">
        <f t="shared" si="3"/>
        <v>Oct 2021</v>
      </c>
    </row>
    <row r="246" spans="1:11" x14ac:dyDescent="0.25">
      <c r="A246" s="6">
        <v>44465</v>
      </c>
      <c r="B246" t="s">
        <v>10</v>
      </c>
      <c r="C246" t="s">
        <v>15</v>
      </c>
      <c r="D246" t="s">
        <v>14</v>
      </c>
      <c r="E246">
        <v>147</v>
      </c>
      <c r="F246" s="3">
        <v>8843338.5099999998</v>
      </c>
      <c r="G246">
        <v>2845486.07</v>
      </c>
      <c r="H246">
        <v>5997852.4400000004</v>
      </c>
      <c r="I246">
        <v>1.73</v>
      </c>
      <c r="J246">
        <v>4.22</v>
      </c>
      <c r="K246" t="str">
        <f t="shared" si="3"/>
        <v>Sep 2021</v>
      </c>
    </row>
    <row r="247" spans="1:11" x14ac:dyDescent="0.25">
      <c r="A247" s="6">
        <v>44802</v>
      </c>
      <c r="B247" t="s">
        <v>10</v>
      </c>
      <c r="C247" t="s">
        <v>11</v>
      </c>
      <c r="D247" t="s">
        <v>14</v>
      </c>
      <c r="E247">
        <v>244</v>
      </c>
      <c r="F247" s="3">
        <v>21364843.109999999</v>
      </c>
      <c r="G247">
        <v>4862092.99</v>
      </c>
      <c r="H247">
        <v>16502750.119999999</v>
      </c>
      <c r="I247">
        <v>4.1399999999999997</v>
      </c>
      <c r="J247">
        <v>4.4800000000000004</v>
      </c>
      <c r="K247" t="str">
        <f t="shared" si="3"/>
        <v>Aug 2022</v>
      </c>
    </row>
    <row r="248" spans="1:11" x14ac:dyDescent="0.25">
      <c r="A248" s="6">
        <v>44231</v>
      </c>
      <c r="B248" t="s">
        <v>10</v>
      </c>
      <c r="C248" t="s">
        <v>11</v>
      </c>
      <c r="D248" t="s">
        <v>14</v>
      </c>
      <c r="E248">
        <v>310</v>
      </c>
      <c r="F248" s="3">
        <v>23385375.760000002</v>
      </c>
      <c r="G248">
        <v>8038063.6299999999</v>
      </c>
      <c r="H248">
        <v>15347312.130000001</v>
      </c>
      <c r="I248">
        <v>1.64</v>
      </c>
      <c r="J248">
        <v>3.51</v>
      </c>
      <c r="K248" t="str">
        <f t="shared" si="3"/>
        <v>Feb 2021</v>
      </c>
    </row>
    <row r="249" spans="1:11" x14ac:dyDescent="0.25">
      <c r="A249" s="6">
        <v>44795</v>
      </c>
      <c r="B249" t="s">
        <v>10</v>
      </c>
      <c r="C249" t="s">
        <v>16</v>
      </c>
      <c r="D249" t="s">
        <v>12</v>
      </c>
      <c r="E249">
        <v>300</v>
      </c>
      <c r="F249" s="3">
        <v>22436431.879999999</v>
      </c>
      <c r="G249">
        <v>6749436.3200000003</v>
      </c>
      <c r="H249">
        <v>15686995.560000001</v>
      </c>
      <c r="I249">
        <v>0.86</v>
      </c>
      <c r="J249">
        <v>3.83</v>
      </c>
      <c r="K249" t="str">
        <f t="shared" si="3"/>
        <v>Aug 2022</v>
      </c>
    </row>
    <row r="250" spans="1:11" x14ac:dyDescent="0.25">
      <c r="A250" s="6">
        <v>45259</v>
      </c>
      <c r="B250" t="s">
        <v>10</v>
      </c>
      <c r="C250" t="s">
        <v>11</v>
      </c>
      <c r="D250" t="s">
        <v>12</v>
      </c>
      <c r="E250">
        <v>333</v>
      </c>
      <c r="F250" s="3">
        <v>13049336.689999999</v>
      </c>
      <c r="G250">
        <v>2998197.55</v>
      </c>
      <c r="H250">
        <v>10051139.140000001</v>
      </c>
      <c r="I250">
        <v>2.73</v>
      </c>
      <c r="J250">
        <v>4.22</v>
      </c>
      <c r="K250" t="str">
        <f t="shared" si="3"/>
        <v>Nov 2023</v>
      </c>
    </row>
    <row r="251" spans="1:11" x14ac:dyDescent="0.25">
      <c r="A251" s="6">
        <v>44213</v>
      </c>
      <c r="B251" t="s">
        <v>10</v>
      </c>
      <c r="C251" t="s">
        <v>11</v>
      </c>
      <c r="D251" t="s">
        <v>17</v>
      </c>
      <c r="E251">
        <v>398</v>
      </c>
      <c r="F251" s="3">
        <v>33773585.32</v>
      </c>
      <c r="G251">
        <v>9650336.3200000003</v>
      </c>
      <c r="H251">
        <v>24123249</v>
      </c>
      <c r="I251">
        <v>3.48</v>
      </c>
      <c r="J251">
        <v>4.32</v>
      </c>
      <c r="K251" t="str">
        <f t="shared" si="3"/>
        <v>Jan 2021</v>
      </c>
    </row>
    <row r="252" spans="1:11" x14ac:dyDescent="0.25">
      <c r="A252" s="6">
        <v>43914</v>
      </c>
      <c r="B252" t="s">
        <v>10</v>
      </c>
      <c r="C252" t="s">
        <v>15</v>
      </c>
      <c r="D252" t="s">
        <v>14</v>
      </c>
      <c r="E252">
        <v>286</v>
      </c>
      <c r="F252" s="3">
        <v>21554403.030000001</v>
      </c>
      <c r="G252">
        <v>6374670.2400000002</v>
      </c>
      <c r="H252">
        <v>15179732.789999999</v>
      </c>
      <c r="I252">
        <v>4.41</v>
      </c>
      <c r="J252">
        <v>3.87</v>
      </c>
      <c r="K252" t="str">
        <f t="shared" si="3"/>
        <v>Mar 2020</v>
      </c>
    </row>
    <row r="253" spans="1:11" x14ac:dyDescent="0.25">
      <c r="A253" s="6">
        <v>45542</v>
      </c>
      <c r="B253" t="s">
        <v>10</v>
      </c>
      <c r="C253" t="s">
        <v>18</v>
      </c>
      <c r="D253" t="s">
        <v>17</v>
      </c>
      <c r="E253">
        <v>108</v>
      </c>
      <c r="F253" s="3">
        <v>8931727.5500000007</v>
      </c>
      <c r="G253">
        <v>2307310</v>
      </c>
      <c r="H253">
        <v>6624417.5599999996</v>
      </c>
      <c r="I253">
        <v>4.2699999999999996</v>
      </c>
      <c r="J253">
        <v>4.55</v>
      </c>
      <c r="K253" t="str">
        <f t="shared" si="3"/>
        <v>Sep 2024</v>
      </c>
    </row>
    <row r="254" spans="1:11" x14ac:dyDescent="0.25">
      <c r="A254" s="6">
        <v>43859</v>
      </c>
      <c r="B254" t="s">
        <v>10</v>
      </c>
      <c r="C254" t="s">
        <v>13</v>
      </c>
      <c r="D254" t="s">
        <v>17</v>
      </c>
      <c r="E254">
        <v>219</v>
      </c>
      <c r="F254" s="3">
        <v>8939771.6600000001</v>
      </c>
      <c r="G254">
        <v>2326145.15</v>
      </c>
      <c r="H254">
        <v>6613626.5099999998</v>
      </c>
      <c r="I254">
        <v>1.35</v>
      </c>
      <c r="J254">
        <v>4.82</v>
      </c>
      <c r="K254" t="str">
        <f t="shared" si="3"/>
        <v>Jan 2020</v>
      </c>
    </row>
    <row r="255" spans="1:11" x14ac:dyDescent="0.25">
      <c r="A255" s="6">
        <v>45455</v>
      </c>
      <c r="B255" t="s">
        <v>10</v>
      </c>
      <c r="C255" t="s">
        <v>16</v>
      </c>
      <c r="D255" t="s">
        <v>14</v>
      </c>
      <c r="E255">
        <v>94</v>
      </c>
      <c r="F255" s="3">
        <v>7797431.04</v>
      </c>
      <c r="G255">
        <v>3073361.68</v>
      </c>
      <c r="H255">
        <v>4724069.3600000003</v>
      </c>
      <c r="I255">
        <v>4.22</v>
      </c>
      <c r="J255">
        <v>3.69</v>
      </c>
      <c r="K255" t="str">
        <f t="shared" si="3"/>
        <v>Jun 2024</v>
      </c>
    </row>
    <row r="256" spans="1:11" x14ac:dyDescent="0.25">
      <c r="A256" s="6">
        <v>45409</v>
      </c>
      <c r="B256" t="s">
        <v>10</v>
      </c>
      <c r="C256" t="s">
        <v>16</v>
      </c>
      <c r="D256" t="s">
        <v>14</v>
      </c>
      <c r="E256">
        <v>412</v>
      </c>
      <c r="F256" s="3">
        <v>19600646.16</v>
      </c>
      <c r="G256">
        <v>4278031.9000000004</v>
      </c>
      <c r="H256">
        <v>15322614.26</v>
      </c>
      <c r="I256">
        <v>0.51</v>
      </c>
      <c r="J256">
        <v>4.33</v>
      </c>
      <c r="K256" t="str">
        <f t="shared" si="3"/>
        <v>Apr 2024</v>
      </c>
    </row>
    <row r="257" spans="1:11" x14ac:dyDescent="0.25">
      <c r="A257" s="6">
        <v>44502</v>
      </c>
      <c r="B257" t="s">
        <v>10</v>
      </c>
      <c r="C257" t="s">
        <v>13</v>
      </c>
      <c r="D257" t="s">
        <v>14</v>
      </c>
      <c r="E257">
        <v>126</v>
      </c>
      <c r="F257" s="3">
        <v>7926751.3899999997</v>
      </c>
      <c r="G257">
        <v>3160576.71</v>
      </c>
      <c r="H257">
        <v>4766174.68</v>
      </c>
      <c r="I257">
        <v>1.79</v>
      </c>
      <c r="J257">
        <v>4.43</v>
      </c>
      <c r="K257" t="str">
        <f t="shared" si="3"/>
        <v>Nov 2021</v>
      </c>
    </row>
    <row r="258" spans="1:11" x14ac:dyDescent="0.25">
      <c r="A258" s="6">
        <v>44444</v>
      </c>
      <c r="B258" t="s">
        <v>10</v>
      </c>
      <c r="C258" t="s">
        <v>18</v>
      </c>
      <c r="D258" t="s">
        <v>14</v>
      </c>
      <c r="E258">
        <v>162</v>
      </c>
      <c r="F258" s="3">
        <v>10658212.82</v>
      </c>
      <c r="G258">
        <v>4016347.43</v>
      </c>
      <c r="H258">
        <v>6641865.3899999997</v>
      </c>
      <c r="I258">
        <v>2.2000000000000002</v>
      </c>
      <c r="J258">
        <v>3.51</v>
      </c>
      <c r="K258" t="str">
        <f t="shared" ref="K258:K321" si="4">TEXT(A258,"mmm yyyy")</f>
        <v>Sep 2021</v>
      </c>
    </row>
    <row r="259" spans="1:11" x14ac:dyDescent="0.25">
      <c r="A259" s="6">
        <v>44813</v>
      </c>
      <c r="B259" t="s">
        <v>10</v>
      </c>
      <c r="C259" t="s">
        <v>13</v>
      </c>
      <c r="D259" t="s">
        <v>17</v>
      </c>
      <c r="E259">
        <v>414</v>
      </c>
      <c r="F259" s="3">
        <v>32247079.649999999</v>
      </c>
      <c r="G259">
        <v>12208869.220000001</v>
      </c>
      <c r="H259">
        <v>20038210.420000002</v>
      </c>
      <c r="I259">
        <v>3.92</v>
      </c>
      <c r="J259">
        <v>4.3099999999999996</v>
      </c>
      <c r="K259" t="str">
        <f t="shared" si="4"/>
        <v>Sep 2022</v>
      </c>
    </row>
    <row r="260" spans="1:11" x14ac:dyDescent="0.25">
      <c r="A260" s="6">
        <v>45188</v>
      </c>
      <c r="B260" t="s">
        <v>10</v>
      </c>
      <c r="C260" t="s">
        <v>13</v>
      </c>
      <c r="D260" t="s">
        <v>12</v>
      </c>
      <c r="E260">
        <v>273</v>
      </c>
      <c r="F260" s="3">
        <v>22169424.359999999</v>
      </c>
      <c r="G260">
        <v>7129016.4199999999</v>
      </c>
      <c r="H260">
        <v>15040407.939999999</v>
      </c>
      <c r="I260">
        <v>1.31</v>
      </c>
      <c r="J260">
        <v>4.63</v>
      </c>
      <c r="K260" t="str">
        <f t="shared" si="4"/>
        <v>Sep 2023</v>
      </c>
    </row>
    <row r="261" spans="1:11" x14ac:dyDescent="0.25">
      <c r="A261" s="6">
        <v>44622</v>
      </c>
      <c r="B261" t="s">
        <v>10</v>
      </c>
      <c r="C261" t="s">
        <v>18</v>
      </c>
      <c r="D261" t="s">
        <v>17</v>
      </c>
      <c r="E261">
        <v>327</v>
      </c>
      <c r="F261" s="3">
        <v>28301054.34</v>
      </c>
      <c r="G261">
        <v>7426843.5</v>
      </c>
      <c r="H261">
        <v>20874210.850000001</v>
      </c>
      <c r="I261">
        <v>0.81</v>
      </c>
      <c r="J261">
        <v>3.95</v>
      </c>
      <c r="K261" t="str">
        <f t="shared" si="4"/>
        <v>Mar 2022</v>
      </c>
    </row>
    <row r="262" spans="1:11" x14ac:dyDescent="0.25">
      <c r="A262" s="6">
        <v>44663</v>
      </c>
      <c r="B262" t="s">
        <v>10</v>
      </c>
      <c r="C262" t="s">
        <v>15</v>
      </c>
      <c r="D262" t="s">
        <v>17</v>
      </c>
      <c r="E262">
        <v>66</v>
      </c>
      <c r="F262" s="3">
        <v>5108672.9800000004</v>
      </c>
      <c r="G262">
        <v>1319496.6599999999</v>
      </c>
      <c r="H262">
        <v>3789176.32</v>
      </c>
      <c r="I262">
        <v>2.63</v>
      </c>
      <c r="J262">
        <v>3.59</v>
      </c>
      <c r="K262" t="str">
        <f t="shared" si="4"/>
        <v>Apr 2022</v>
      </c>
    </row>
    <row r="263" spans="1:11" x14ac:dyDescent="0.25">
      <c r="A263" s="6">
        <v>45099</v>
      </c>
      <c r="B263" t="s">
        <v>10</v>
      </c>
      <c r="C263" t="s">
        <v>13</v>
      </c>
      <c r="D263" t="s">
        <v>12</v>
      </c>
      <c r="E263">
        <v>169</v>
      </c>
      <c r="F263" s="3">
        <v>6340172.2000000002</v>
      </c>
      <c r="G263">
        <v>1430930.2</v>
      </c>
      <c r="H263">
        <v>4909242.01</v>
      </c>
      <c r="I263">
        <v>4.88</v>
      </c>
      <c r="J263">
        <v>4.95</v>
      </c>
      <c r="K263" t="str">
        <f t="shared" si="4"/>
        <v>Jun 2023</v>
      </c>
    </row>
    <row r="264" spans="1:11" x14ac:dyDescent="0.25">
      <c r="A264" s="6">
        <v>44686</v>
      </c>
      <c r="B264" t="s">
        <v>10</v>
      </c>
      <c r="C264" t="s">
        <v>18</v>
      </c>
      <c r="D264" t="s">
        <v>12</v>
      </c>
      <c r="E264">
        <v>213</v>
      </c>
      <c r="F264" s="3">
        <v>15041325.23</v>
      </c>
      <c r="G264">
        <v>4228429.8099999996</v>
      </c>
      <c r="H264">
        <v>10812895.43</v>
      </c>
      <c r="I264">
        <v>2.23</v>
      </c>
      <c r="J264">
        <v>3.6</v>
      </c>
      <c r="K264" t="str">
        <f t="shared" si="4"/>
        <v>May 2022</v>
      </c>
    </row>
    <row r="265" spans="1:11" x14ac:dyDescent="0.25">
      <c r="A265" s="6">
        <v>44708</v>
      </c>
      <c r="B265" t="s">
        <v>10</v>
      </c>
      <c r="C265" t="s">
        <v>13</v>
      </c>
      <c r="D265" t="s">
        <v>17</v>
      </c>
      <c r="E265">
        <v>82</v>
      </c>
      <c r="F265" s="3">
        <v>4329482.09</v>
      </c>
      <c r="G265">
        <v>1308678.45</v>
      </c>
      <c r="H265">
        <v>3020803.64</v>
      </c>
      <c r="I265">
        <v>3.97</v>
      </c>
      <c r="J265">
        <v>4.5199999999999996</v>
      </c>
      <c r="K265" t="str">
        <f t="shared" si="4"/>
        <v>May 2022</v>
      </c>
    </row>
    <row r="266" spans="1:11" x14ac:dyDescent="0.25">
      <c r="A266" s="6">
        <v>44598</v>
      </c>
      <c r="B266" t="s">
        <v>10</v>
      </c>
      <c r="C266" t="s">
        <v>15</v>
      </c>
      <c r="D266" t="s">
        <v>17</v>
      </c>
      <c r="E266">
        <v>75</v>
      </c>
      <c r="F266" s="3">
        <v>3280620.42</v>
      </c>
      <c r="G266">
        <v>1004828.17</v>
      </c>
      <c r="H266">
        <v>2275792.25</v>
      </c>
      <c r="I266">
        <v>4.75</v>
      </c>
      <c r="J266">
        <v>3.65</v>
      </c>
      <c r="K266" t="str">
        <f t="shared" si="4"/>
        <v>Feb 2022</v>
      </c>
    </row>
    <row r="267" spans="1:11" x14ac:dyDescent="0.25">
      <c r="A267" s="6">
        <v>45149</v>
      </c>
      <c r="B267" t="s">
        <v>10</v>
      </c>
      <c r="C267" t="s">
        <v>18</v>
      </c>
      <c r="D267" t="s">
        <v>14</v>
      </c>
      <c r="E267">
        <v>88</v>
      </c>
      <c r="F267" s="3">
        <v>5630796.6299999999</v>
      </c>
      <c r="G267">
        <v>1322200.28</v>
      </c>
      <c r="H267">
        <v>4308596.3499999996</v>
      </c>
      <c r="I267">
        <v>1.84</v>
      </c>
      <c r="J267">
        <v>4.76</v>
      </c>
      <c r="K267" t="str">
        <f t="shared" si="4"/>
        <v>Aug 2023</v>
      </c>
    </row>
    <row r="268" spans="1:11" x14ac:dyDescent="0.25">
      <c r="A268" s="6">
        <v>44689</v>
      </c>
      <c r="B268" t="s">
        <v>10</v>
      </c>
      <c r="C268" t="s">
        <v>11</v>
      </c>
      <c r="D268" t="s">
        <v>17</v>
      </c>
      <c r="E268">
        <v>224</v>
      </c>
      <c r="F268" s="3">
        <v>16223751.4</v>
      </c>
      <c r="G268">
        <v>4365775.1100000003</v>
      </c>
      <c r="H268">
        <v>11857976.289999999</v>
      </c>
      <c r="I268">
        <v>1.73</v>
      </c>
      <c r="J268">
        <v>4.93</v>
      </c>
      <c r="K268" t="str">
        <f t="shared" si="4"/>
        <v>May 2022</v>
      </c>
    </row>
    <row r="269" spans="1:11" x14ac:dyDescent="0.25">
      <c r="A269" s="6">
        <v>45109</v>
      </c>
      <c r="B269" t="s">
        <v>10</v>
      </c>
      <c r="C269" t="s">
        <v>15</v>
      </c>
      <c r="D269" t="s">
        <v>14</v>
      </c>
      <c r="E269">
        <v>285</v>
      </c>
      <c r="F269" s="3">
        <v>10465663.77</v>
      </c>
      <c r="G269">
        <v>2655620.1800000002</v>
      </c>
      <c r="H269">
        <v>7810043.5899999999</v>
      </c>
      <c r="I269">
        <v>4.59</v>
      </c>
      <c r="J269">
        <v>4.79</v>
      </c>
      <c r="K269" t="str">
        <f t="shared" si="4"/>
        <v>Jul 2023</v>
      </c>
    </row>
    <row r="270" spans="1:11" x14ac:dyDescent="0.25">
      <c r="A270" s="6">
        <v>44570</v>
      </c>
      <c r="B270" t="s">
        <v>10</v>
      </c>
      <c r="C270" t="s">
        <v>15</v>
      </c>
      <c r="D270" t="s">
        <v>14</v>
      </c>
      <c r="E270">
        <v>133</v>
      </c>
      <c r="F270" s="3">
        <v>7563403.0199999996</v>
      </c>
      <c r="G270">
        <v>2610561.19</v>
      </c>
      <c r="H270">
        <v>4952841.83</v>
      </c>
      <c r="I270">
        <v>4.93</v>
      </c>
      <c r="J270">
        <v>4.1100000000000003</v>
      </c>
      <c r="K270" t="str">
        <f t="shared" si="4"/>
        <v>Jan 2022</v>
      </c>
    </row>
    <row r="271" spans="1:11" x14ac:dyDescent="0.25">
      <c r="A271" s="6">
        <v>44920</v>
      </c>
      <c r="B271" t="s">
        <v>10</v>
      </c>
      <c r="C271" t="s">
        <v>13</v>
      </c>
      <c r="D271" t="s">
        <v>14</v>
      </c>
      <c r="E271">
        <v>429</v>
      </c>
      <c r="F271" s="3">
        <v>32107752.960000001</v>
      </c>
      <c r="G271">
        <v>8053671.0800000001</v>
      </c>
      <c r="H271">
        <v>24054081.879999999</v>
      </c>
      <c r="I271">
        <v>1.4</v>
      </c>
      <c r="J271">
        <v>4.8</v>
      </c>
      <c r="K271" t="str">
        <f t="shared" si="4"/>
        <v>Dec 2022</v>
      </c>
    </row>
    <row r="272" spans="1:11" x14ac:dyDescent="0.25">
      <c r="A272" s="6">
        <v>43967</v>
      </c>
      <c r="B272" t="s">
        <v>10</v>
      </c>
      <c r="C272" t="s">
        <v>18</v>
      </c>
      <c r="D272" t="s">
        <v>17</v>
      </c>
      <c r="E272">
        <v>329</v>
      </c>
      <c r="F272" s="3">
        <v>18183484.190000001</v>
      </c>
      <c r="G272">
        <v>4129984.76</v>
      </c>
      <c r="H272">
        <v>14053499.43</v>
      </c>
      <c r="I272">
        <v>2.63</v>
      </c>
      <c r="J272">
        <v>4.95</v>
      </c>
      <c r="K272" t="str">
        <f t="shared" si="4"/>
        <v>May 2020</v>
      </c>
    </row>
    <row r="273" spans="1:11" x14ac:dyDescent="0.25">
      <c r="A273" s="6">
        <v>44011</v>
      </c>
      <c r="B273" t="s">
        <v>10</v>
      </c>
      <c r="C273" t="s">
        <v>13</v>
      </c>
      <c r="D273" t="s">
        <v>14</v>
      </c>
      <c r="E273">
        <v>479</v>
      </c>
      <c r="F273" s="3">
        <v>22131509.41</v>
      </c>
      <c r="G273">
        <v>8449082.2100000009</v>
      </c>
      <c r="H273">
        <v>13682427.199999999</v>
      </c>
      <c r="I273">
        <v>1.19</v>
      </c>
      <c r="J273">
        <v>4.18</v>
      </c>
      <c r="K273" t="str">
        <f t="shared" si="4"/>
        <v>Jun 2020</v>
      </c>
    </row>
    <row r="274" spans="1:11" x14ac:dyDescent="0.25">
      <c r="A274" s="6">
        <v>45545</v>
      </c>
      <c r="B274" t="s">
        <v>10</v>
      </c>
      <c r="C274" t="s">
        <v>16</v>
      </c>
      <c r="D274" t="s">
        <v>12</v>
      </c>
      <c r="E274">
        <v>99</v>
      </c>
      <c r="F274" s="3">
        <v>7608775.6299999999</v>
      </c>
      <c r="G274">
        <v>2090556.27</v>
      </c>
      <c r="H274">
        <v>5518219.3600000003</v>
      </c>
      <c r="I274">
        <v>1.0900000000000001</v>
      </c>
      <c r="J274">
        <v>3.55</v>
      </c>
      <c r="K274" t="str">
        <f t="shared" si="4"/>
        <v>Sep 2024</v>
      </c>
    </row>
    <row r="275" spans="1:11" x14ac:dyDescent="0.25">
      <c r="A275" s="6">
        <v>44755</v>
      </c>
      <c r="B275" t="s">
        <v>10</v>
      </c>
      <c r="C275" t="s">
        <v>11</v>
      </c>
      <c r="D275" t="s">
        <v>14</v>
      </c>
      <c r="E275">
        <v>365</v>
      </c>
      <c r="F275" s="3">
        <v>32197788.620000001</v>
      </c>
      <c r="G275">
        <v>11684842.32</v>
      </c>
      <c r="H275">
        <v>20512946.300000001</v>
      </c>
      <c r="I275">
        <v>2.58</v>
      </c>
      <c r="J275">
        <v>3.5</v>
      </c>
      <c r="K275" t="str">
        <f t="shared" si="4"/>
        <v>Jul 2022</v>
      </c>
    </row>
    <row r="276" spans="1:11" x14ac:dyDescent="0.25">
      <c r="A276" s="6">
        <v>44016</v>
      </c>
      <c r="B276" t="s">
        <v>10</v>
      </c>
      <c r="C276" t="s">
        <v>16</v>
      </c>
      <c r="D276" t="s">
        <v>14</v>
      </c>
      <c r="E276">
        <v>322</v>
      </c>
      <c r="F276" s="3">
        <v>22025397.199999999</v>
      </c>
      <c r="G276">
        <v>7719725.71</v>
      </c>
      <c r="H276">
        <v>14305671.49</v>
      </c>
      <c r="I276">
        <v>3.01</v>
      </c>
      <c r="J276">
        <v>3.84</v>
      </c>
      <c r="K276" t="str">
        <f t="shared" si="4"/>
        <v>Jul 2020</v>
      </c>
    </row>
    <row r="277" spans="1:11" x14ac:dyDescent="0.25">
      <c r="A277" s="6">
        <v>43969</v>
      </c>
      <c r="B277" t="s">
        <v>10</v>
      </c>
      <c r="C277" t="s">
        <v>13</v>
      </c>
      <c r="D277" t="s">
        <v>17</v>
      </c>
      <c r="E277">
        <v>493</v>
      </c>
      <c r="F277" s="3">
        <v>18996025.329999998</v>
      </c>
      <c r="G277">
        <v>5387381.4299999997</v>
      </c>
      <c r="H277">
        <v>13608643.9</v>
      </c>
      <c r="I277">
        <v>1.71</v>
      </c>
      <c r="J277">
        <v>4.7</v>
      </c>
      <c r="K277" t="str">
        <f t="shared" si="4"/>
        <v>May 2020</v>
      </c>
    </row>
    <row r="278" spans="1:11" x14ac:dyDescent="0.25">
      <c r="A278" s="6">
        <v>43969</v>
      </c>
      <c r="B278" t="s">
        <v>10</v>
      </c>
      <c r="C278" t="s">
        <v>11</v>
      </c>
      <c r="D278" t="s">
        <v>17</v>
      </c>
      <c r="E278">
        <v>444</v>
      </c>
      <c r="F278" s="3">
        <v>39577861.369999997</v>
      </c>
      <c r="G278">
        <v>14647128.16</v>
      </c>
      <c r="H278">
        <v>24930733.210000001</v>
      </c>
      <c r="I278">
        <v>2.59</v>
      </c>
      <c r="J278">
        <v>4.5199999999999996</v>
      </c>
      <c r="K278" t="str">
        <f t="shared" si="4"/>
        <v>May 2020</v>
      </c>
    </row>
    <row r="279" spans="1:11" x14ac:dyDescent="0.25">
      <c r="A279" s="6">
        <v>44367</v>
      </c>
      <c r="B279" t="s">
        <v>10</v>
      </c>
      <c r="C279" t="s">
        <v>15</v>
      </c>
      <c r="D279" t="s">
        <v>12</v>
      </c>
      <c r="E279">
        <v>387</v>
      </c>
      <c r="F279" s="3">
        <v>23760498.100000001</v>
      </c>
      <c r="G279">
        <v>6652841.8200000003</v>
      </c>
      <c r="H279">
        <v>17107656.280000001</v>
      </c>
      <c r="I279">
        <v>1.81</v>
      </c>
      <c r="J279">
        <v>4.54</v>
      </c>
      <c r="K279" t="str">
        <f t="shared" si="4"/>
        <v>Jun 2021</v>
      </c>
    </row>
    <row r="280" spans="1:11" x14ac:dyDescent="0.25">
      <c r="A280" s="6">
        <v>45028</v>
      </c>
      <c r="B280" t="s">
        <v>10</v>
      </c>
      <c r="C280" t="s">
        <v>13</v>
      </c>
      <c r="D280" t="s">
        <v>14</v>
      </c>
      <c r="E280">
        <v>338</v>
      </c>
      <c r="F280" s="3">
        <v>29539738.18</v>
      </c>
      <c r="G280">
        <v>6452550.21</v>
      </c>
      <c r="H280">
        <v>23087187.969999999</v>
      </c>
      <c r="I280">
        <v>3.76</v>
      </c>
      <c r="J280">
        <v>4.62</v>
      </c>
      <c r="K280" t="str">
        <f t="shared" si="4"/>
        <v>Apr 2023</v>
      </c>
    </row>
    <row r="281" spans="1:11" x14ac:dyDescent="0.25">
      <c r="A281" s="6">
        <v>45457</v>
      </c>
      <c r="B281" t="s">
        <v>10</v>
      </c>
      <c r="C281" t="s">
        <v>15</v>
      </c>
      <c r="D281" t="s">
        <v>17</v>
      </c>
      <c r="E281">
        <v>90</v>
      </c>
      <c r="F281" s="3">
        <v>4348122.83</v>
      </c>
      <c r="G281">
        <v>881223.1</v>
      </c>
      <c r="H281">
        <v>3466899.73</v>
      </c>
      <c r="I281">
        <v>1.1399999999999999</v>
      </c>
      <c r="J281">
        <v>4.25</v>
      </c>
      <c r="K281" t="str">
        <f t="shared" si="4"/>
        <v>Jun 2024</v>
      </c>
    </row>
    <row r="282" spans="1:11" x14ac:dyDescent="0.25">
      <c r="A282" s="6">
        <v>44885</v>
      </c>
      <c r="B282" t="s">
        <v>10</v>
      </c>
      <c r="C282" t="s">
        <v>16</v>
      </c>
      <c r="D282" t="s">
        <v>17</v>
      </c>
      <c r="E282">
        <v>135</v>
      </c>
      <c r="F282" s="3">
        <v>6286845.6299999999</v>
      </c>
      <c r="G282">
        <v>2079667.7</v>
      </c>
      <c r="H282">
        <v>4207177.93</v>
      </c>
      <c r="I282">
        <v>3.99</v>
      </c>
      <c r="J282">
        <v>4.91</v>
      </c>
      <c r="K282" t="str">
        <f t="shared" si="4"/>
        <v>Nov 2022</v>
      </c>
    </row>
    <row r="283" spans="1:11" x14ac:dyDescent="0.25">
      <c r="A283" s="6">
        <v>44544</v>
      </c>
      <c r="B283" t="s">
        <v>10</v>
      </c>
      <c r="C283" t="s">
        <v>16</v>
      </c>
      <c r="D283" t="s">
        <v>17</v>
      </c>
      <c r="E283">
        <v>402</v>
      </c>
      <c r="F283" s="3">
        <v>25516604.440000001</v>
      </c>
      <c r="G283">
        <v>9758230.8300000001</v>
      </c>
      <c r="H283">
        <v>15758373.6</v>
      </c>
      <c r="I283">
        <v>2.08</v>
      </c>
      <c r="J283">
        <v>3.55</v>
      </c>
      <c r="K283" t="str">
        <f t="shared" si="4"/>
        <v>Dec 2021</v>
      </c>
    </row>
    <row r="284" spans="1:11" x14ac:dyDescent="0.25">
      <c r="A284" s="6">
        <v>44879</v>
      </c>
      <c r="B284" t="s">
        <v>10</v>
      </c>
      <c r="C284" t="s">
        <v>16</v>
      </c>
      <c r="D284" t="s">
        <v>14</v>
      </c>
      <c r="E284">
        <v>165</v>
      </c>
      <c r="F284" s="3">
        <v>9022047.2599999998</v>
      </c>
      <c r="G284">
        <v>3027628.18</v>
      </c>
      <c r="H284">
        <v>5994419.0800000001</v>
      </c>
      <c r="I284">
        <v>4.9000000000000004</v>
      </c>
      <c r="J284">
        <v>3.8</v>
      </c>
      <c r="K284" t="str">
        <f t="shared" si="4"/>
        <v>Nov 2022</v>
      </c>
    </row>
    <row r="285" spans="1:11" x14ac:dyDescent="0.25">
      <c r="A285" s="6">
        <v>44934</v>
      </c>
      <c r="B285" t="s">
        <v>10</v>
      </c>
      <c r="C285" t="s">
        <v>18</v>
      </c>
      <c r="D285" t="s">
        <v>12</v>
      </c>
      <c r="E285">
        <v>171</v>
      </c>
      <c r="F285" s="3">
        <v>13514517.91</v>
      </c>
      <c r="G285">
        <v>4864820.3499999996</v>
      </c>
      <c r="H285">
        <v>8649697.5500000007</v>
      </c>
      <c r="I285">
        <v>1.25</v>
      </c>
      <c r="J285">
        <v>3.66</v>
      </c>
      <c r="K285" t="str">
        <f t="shared" si="4"/>
        <v>Jan 2023</v>
      </c>
    </row>
    <row r="286" spans="1:11" x14ac:dyDescent="0.25">
      <c r="A286" s="6">
        <v>44485</v>
      </c>
      <c r="B286" t="s">
        <v>10</v>
      </c>
      <c r="C286" t="s">
        <v>11</v>
      </c>
      <c r="D286" t="s">
        <v>14</v>
      </c>
      <c r="E286">
        <v>366</v>
      </c>
      <c r="F286" s="3">
        <v>27031356.370000001</v>
      </c>
      <c r="G286">
        <v>10641779.279999999</v>
      </c>
      <c r="H286">
        <v>16389577.09</v>
      </c>
      <c r="I286">
        <v>4.71</v>
      </c>
      <c r="J286">
        <v>3.58</v>
      </c>
      <c r="K286" t="str">
        <f t="shared" si="4"/>
        <v>Oct 2021</v>
      </c>
    </row>
    <row r="287" spans="1:11" x14ac:dyDescent="0.25">
      <c r="A287" s="6">
        <v>45052</v>
      </c>
      <c r="B287" t="s">
        <v>10</v>
      </c>
      <c r="C287" t="s">
        <v>13</v>
      </c>
      <c r="D287" t="s">
        <v>17</v>
      </c>
      <c r="E287">
        <v>465</v>
      </c>
      <c r="F287" s="3">
        <v>23917727.789999999</v>
      </c>
      <c r="G287">
        <v>5093510.63</v>
      </c>
      <c r="H287">
        <v>18824217.170000002</v>
      </c>
      <c r="I287">
        <v>4.76</v>
      </c>
      <c r="J287">
        <v>4.4400000000000004</v>
      </c>
      <c r="K287" t="str">
        <f t="shared" si="4"/>
        <v>May 2023</v>
      </c>
    </row>
    <row r="288" spans="1:11" x14ac:dyDescent="0.25">
      <c r="A288" s="6">
        <v>44044</v>
      </c>
      <c r="B288" t="s">
        <v>10</v>
      </c>
      <c r="C288" t="s">
        <v>15</v>
      </c>
      <c r="D288" t="s">
        <v>17</v>
      </c>
      <c r="E288">
        <v>133</v>
      </c>
      <c r="F288" s="3">
        <v>7138078.1600000001</v>
      </c>
      <c r="G288">
        <v>1691974.19</v>
      </c>
      <c r="H288">
        <v>5446103.96</v>
      </c>
      <c r="I288">
        <v>0.86</v>
      </c>
      <c r="J288">
        <v>4.84</v>
      </c>
      <c r="K288" t="str">
        <f t="shared" si="4"/>
        <v>Aug 2020</v>
      </c>
    </row>
    <row r="289" spans="1:11" x14ac:dyDescent="0.25">
      <c r="A289" s="6">
        <v>45161</v>
      </c>
      <c r="B289" t="s">
        <v>10</v>
      </c>
      <c r="C289" t="s">
        <v>11</v>
      </c>
      <c r="D289" t="s">
        <v>14</v>
      </c>
      <c r="E289">
        <v>437</v>
      </c>
      <c r="F289" s="3">
        <v>29655332.359999999</v>
      </c>
      <c r="G289">
        <v>7213169.9699999997</v>
      </c>
      <c r="H289">
        <v>22442162.390000001</v>
      </c>
      <c r="I289">
        <v>2.66</v>
      </c>
      <c r="J289">
        <v>3.56</v>
      </c>
      <c r="K289" t="str">
        <f t="shared" si="4"/>
        <v>Aug 2023</v>
      </c>
    </row>
    <row r="290" spans="1:11" x14ac:dyDescent="0.25">
      <c r="A290" s="6">
        <v>45368</v>
      </c>
      <c r="B290" t="s">
        <v>10</v>
      </c>
      <c r="C290" t="s">
        <v>16</v>
      </c>
      <c r="D290" t="s">
        <v>12</v>
      </c>
      <c r="E290">
        <v>237</v>
      </c>
      <c r="F290" s="3">
        <v>17831269.420000002</v>
      </c>
      <c r="G290">
        <v>6841394.5300000003</v>
      </c>
      <c r="H290">
        <v>10989874.890000001</v>
      </c>
      <c r="I290">
        <v>0.77</v>
      </c>
      <c r="J290">
        <v>3.87</v>
      </c>
      <c r="K290" t="str">
        <f t="shared" si="4"/>
        <v>Mar 2024</v>
      </c>
    </row>
    <row r="291" spans="1:11" x14ac:dyDescent="0.25">
      <c r="A291" s="6">
        <v>44800</v>
      </c>
      <c r="B291" t="s">
        <v>10</v>
      </c>
      <c r="C291" t="s">
        <v>13</v>
      </c>
      <c r="D291" t="s">
        <v>12</v>
      </c>
      <c r="E291">
        <v>446</v>
      </c>
      <c r="F291" s="3">
        <v>27366712.120000001</v>
      </c>
      <c r="G291">
        <v>7576517.9199999999</v>
      </c>
      <c r="H291">
        <v>19790194.199999999</v>
      </c>
      <c r="I291">
        <v>1.98</v>
      </c>
      <c r="J291">
        <v>4.21</v>
      </c>
      <c r="K291" t="str">
        <f t="shared" si="4"/>
        <v>Aug 2022</v>
      </c>
    </row>
    <row r="292" spans="1:11" x14ac:dyDescent="0.25">
      <c r="A292" s="6">
        <v>45438</v>
      </c>
      <c r="B292" t="s">
        <v>10</v>
      </c>
      <c r="C292" t="s">
        <v>11</v>
      </c>
      <c r="D292" t="s">
        <v>14</v>
      </c>
      <c r="E292">
        <v>222</v>
      </c>
      <c r="F292" s="3">
        <v>9993659.75</v>
      </c>
      <c r="G292">
        <v>2419068.2599999998</v>
      </c>
      <c r="H292">
        <v>7574591.4900000002</v>
      </c>
      <c r="I292">
        <v>3.46</v>
      </c>
      <c r="J292">
        <v>4.25</v>
      </c>
      <c r="K292" t="str">
        <f t="shared" si="4"/>
        <v>May 2024</v>
      </c>
    </row>
    <row r="293" spans="1:11" x14ac:dyDescent="0.25">
      <c r="A293" s="6">
        <v>44803</v>
      </c>
      <c r="B293" t="s">
        <v>10</v>
      </c>
      <c r="C293" t="s">
        <v>11</v>
      </c>
      <c r="D293" t="s">
        <v>17</v>
      </c>
      <c r="E293">
        <v>131</v>
      </c>
      <c r="F293" s="3">
        <v>4735304.51</v>
      </c>
      <c r="G293">
        <v>1275441.94</v>
      </c>
      <c r="H293">
        <v>3459862.57</v>
      </c>
      <c r="I293">
        <v>2</v>
      </c>
      <c r="J293">
        <v>4.3099999999999996</v>
      </c>
      <c r="K293" t="str">
        <f t="shared" si="4"/>
        <v>Aug 2022</v>
      </c>
    </row>
    <row r="294" spans="1:11" x14ac:dyDescent="0.25">
      <c r="A294" s="6">
        <v>45332</v>
      </c>
      <c r="B294" t="s">
        <v>10</v>
      </c>
      <c r="C294" t="s">
        <v>16</v>
      </c>
      <c r="D294" t="s">
        <v>14</v>
      </c>
      <c r="E294">
        <v>108</v>
      </c>
      <c r="F294" s="3">
        <v>7642934.5800000001</v>
      </c>
      <c r="G294">
        <v>2752155.85</v>
      </c>
      <c r="H294">
        <v>4890778.7300000004</v>
      </c>
      <c r="I294">
        <v>3.56</v>
      </c>
      <c r="J294">
        <v>3.61</v>
      </c>
      <c r="K294" t="str">
        <f t="shared" si="4"/>
        <v>Feb 2024</v>
      </c>
    </row>
    <row r="295" spans="1:11" x14ac:dyDescent="0.25">
      <c r="A295" s="6">
        <v>44901</v>
      </c>
      <c r="B295" t="s">
        <v>10</v>
      </c>
      <c r="C295" t="s">
        <v>13</v>
      </c>
      <c r="D295" t="s">
        <v>17</v>
      </c>
      <c r="E295">
        <v>496</v>
      </c>
      <c r="F295" s="3">
        <v>22913615.489999998</v>
      </c>
      <c r="G295">
        <v>5313885.54</v>
      </c>
      <c r="H295">
        <v>17599729.949999999</v>
      </c>
      <c r="I295">
        <v>1.28</v>
      </c>
      <c r="J295">
        <v>4.9400000000000004</v>
      </c>
      <c r="K295" t="str">
        <f t="shared" si="4"/>
        <v>Dec 2022</v>
      </c>
    </row>
    <row r="296" spans="1:11" x14ac:dyDescent="0.25">
      <c r="A296" s="6">
        <v>44953</v>
      </c>
      <c r="B296" t="s">
        <v>10</v>
      </c>
      <c r="C296" t="s">
        <v>13</v>
      </c>
      <c r="D296" t="s">
        <v>14</v>
      </c>
      <c r="E296">
        <v>491</v>
      </c>
      <c r="F296" s="3">
        <v>37241789.609999999</v>
      </c>
      <c r="G296">
        <v>11727489.189999999</v>
      </c>
      <c r="H296">
        <v>25514300.41</v>
      </c>
      <c r="I296">
        <v>2.06</v>
      </c>
      <c r="J296">
        <v>4.0599999999999996</v>
      </c>
      <c r="K296" t="str">
        <f t="shared" si="4"/>
        <v>Jan 2023</v>
      </c>
    </row>
    <row r="297" spans="1:11" x14ac:dyDescent="0.25">
      <c r="A297" s="6">
        <v>43886</v>
      </c>
      <c r="B297" t="s">
        <v>10</v>
      </c>
      <c r="C297" t="s">
        <v>18</v>
      </c>
      <c r="D297" t="s">
        <v>17</v>
      </c>
      <c r="E297">
        <v>69</v>
      </c>
      <c r="F297" s="3">
        <v>4330886.33</v>
      </c>
      <c r="G297">
        <v>1261759.97</v>
      </c>
      <c r="H297">
        <v>3069126.36</v>
      </c>
      <c r="I297">
        <v>2.81</v>
      </c>
      <c r="J297">
        <v>4.38</v>
      </c>
      <c r="K297" t="str">
        <f t="shared" si="4"/>
        <v>Feb 2020</v>
      </c>
    </row>
    <row r="298" spans="1:11" x14ac:dyDescent="0.25">
      <c r="A298" s="6">
        <v>45370</v>
      </c>
      <c r="B298" t="s">
        <v>10</v>
      </c>
      <c r="C298" t="s">
        <v>13</v>
      </c>
      <c r="D298" t="s">
        <v>14</v>
      </c>
      <c r="E298">
        <v>299</v>
      </c>
      <c r="F298" s="3">
        <v>22391862.23</v>
      </c>
      <c r="G298">
        <v>6777260.1100000003</v>
      </c>
      <c r="H298">
        <v>15614602.109999999</v>
      </c>
      <c r="I298">
        <v>4.43</v>
      </c>
      <c r="J298">
        <v>4.8499999999999996</v>
      </c>
      <c r="K298" t="str">
        <f t="shared" si="4"/>
        <v>Mar 2024</v>
      </c>
    </row>
    <row r="299" spans="1:11" x14ac:dyDescent="0.25">
      <c r="A299" s="6">
        <v>44226</v>
      </c>
      <c r="B299" t="s">
        <v>10</v>
      </c>
      <c r="C299" t="s">
        <v>16</v>
      </c>
      <c r="D299" t="s">
        <v>17</v>
      </c>
      <c r="E299">
        <v>311</v>
      </c>
      <c r="F299" s="3">
        <v>22088934.739999998</v>
      </c>
      <c r="G299">
        <v>4452540.28</v>
      </c>
      <c r="H299">
        <v>17636394.460000001</v>
      </c>
      <c r="I299">
        <v>1.78</v>
      </c>
      <c r="J299">
        <v>4.04</v>
      </c>
      <c r="K299" t="str">
        <f t="shared" si="4"/>
        <v>Jan 2021</v>
      </c>
    </row>
    <row r="300" spans="1:11" x14ac:dyDescent="0.25">
      <c r="A300" s="6">
        <v>44905</v>
      </c>
      <c r="B300" t="s">
        <v>10</v>
      </c>
      <c r="C300" t="s">
        <v>15</v>
      </c>
      <c r="D300" t="s">
        <v>17</v>
      </c>
      <c r="E300">
        <v>180</v>
      </c>
      <c r="F300" s="3">
        <v>12467369.18</v>
      </c>
      <c r="G300">
        <v>3412168.79</v>
      </c>
      <c r="H300">
        <v>9055200.3900000006</v>
      </c>
      <c r="I300">
        <v>3.8</v>
      </c>
      <c r="J300">
        <v>3.7</v>
      </c>
      <c r="K300" t="str">
        <f t="shared" si="4"/>
        <v>Dec 2022</v>
      </c>
    </row>
    <row r="301" spans="1:11" x14ac:dyDescent="0.25">
      <c r="A301" s="6">
        <v>45368</v>
      </c>
      <c r="B301" t="s">
        <v>10</v>
      </c>
      <c r="C301" t="s">
        <v>18</v>
      </c>
      <c r="D301" t="s">
        <v>17</v>
      </c>
      <c r="E301">
        <v>57</v>
      </c>
      <c r="F301" s="3">
        <v>3265647.42</v>
      </c>
      <c r="G301">
        <v>913169.47</v>
      </c>
      <c r="H301">
        <v>2352477.9500000002</v>
      </c>
      <c r="I301">
        <v>3.35</v>
      </c>
      <c r="J301">
        <v>4.0599999999999996</v>
      </c>
      <c r="K301" t="str">
        <f t="shared" si="4"/>
        <v>Mar 2024</v>
      </c>
    </row>
    <row r="302" spans="1:11" x14ac:dyDescent="0.25">
      <c r="A302" s="6">
        <v>44148</v>
      </c>
      <c r="B302" t="s">
        <v>10</v>
      </c>
      <c r="C302" t="s">
        <v>16</v>
      </c>
      <c r="D302" t="s">
        <v>12</v>
      </c>
      <c r="E302">
        <v>51</v>
      </c>
      <c r="F302" s="3">
        <v>2292640.35</v>
      </c>
      <c r="G302">
        <v>525296.59</v>
      </c>
      <c r="H302">
        <v>1767343.76</v>
      </c>
      <c r="I302">
        <v>2.72</v>
      </c>
      <c r="J302">
        <v>3.87</v>
      </c>
      <c r="K302" t="str">
        <f t="shared" si="4"/>
        <v>Nov 2020</v>
      </c>
    </row>
    <row r="303" spans="1:11" x14ac:dyDescent="0.25">
      <c r="A303" s="6">
        <v>45014</v>
      </c>
      <c r="B303" t="s">
        <v>10</v>
      </c>
      <c r="C303" t="s">
        <v>16</v>
      </c>
      <c r="D303" t="s">
        <v>12</v>
      </c>
      <c r="E303">
        <v>365</v>
      </c>
      <c r="F303" s="3">
        <v>20905792.539999999</v>
      </c>
      <c r="G303">
        <v>5883231.2000000002</v>
      </c>
      <c r="H303">
        <v>15022561.34</v>
      </c>
      <c r="I303">
        <v>3.11</v>
      </c>
      <c r="J303">
        <v>4.49</v>
      </c>
      <c r="K303" t="str">
        <f t="shared" si="4"/>
        <v>Mar 2023</v>
      </c>
    </row>
    <row r="304" spans="1:11" x14ac:dyDescent="0.25">
      <c r="A304" s="6">
        <v>44601</v>
      </c>
      <c r="B304" t="s">
        <v>10</v>
      </c>
      <c r="C304" t="s">
        <v>13</v>
      </c>
      <c r="D304" t="s">
        <v>14</v>
      </c>
      <c r="E304">
        <v>280</v>
      </c>
      <c r="F304" s="3">
        <v>12318267.640000001</v>
      </c>
      <c r="G304">
        <v>3963817.65</v>
      </c>
      <c r="H304">
        <v>8354449.9900000002</v>
      </c>
      <c r="I304">
        <v>4.8600000000000003</v>
      </c>
      <c r="J304">
        <v>3.89</v>
      </c>
      <c r="K304" t="str">
        <f t="shared" si="4"/>
        <v>Feb 2022</v>
      </c>
    </row>
    <row r="305" spans="1:11" x14ac:dyDescent="0.25">
      <c r="A305" s="6">
        <v>44055</v>
      </c>
      <c r="B305" t="s">
        <v>10</v>
      </c>
      <c r="C305" t="s">
        <v>11</v>
      </c>
      <c r="D305" t="s">
        <v>12</v>
      </c>
      <c r="E305">
        <v>278</v>
      </c>
      <c r="F305" s="3">
        <v>9868074.8800000008</v>
      </c>
      <c r="G305">
        <v>2785929.97</v>
      </c>
      <c r="H305">
        <v>7082144.9100000001</v>
      </c>
      <c r="I305">
        <v>3.19</v>
      </c>
      <c r="J305">
        <v>4.09</v>
      </c>
      <c r="K305" t="str">
        <f t="shared" si="4"/>
        <v>Aug 2020</v>
      </c>
    </row>
    <row r="306" spans="1:11" x14ac:dyDescent="0.25">
      <c r="A306" s="6">
        <v>45085</v>
      </c>
      <c r="B306" t="s">
        <v>10</v>
      </c>
      <c r="C306" t="s">
        <v>16</v>
      </c>
      <c r="D306" t="s">
        <v>17</v>
      </c>
      <c r="E306">
        <v>456</v>
      </c>
      <c r="F306" s="3">
        <v>27341041.699999999</v>
      </c>
      <c r="G306">
        <v>9645643.5700000003</v>
      </c>
      <c r="H306">
        <v>17695398.129999999</v>
      </c>
      <c r="I306">
        <v>0.83</v>
      </c>
      <c r="J306">
        <v>3.75</v>
      </c>
      <c r="K306" t="str">
        <f t="shared" si="4"/>
        <v>Jun 2023</v>
      </c>
    </row>
    <row r="307" spans="1:11" x14ac:dyDescent="0.25">
      <c r="A307" s="6">
        <v>45047</v>
      </c>
      <c r="B307" t="s">
        <v>10</v>
      </c>
      <c r="C307" t="s">
        <v>13</v>
      </c>
      <c r="D307" t="s">
        <v>17</v>
      </c>
      <c r="E307">
        <v>142</v>
      </c>
      <c r="F307" s="3">
        <v>7601994.8099999996</v>
      </c>
      <c r="G307">
        <v>1780564.51</v>
      </c>
      <c r="H307">
        <v>5821430.29</v>
      </c>
      <c r="I307">
        <v>2.44</v>
      </c>
      <c r="J307">
        <v>3.87</v>
      </c>
      <c r="K307" t="str">
        <f t="shared" si="4"/>
        <v>May 2023</v>
      </c>
    </row>
    <row r="308" spans="1:11" x14ac:dyDescent="0.25">
      <c r="A308" s="6">
        <v>44712</v>
      </c>
      <c r="B308" t="s">
        <v>10</v>
      </c>
      <c r="C308" t="s">
        <v>16</v>
      </c>
      <c r="D308" t="s">
        <v>12</v>
      </c>
      <c r="E308">
        <v>220</v>
      </c>
      <c r="F308" s="3">
        <v>19177858.59</v>
      </c>
      <c r="G308">
        <v>6702555.0199999996</v>
      </c>
      <c r="H308">
        <v>12475303.58</v>
      </c>
      <c r="I308">
        <v>2.12</v>
      </c>
      <c r="J308">
        <v>4.07</v>
      </c>
      <c r="K308" t="str">
        <f t="shared" si="4"/>
        <v>May 2022</v>
      </c>
    </row>
    <row r="309" spans="1:11" x14ac:dyDescent="0.25">
      <c r="A309" s="6">
        <v>44610</v>
      </c>
      <c r="B309" t="s">
        <v>10</v>
      </c>
      <c r="C309" t="s">
        <v>16</v>
      </c>
      <c r="D309" t="s">
        <v>17</v>
      </c>
      <c r="E309">
        <v>156</v>
      </c>
      <c r="F309" s="3">
        <v>11778329.289999999</v>
      </c>
      <c r="G309">
        <v>3147630.05</v>
      </c>
      <c r="H309">
        <v>8630699.2400000002</v>
      </c>
      <c r="I309">
        <v>2.64</v>
      </c>
      <c r="J309">
        <v>4.7699999999999996</v>
      </c>
      <c r="K309" t="str">
        <f t="shared" si="4"/>
        <v>Feb 2022</v>
      </c>
    </row>
    <row r="310" spans="1:11" x14ac:dyDescent="0.25">
      <c r="A310" s="6">
        <v>45078</v>
      </c>
      <c r="B310" t="s">
        <v>10</v>
      </c>
      <c r="C310" t="s">
        <v>15</v>
      </c>
      <c r="D310" t="s">
        <v>17</v>
      </c>
      <c r="E310">
        <v>93</v>
      </c>
      <c r="F310" s="3">
        <v>5538175.6299999999</v>
      </c>
      <c r="G310">
        <v>1258034.06</v>
      </c>
      <c r="H310">
        <v>4280141.57</v>
      </c>
      <c r="I310">
        <v>3.01</v>
      </c>
      <c r="J310">
        <v>4.3099999999999996</v>
      </c>
      <c r="K310" t="str">
        <f t="shared" si="4"/>
        <v>Jun 2023</v>
      </c>
    </row>
    <row r="311" spans="1:11" x14ac:dyDescent="0.25">
      <c r="A311" s="6">
        <v>45423</v>
      </c>
      <c r="B311" t="s">
        <v>10</v>
      </c>
      <c r="C311" t="s">
        <v>11</v>
      </c>
      <c r="D311" t="s">
        <v>17</v>
      </c>
      <c r="E311">
        <v>453</v>
      </c>
      <c r="F311" s="3">
        <v>22575811.57</v>
      </c>
      <c r="G311">
        <v>8772568.2100000009</v>
      </c>
      <c r="H311">
        <v>13803243.359999999</v>
      </c>
      <c r="I311">
        <v>2.89</v>
      </c>
      <c r="J311">
        <v>4.9000000000000004</v>
      </c>
      <c r="K311" t="str">
        <f t="shared" si="4"/>
        <v>May 2024</v>
      </c>
    </row>
    <row r="312" spans="1:11" x14ac:dyDescent="0.25">
      <c r="A312" s="6">
        <v>43976</v>
      </c>
      <c r="B312" t="s">
        <v>10</v>
      </c>
      <c r="C312" t="s">
        <v>16</v>
      </c>
      <c r="D312" t="s">
        <v>17</v>
      </c>
      <c r="E312">
        <v>334</v>
      </c>
      <c r="F312" s="3">
        <v>23446854.5</v>
      </c>
      <c r="G312">
        <v>8325034.6399999997</v>
      </c>
      <c r="H312">
        <v>15121819.859999999</v>
      </c>
      <c r="I312">
        <v>1.31</v>
      </c>
      <c r="J312">
        <v>3.63</v>
      </c>
      <c r="K312" t="str">
        <f t="shared" si="4"/>
        <v>May 2020</v>
      </c>
    </row>
    <row r="313" spans="1:11" x14ac:dyDescent="0.25">
      <c r="A313" s="6">
        <v>44903</v>
      </c>
      <c r="B313" t="s">
        <v>10</v>
      </c>
      <c r="C313" t="s">
        <v>11</v>
      </c>
      <c r="D313" t="s">
        <v>14</v>
      </c>
      <c r="E313">
        <v>210</v>
      </c>
      <c r="F313" s="3">
        <v>13208562.039999999</v>
      </c>
      <c r="G313">
        <v>5173601.28</v>
      </c>
      <c r="H313">
        <v>8034960.7599999998</v>
      </c>
      <c r="I313">
        <v>1.17</v>
      </c>
      <c r="J313">
        <v>4.9800000000000004</v>
      </c>
      <c r="K313" t="str">
        <f t="shared" si="4"/>
        <v>Dec 2022</v>
      </c>
    </row>
    <row r="314" spans="1:11" x14ac:dyDescent="0.25">
      <c r="A314" s="6">
        <v>43840</v>
      </c>
      <c r="B314" t="s">
        <v>10</v>
      </c>
      <c r="C314" t="s">
        <v>15</v>
      </c>
      <c r="D314" t="s">
        <v>14</v>
      </c>
      <c r="E314">
        <v>265</v>
      </c>
      <c r="F314" s="3">
        <v>19272979.75</v>
      </c>
      <c r="G314">
        <v>7642199.8300000001</v>
      </c>
      <c r="H314">
        <v>11630779.92</v>
      </c>
      <c r="I314">
        <v>1.95</v>
      </c>
      <c r="J314">
        <v>4.96</v>
      </c>
      <c r="K314" t="str">
        <f t="shared" si="4"/>
        <v>Jan 2020</v>
      </c>
    </row>
    <row r="315" spans="1:11" x14ac:dyDescent="0.25">
      <c r="A315" s="6">
        <v>44607</v>
      </c>
      <c r="B315" t="s">
        <v>10</v>
      </c>
      <c r="C315" t="s">
        <v>16</v>
      </c>
      <c r="D315" t="s">
        <v>14</v>
      </c>
      <c r="E315">
        <v>88</v>
      </c>
      <c r="F315" s="3">
        <v>5280940.9000000004</v>
      </c>
      <c r="G315">
        <v>1567809.93</v>
      </c>
      <c r="H315">
        <v>3713130.97</v>
      </c>
      <c r="I315">
        <v>2.7</v>
      </c>
      <c r="J315">
        <v>4.5</v>
      </c>
      <c r="K315" t="str">
        <f t="shared" si="4"/>
        <v>Feb 2022</v>
      </c>
    </row>
    <row r="316" spans="1:11" x14ac:dyDescent="0.25">
      <c r="A316" s="6">
        <v>44195</v>
      </c>
      <c r="B316" t="s">
        <v>10</v>
      </c>
      <c r="C316" t="s">
        <v>13</v>
      </c>
      <c r="D316" t="s">
        <v>17</v>
      </c>
      <c r="E316">
        <v>389</v>
      </c>
      <c r="F316" s="3">
        <v>16305239.65</v>
      </c>
      <c r="G316">
        <v>6089307.0099999998</v>
      </c>
      <c r="H316">
        <v>10215932.630000001</v>
      </c>
      <c r="I316">
        <v>1.1499999999999999</v>
      </c>
      <c r="J316">
        <v>4.91</v>
      </c>
      <c r="K316" t="str">
        <f t="shared" si="4"/>
        <v>Dec 2020</v>
      </c>
    </row>
    <row r="317" spans="1:11" x14ac:dyDescent="0.25">
      <c r="A317" s="6">
        <v>45551</v>
      </c>
      <c r="B317" t="s">
        <v>10</v>
      </c>
      <c r="C317" t="s">
        <v>15</v>
      </c>
      <c r="D317" t="s">
        <v>14</v>
      </c>
      <c r="E317">
        <v>429</v>
      </c>
      <c r="F317" s="3">
        <v>30904638.260000002</v>
      </c>
      <c r="G317">
        <v>6366899.1200000001</v>
      </c>
      <c r="H317">
        <v>24537739.149999999</v>
      </c>
      <c r="I317">
        <v>0.92</v>
      </c>
      <c r="J317">
        <v>4.51</v>
      </c>
      <c r="K317" t="str">
        <f t="shared" si="4"/>
        <v>Sep 2024</v>
      </c>
    </row>
    <row r="318" spans="1:11" x14ac:dyDescent="0.25">
      <c r="A318" s="6">
        <v>44399</v>
      </c>
      <c r="B318" t="s">
        <v>10</v>
      </c>
      <c r="C318" t="s">
        <v>18</v>
      </c>
      <c r="D318" t="s">
        <v>17</v>
      </c>
      <c r="E318">
        <v>401</v>
      </c>
      <c r="F318" s="3">
        <v>19208249.32</v>
      </c>
      <c r="G318">
        <v>3982458.5</v>
      </c>
      <c r="H318">
        <v>15225790.82</v>
      </c>
      <c r="I318">
        <v>1.65</v>
      </c>
      <c r="J318">
        <v>4.49</v>
      </c>
      <c r="K318" t="str">
        <f t="shared" si="4"/>
        <v>Jul 2021</v>
      </c>
    </row>
    <row r="319" spans="1:11" x14ac:dyDescent="0.25">
      <c r="A319" s="6">
        <v>44546</v>
      </c>
      <c r="B319" t="s">
        <v>10</v>
      </c>
      <c r="C319" t="s">
        <v>16</v>
      </c>
      <c r="D319" t="s">
        <v>17</v>
      </c>
      <c r="E319">
        <v>168</v>
      </c>
      <c r="F319" s="3">
        <v>14608235.390000001</v>
      </c>
      <c r="G319">
        <v>3847084.55</v>
      </c>
      <c r="H319">
        <v>10761150.84</v>
      </c>
      <c r="I319">
        <v>2.74</v>
      </c>
      <c r="J319">
        <v>4.43</v>
      </c>
      <c r="K319" t="str">
        <f t="shared" si="4"/>
        <v>Dec 2021</v>
      </c>
    </row>
    <row r="320" spans="1:11" x14ac:dyDescent="0.25">
      <c r="A320" s="6">
        <v>43927</v>
      </c>
      <c r="B320" t="s">
        <v>10</v>
      </c>
      <c r="C320" t="s">
        <v>18</v>
      </c>
      <c r="D320" t="s">
        <v>14</v>
      </c>
      <c r="E320">
        <v>185</v>
      </c>
      <c r="F320" s="3">
        <v>15272394.91</v>
      </c>
      <c r="G320">
        <v>3761531.72</v>
      </c>
      <c r="H320">
        <v>11510863.189999999</v>
      </c>
      <c r="I320">
        <v>1.01</v>
      </c>
      <c r="J320">
        <v>4.6900000000000004</v>
      </c>
      <c r="K320" t="str">
        <f t="shared" si="4"/>
        <v>Apr 2020</v>
      </c>
    </row>
    <row r="321" spans="1:11" x14ac:dyDescent="0.25">
      <c r="A321" s="6">
        <v>44634</v>
      </c>
      <c r="B321" t="s">
        <v>10</v>
      </c>
      <c r="C321" t="s">
        <v>15</v>
      </c>
      <c r="D321" t="s">
        <v>17</v>
      </c>
      <c r="E321">
        <v>338</v>
      </c>
      <c r="F321" s="3">
        <v>22995331.399999999</v>
      </c>
      <c r="G321">
        <v>4870984.43</v>
      </c>
      <c r="H321">
        <v>18124346.960000001</v>
      </c>
      <c r="I321">
        <v>4.22</v>
      </c>
      <c r="J321">
        <v>4.5</v>
      </c>
      <c r="K321" t="str">
        <f t="shared" si="4"/>
        <v>Mar 2022</v>
      </c>
    </row>
    <row r="322" spans="1:11" x14ac:dyDescent="0.25">
      <c r="A322" s="6">
        <v>43907</v>
      </c>
      <c r="B322" t="s">
        <v>10</v>
      </c>
      <c r="C322" t="s">
        <v>16</v>
      </c>
      <c r="D322" t="s">
        <v>17</v>
      </c>
      <c r="E322">
        <v>410</v>
      </c>
      <c r="F322" s="3">
        <v>16753672.83</v>
      </c>
      <c r="G322">
        <v>4497204.13</v>
      </c>
      <c r="H322">
        <v>12256468.699999999</v>
      </c>
      <c r="I322">
        <v>5</v>
      </c>
      <c r="J322">
        <v>3.57</v>
      </c>
      <c r="K322" t="str">
        <f t="shared" ref="K322:K385" si="5">TEXT(A322,"mmm yyyy")</f>
        <v>Mar 2020</v>
      </c>
    </row>
    <row r="323" spans="1:11" x14ac:dyDescent="0.25">
      <c r="A323" s="6">
        <v>45411</v>
      </c>
      <c r="B323" t="s">
        <v>10</v>
      </c>
      <c r="C323" t="s">
        <v>13</v>
      </c>
      <c r="D323" t="s">
        <v>14</v>
      </c>
      <c r="E323">
        <v>122</v>
      </c>
      <c r="F323" s="3">
        <v>10083803.460000001</v>
      </c>
      <c r="G323">
        <v>2030198.49</v>
      </c>
      <c r="H323">
        <v>8053604.96</v>
      </c>
      <c r="I323">
        <v>3.89</v>
      </c>
      <c r="J323">
        <v>3.64</v>
      </c>
      <c r="K323" t="str">
        <f t="shared" si="5"/>
        <v>Apr 2024</v>
      </c>
    </row>
    <row r="324" spans="1:11" x14ac:dyDescent="0.25">
      <c r="A324" s="6">
        <v>43980</v>
      </c>
      <c r="B324" t="s">
        <v>10</v>
      </c>
      <c r="C324" t="s">
        <v>11</v>
      </c>
      <c r="D324" t="s">
        <v>14</v>
      </c>
      <c r="E324">
        <v>208</v>
      </c>
      <c r="F324" s="3">
        <v>15727858.949999999</v>
      </c>
      <c r="G324">
        <v>3527709.81</v>
      </c>
      <c r="H324">
        <v>12200149.140000001</v>
      </c>
      <c r="I324">
        <v>2.3199999999999998</v>
      </c>
      <c r="J324">
        <v>3.99</v>
      </c>
      <c r="K324" t="str">
        <f t="shared" si="5"/>
        <v>May 2020</v>
      </c>
    </row>
    <row r="325" spans="1:11" x14ac:dyDescent="0.25">
      <c r="A325" s="6">
        <v>45571</v>
      </c>
      <c r="B325" t="s">
        <v>10</v>
      </c>
      <c r="C325" t="s">
        <v>11</v>
      </c>
      <c r="D325" t="s">
        <v>12</v>
      </c>
      <c r="E325">
        <v>151</v>
      </c>
      <c r="F325" s="3">
        <v>8924021.3399999999</v>
      </c>
      <c r="G325">
        <v>1960829.43</v>
      </c>
      <c r="H325">
        <v>6963191.9100000001</v>
      </c>
      <c r="I325">
        <v>4.45</v>
      </c>
      <c r="J325">
        <v>3.98</v>
      </c>
      <c r="K325" t="str">
        <f t="shared" si="5"/>
        <v>Oct 2024</v>
      </c>
    </row>
    <row r="326" spans="1:11" x14ac:dyDescent="0.25">
      <c r="A326" s="6">
        <v>44545</v>
      </c>
      <c r="B326" t="s">
        <v>10</v>
      </c>
      <c r="C326" t="s">
        <v>15</v>
      </c>
      <c r="D326" t="s">
        <v>17</v>
      </c>
      <c r="E326">
        <v>414</v>
      </c>
      <c r="F326" s="3">
        <v>33112085.100000001</v>
      </c>
      <c r="G326">
        <v>12448759.550000001</v>
      </c>
      <c r="H326">
        <v>20663325.559999999</v>
      </c>
      <c r="I326">
        <v>2.95</v>
      </c>
      <c r="J326">
        <v>3.51</v>
      </c>
      <c r="K326" t="str">
        <f t="shared" si="5"/>
        <v>Dec 2021</v>
      </c>
    </row>
    <row r="327" spans="1:11" x14ac:dyDescent="0.25">
      <c r="A327" s="6">
        <v>45126</v>
      </c>
      <c r="B327" t="s">
        <v>10</v>
      </c>
      <c r="C327" t="s">
        <v>16</v>
      </c>
      <c r="D327" t="s">
        <v>12</v>
      </c>
      <c r="E327">
        <v>192</v>
      </c>
      <c r="F327" s="3">
        <v>13375004.380000001</v>
      </c>
      <c r="G327">
        <v>3718701.14</v>
      </c>
      <c r="H327">
        <v>9656303.2400000002</v>
      </c>
      <c r="I327">
        <v>3.04</v>
      </c>
      <c r="J327">
        <v>4.07</v>
      </c>
      <c r="K327" t="str">
        <f t="shared" si="5"/>
        <v>Jul 2023</v>
      </c>
    </row>
    <row r="328" spans="1:11" x14ac:dyDescent="0.25">
      <c r="A328" s="6">
        <v>44499</v>
      </c>
      <c r="B328" t="s">
        <v>10</v>
      </c>
      <c r="C328" t="s">
        <v>13</v>
      </c>
      <c r="D328" t="s">
        <v>12</v>
      </c>
      <c r="E328">
        <v>142</v>
      </c>
      <c r="F328" s="3">
        <v>8474297.1899999995</v>
      </c>
      <c r="G328">
        <v>2987114.96</v>
      </c>
      <c r="H328">
        <v>5487182.2300000004</v>
      </c>
      <c r="I328">
        <v>2.1800000000000002</v>
      </c>
      <c r="J328">
        <v>3.84</v>
      </c>
      <c r="K328" t="str">
        <f t="shared" si="5"/>
        <v>Oct 2021</v>
      </c>
    </row>
    <row r="329" spans="1:11" x14ac:dyDescent="0.25">
      <c r="A329" s="6">
        <v>45560</v>
      </c>
      <c r="B329" t="s">
        <v>10</v>
      </c>
      <c r="C329" t="s">
        <v>13</v>
      </c>
      <c r="D329" t="s">
        <v>12</v>
      </c>
      <c r="E329">
        <v>316</v>
      </c>
      <c r="F329" s="3">
        <v>21547936.550000001</v>
      </c>
      <c r="G329">
        <v>5739453.2199999997</v>
      </c>
      <c r="H329">
        <v>15808483.33</v>
      </c>
      <c r="I329">
        <v>3.29</v>
      </c>
      <c r="J329">
        <v>4.2</v>
      </c>
      <c r="K329" t="str">
        <f t="shared" si="5"/>
        <v>Sep 2024</v>
      </c>
    </row>
    <row r="330" spans="1:11" x14ac:dyDescent="0.25">
      <c r="A330" s="6">
        <v>43980</v>
      </c>
      <c r="B330" t="s">
        <v>10</v>
      </c>
      <c r="C330" t="s">
        <v>18</v>
      </c>
      <c r="D330" t="s">
        <v>12</v>
      </c>
      <c r="E330">
        <v>52</v>
      </c>
      <c r="F330" s="3">
        <v>3371160.08</v>
      </c>
      <c r="G330">
        <v>706946.72</v>
      </c>
      <c r="H330">
        <v>2664213.36</v>
      </c>
      <c r="I330">
        <v>4.3099999999999996</v>
      </c>
      <c r="J330">
        <v>4.87</v>
      </c>
      <c r="K330" t="str">
        <f t="shared" si="5"/>
        <v>May 2020</v>
      </c>
    </row>
    <row r="331" spans="1:11" x14ac:dyDescent="0.25">
      <c r="A331" s="6">
        <v>44360</v>
      </c>
      <c r="B331" t="s">
        <v>10</v>
      </c>
      <c r="C331" t="s">
        <v>15</v>
      </c>
      <c r="D331" t="s">
        <v>12</v>
      </c>
      <c r="E331">
        <v>270</v>
      </c>
      <c r="F331" s="3">
        <v>14517530.24</v>
      </c>
      <c r="G331">
        <v>4703111.82</v>
      </c>
      <c r="H331">
        <v>9814418.4199999999</v>
      </c>
      <c r="I331">
        <v>2.29</v>
      </c>
      <c r="J331">
        <v>4.37</v>
      </c>
      <c r="K331" t="str">
        <f t="shared" si="5"/>
        <v>Jun 2021</v>
      </c>
    </row>
    <row r="332" spans="1:11" x14ac:dyDescent="0.25">
      <c r="A332" s="6">
        <v>45089</v>
      </c>
      <c r="B332" t="s">
        <v>10</v>
      </c>
      <c r="C332" t="s">
        <v>18</v>
      </c>
      <c r="D332" t="s">
        <v>12</v>
      </c>
      <c r="E332">
        <v>349</v>
      </c>
      <c r="F332" s="3">
        <v>21365169.640000001</v>
      </c>
      <c r="G332">
        <v>6860931.4500000002</v>
      </c>
      <c r="H332">
        <v>14504238.199999999</v>
      </c>
      <c r="I332">
        <v>2.97</v>
      </c>
      <c r="J332">
        <v>4.62</v>
      </c>
      <c r="K332" t="str">
        <f t="shared" si="5"/>
        <v>Jun 2023</v>
      </c>
    </row>
    <row r="333" spans="1:11" x14ac:dyDescent="0.25">
      <c r="A333" s="6">
        <v>44942</v>
      </c>
      <c r="B333" t="s">
        <v>10</v>
      </c>
      <c r="C333" t="s">
        <v>16</v>
      </c>
      <c r="D333" t="s">
        <v>14</v>
      </c>
      <c r="E333">
        <v>413</v>
      </c>
      <c r="F333" s="3">
        <v>36159720.75</v>
      </c>
      <c r="G333">
        <v>14332031.279999999</v>
      </c>
      <c r="H333">
        <v>21827689.469999999</v>
      </c>
      <c r="I333">
        <v>1.38</v>
      </c>
      <c r="J333">
        <v>3.51</v>
      </c>
      <c r="K333" t="str">
        <f t="shared" si="5"/>
        <v>Jan 2023</v>
      </c>
    </row>
    <row r="334" spans="1:11" x14ac:dyDescent="0.25">
      <c r="A334" s="6">
        <v>45278</v>
      </c>
      <c r="B334" t="s">
        <v>10</v>
      </c>
      <c r="C334" t="s">
        <v>16</v>
      </c>
      <c r="D334" t="s">
        <v>12</v>
      </c>
      <c r="E334">
        <v>352</v>
      </c>
      <c r="F334" s="3">
        <v>13699986.029999999</v>
      </c>
      <c r="G334">
        <v>2864228.6</v>
      </c>
      <c r="H334">
        <v>10835757.43</v>
      </c>
      <c r="I334">
        <v>3.45</v>
      </c>
      <c r="J334">
        <v>4.07</v>
      </c>
      <c r="K334" t="str">
        <f t="shared" si="5"/>
        <v>Dec 2023</v>
      </c>
    </row>
    <row r="335" spans="1:11" x14ac:dyDescent="0.25">
      <c r="A335" s="6">
        <v>44902</v>
      </c>
      <c r="B335" t="s">
        <v>10</v>
      </c>
      <c r="C335" t="s">
        <v>16</v>
      </c>
      <c r="D335" t="s">
        <v>14</v>
      </c>
      <c r="E335">
        <v>373</v>
      </c>
      <c r="F335" s="3">
        <v>32224955.09</v>
      </c>
      <c r="G335">
        <v>10623776.970000001</v>
      </c>
      <c r="H335">
        <v>21601178.109999999</v>
      </c>
      <c r="I335">
        <v>0.96</v>
      </c>
      <c r="J335">
        <v>4.2300000000000004</v>
      </c>
      <c r="K335" t="str">
        <f t="shared" si="5"/>
        <v>Dec 2022</v>
      </c>
    </row>
    <row r="336" spans="1:11" x14ac:dyDescent="0.25">
      <c r="A336" s="6">
        <v>45375</v>
      </c>
      <c r="B336" t="s">
        <v>10</v>
      </c>
      <c r="C336" t="s">
        <v>16</v>
      </c>
      <c r="D336" t="s">
        <v>12</v>
      </c>
      <c r="E336">
        <v>422</v>
      </c>
      <c r="F336" s="3">
        <v>21381900.050000001</v>
      </c>
      <c r="G336">
        <v>7238671.3600000003</v>
      </c>
      <c r="H336">
        <v>14143228.699999999</v>
      </c>
      <c r="I336">
        <v>4.1100000000000003</v>
      </c>
      <c r="J336">
        <v>4.3099999999999996</v>
      </c>
      <c r="K336" t="str">
        <f t="shared" si="5"/>
        <v>Mar 2024</v>
      </c>
    </row>
    <row r="337" spans="1:11" x14ac:dyDescent="0.25">
      <c r="A337" s="6">
        <v>43967</v>
      </c>
      <c r="B337" t="s">
        <v>10</v>
      </c>
      <c r="C337" t="s">
        <v>15</v>
      </c>
      <c r="D337" t="s">
        <v>12</v>
      </c>
      <c r="E337">
        <v>193</v>
      </c>
      <c r="F337" s="3">
        <v>7706383.5899999999</v>
      </c>
      <c r="G337">
        <v>1976478.11</v>
      </c>
      <c r="H337">
        <v>5729905.4800000004</v>
      </c>
      <c r="I337">
        <v>2.2999999999999998</v>
      </c>
      <c r="J337">
        <v>4.97</v>
      </c>
      <c r="K337" t="str">
        <f t="shared" si="5"/>
        <v>May 2020</v>
      </c>
    </row>
    <row r="338" spans="1:11" x14ac:dyDescent="0.25">
      <c r="A338" s="6">
        <v>44103</v>
      </c>
      <c r="B338" t="s">
        <v>10</v>
      </c>
      <c r="C338" t="s">
        <v>18</v>
      </c>
      <c r="D338" t="s">
        <v>17</v>
      </c>
      <c r="E338">
        <v>139</v>
      </c>
      <c r="F338" s="3">
        <v>5796819.1799999997</v>
      </c>
      <c r="G338">
        <v>2108709.67</v>
      </c>
      <c r="H338">
        <v>3688109.52</v>
      </c>
      <c r="I338">
        <v>3.57</v>
      </c>
      <c r="J338">
        <v>3.77</v>
      </c>
      <c r="K338" t="str">
        <f t="shared" si="5"/>
        <v>Sep 2020</v>
      </c>
    </row>
    <row r="339" spans="1:11" x14ac:dyDescent="0.25">
      <c r="A339" s="6">
        <v>45162</v>
      </c>
      <c r="B339" t="s">
        <v>10</v>
      </c>
      <c r="C339" t="s">
        <v>15</v>
      </c>
      <c r="D339" t="s">
        <v>14</v>
      </c>
      <c r="E339">
        <v>446</v>
      </c>
      <c r="F339" s="3">
        <v>20137873.23</v>
      </c>
      <c r="G339">
        <v>6865893.9400000004</v>
      </c>
      <c r="H339">
        <v>13271979.289999999</v>
      </c>
      <c r="I339">
        <v>4.07</v>
      </c>
      <c r="J339">
        <v>3.78</v>
      </c>
      <c r="K339" t="str">
        <f t="shared" si="5"/>
        <v>Aug 2023</v>
      </c>
    </row>
    <row r="340" spans="1:11" x14ac:dyDescent="0.25">
      <c r="A340" s="6">
        <v>45073</v>
      </c>
      <c r="B340" t="s">
        <v>10</v>
      </c>
      <c r="C340" t="s">
        <v>16</v>
      </c>
      <c r="D340" t="s">
        <v>17</v>
      </c>
      <c r="E340">
        <v>489</v>
      </c>
      <c r="F340" s="3">
        <v>43012918.310000002</v>
      </c>
      <c r="G340">
        <v>13045425.439999999</v>
      </c>
      <c r="H340">
        <v>29967492.870000001</v>
      </c>
      <c r="I340">
        <v>4.13</v>
      </c>
      <c r="J340">
        <v>4.33</v>
      </c>
      <c r="K340" t="str">
        <f t="shared" si="5"/>
        <v>May 2023</v>
      </c>
    </row>
    <row r="341" spans="1:11" x14ac:dyDescent="0.25">
      <c r="A341" s="6">
        <v>44401</v>
      </c>
      <c r="B341" t="s">
        <v>10</v>
      </c>
      <c r="C341" t="s">
        <v>15</v>
      </c>
      <c r="D341" t="s">
        <v>12</v>
      </c>
      <c r="E341">
        <v>425</v>
      </c>
      <c r="F341" s="3">
        <v>27181918.66</v>
      </c>
      <c r="G341">
        <v>10262237.949999999</v>
      </c>
      <c r="H341">
        <v>16919680.710000001</v>
      </c>
      <c r="I341">
        <v>0.51</v>
      </c>
      <c r="J341">
        <v>4.46</v>
      </c>
      <c r="K341" t="str">
        <f t="shared" si="5"/>
        <v>Jul 2021</v>
      </c>
    </row>
    <row r="342" spans="1:11" x14ac:dyDescent="0.25">
      <c r="A342" s="6">
        <v>44693</v>
      </c>
      <c r="B342" t="s">
        <v>10</v>
      </c>
      <c r="C342" t="s">
        <v>15</v>
      </c>
      <c r="D342" t="s">
        <v>12</v>
      </c>
      <c r="E342">
        <v>326</v>
      </c>
      <c r="F342" s="3">
        <v>27263821.890000001</v>
      </c>
      <c r="G342">
        <v>9661863.5</v>
      </c>
      <c r="H342">
        <v>17601958.390000001</v>
      </c>
      <c r="I342">
        <v>1.45</v>
      </c>
      <c r="J342">
        <v>4.42</v>
      </c>
      <c r="K342" t="str">
        <f t="shared" si="5"/>
        <v>May 2022</v>
      </c>
    </row>
    <row r="343" spans="1:11" x14ac:dyDescent="0.25">
      <c r="A343" s="6">
        <v>45474</v>
      </c>
      <c r="B343" t="s">
        <v>10</v>
      </c>
      <c r="C343" t="s">
        <v>15</v>
      </c>
      <c r="D343" t="s">
        <v>12</v>
      </c>
      <c r="E343">
        <v>427</v>
      </c>
      <c r="F343" s="3">
        <v>23417742.609999999</v>
      </c>
      <c r="G343">
        <v>5124312.0999999996</v>
      </c>
      <c r="H343">
        <v>18293430.510000002</v>
      </c>
      <c r="I343">
        <v>3.96</v>
      </c>
      <c r="J343">
        <v>4.33</v>
      </c>
      <c r="K343" t="str">
        <f t="shared" si="5"/>
        <v>Jul 2024</v>
      </c>
    </row>
    <row r="344" spans="1:11" x14ac:dyDescent="0.25">
      <c r="A344" s="6">
        <v>45487</v>
      </c>
      <c r="B344" t="s">
        <v>10</v>
      </c>
      <c r="C344" t="s">
        <v>11</v>
      </c>
      <c r="D344" t="s">
        <v>14</v>
      </c>
      <c r="E344">
        <v>396</v>
      </c>
      <c r="F344" s="3">
        <v>30859845.719999999</v>
      </c>
      <c r="G344">
        <v>10647843.92</v>
      </c>
      <c r="H344">
        <v>20212001.809999999</v>
      </c>
      <c r="I344">
        <v>4.2</v>
      </c>
      <c r="J344">
        <v>4.1399999999999997</v>
      </c>
      <c r="K344" t="str">
        <f t="shared" si="5"/>
        <v>Jul 2024</v>
      </c>
    </row>
    <row r="345" spans="1:11" x14ac:dyDescent="0.25">
      <c r="A345" s="6">
        <v>45227</v>
      </c>
      <c r="B345" t="s">
        <v>10</v>
      </c>
      <c r="C345" t="s">
        <v>13</v>
      </c>
      <c r="D345" t="s">
        <v>17</v>
      </c>
      <c r="E345">
        <v>251</v>
      </c>
      <c r="F345" s="3">
        <v>19960561.32</v>
      </c>
      <c r="G345">
        <v>4923647.17</v>
      </c>
      <c r="H345">
        <v>15036914.15</v>
      </c>
      <c r="I345">
        <v>1.17</v>
      </c>
      <c r="J345">
        <v>4.1399999999999997</v>
      </c>
      <c r="K345" t="str">
        <f t="shared" si="5"/>
        <v>Oct 2023</v>
      </c>
    </row>
    <row r="346" spans="1:11" x14ac:dyDescent="0.25">
      <c r="A346" s="6">
        <v>44045</v>
      </c>
      <c r="B346" t="s">
        <v>10</v>
      </c>
      <c r="C346" t="s">
        <v>18</v>
      </c>
      <c r="D346" t="s">
        <v>17</v>
      </c>
      <c r="E346">
        <v>118</v>
      </c>
      <c r="F346" s="3">
        <v>5220412.21</v>
      </c>
      <c r="G346">
        <v>1318807.94</v>
      </c>
      <c r="H346">
        <v>3901604.26</v>
      </c>
      <c r="I346">
        <v>4.38</v>
      </c>
      <c r="J346">
        <v>3.83</v>
      </c>
      <c r="K346" t="str">
        <f t="shared" si="5"/>
        <v>Aug 2020</v>
      </c>
    </row>
    <row r="347" spans="1:11" x14ac:dyDescent="0.25">
      <c r="A347" s="6">
        <v>44738</v>
      </c>
      <c r="B347" t="s">
        <v>10</v>
      </c>
      <c r="C347" t="s">
        <v>15</v>
      </c>
      <c r="D347" t="s">
        <v>17</v>
      </c>
      <c r="E347">
        <v>199</v>
      </c>
      <c r="F347" s="3">
        <v>7223724.3200000003</v>
      </c>
      <c r="G347">
        <v>1962004.7</v>
      </c>
      <c r="H347">
        <v>5261719.62</v>
      </c>
      <c r="I347">
        <v>3.23</v>
      </c>
      <c r="J347">
        <v>4.32</v>
      </c>
      <c r="K347" t="str">
        <f t="shared" si="5"/>
        <v>Jun 2022</v>
      </c>
    </row>
    <row r="348" spans="1:11" x14ac:dyDescent="0.25">
      <c r="A348" s="6">
        <v>44330</v>
      </c>
      <c r="B348" t="s">
        <v>10</v>
      </c>
      <c r="C348" t="s">
        <v>16</v>
      </c>
      <c r="D348" t="s">
        <v>12</v>
      </c>
      <c r="E348">
        <v>187</v>
      </c>
      <c r="F348" s="3">
        <v>9187050.3699999992</v>
      </c>
      <c r="G348">
        <v>2513548.5299999998</v>
      </c>
      <c r="H348">
        <v>6673501.8499999996</v>
      </c>
      <c r="I348">
        <v>0.76</v>
      </c>
      <c r="J348">
        <v>3.71</v>
      </c>
      <c r="K348" t="str">
        <f t="shared" si="5"/>
        <v>May 2021</v>
      </c>
    </row>
    <row r="349" spans="1:11" x14ac:dyDescent="0.25">
      <c r="A349" s="6">
        <v>44348</v>
      </c>
      <c r="B349" t="s">
        <v>10</v>
      </c>
      <c r="C349" t="s">
        <v>11</v>
      </c>
      <c r="D349" t="s">
        <v>12</v>
      </c>
      <c r="E349">
        <v>369</v>
      </c>
      <c r="F349" s="3">
        <v>15684044.779999999</v>
      </c>
      <c r="G349">
        <v>4093082.25</v>
      </c>
      <c r="H349">
        <v>11590962.529999999</v>
      </c>
      <c r="I349">
        <v>2.3199999999999998</v>
      </c>
      <c r="J349">
        <v>4.1399999999999997</v>
      </c>
      <c r="K349" t="str">
        <f t="shared" si="5"/>
        <v>Jun 2021</v>
      </c>
    </row>
    <row r="350" spans="1:11" x14ac:dyDescent="0.25">
      <c r="A350" s="6">
        <v>44952</v>
      </c>
      <c r="B350" t="s">
        <v>10</v>
      </c>
      <c r="C350" t="s">
        <v>18</v>
      </c>
      <c r="D350" t="s">
        <v>17</v>
      </c>
      <c r="E350">
        <v>216</v>
      </c>
      <c r="F350" s="3">
        <v>16167260.189999999</v>
      </c>
      <c r="G350">
        <v>6415747.3399999999</v>
      </c>
      <c r="H350">
        <v>9751512.8599999994</v>
      </c>
      <c r="I350">
        <v>2.0299999999999998</v>
      </c>
      <c r="J350">
        <v>4.7300000000000004</v>
      </c>
      <c r="K350" t="str">
        <f t="shared" si="5"/>
        <v>Jan 2023</v>
      </c>
    </row>
    <row r="351" spans="1:11" x14ac:dyDescent="0.25">
      <c r="A351" s="6">
        <v>44874</v>
      </c>
      <c r="B351" t="s">
        <v>10</v>
      </c>
      <c r="C351" t="s">
        <v>16</v>
      </c>
      <c r="D351" t="s">
        <v>17</v>
      </c>
      <c r="E351">
        <v>117</v>
      </c>
      <c r="F351" s="3">
        <v>8756120.2899999991</v>
      </c>
      <c r="G351">
        <v>2489563.0299999998</v>
      </c>
      <c r="H351">
        <v>6266557.2599999998</v>
      </c>
      <c r="I351">
        <v>1.73</v>
      </c>
      <c r="J351">
        <v>3.62</v>
      </c>
      <c r="K351" t="str">
        <f t="shared" si="5"/>
        <v>Nov 2022</v>
      </c>
    </row>
    <row r="352" spans="1:11" x14ac:dyDescent="0.25">
      <c r="A352" s="6">
        <v>43850</v>
      </c>
      <c r="B352" t="s">
        <v>10</v>
      </c>
      <c r="C352" t="s">
        <v>15</v>
      </c>
      <c r="D352" t="s">
        <v>17</v>
      </c>
      <c r="E352">
        <v>281</v>
      </c>
      <c r="F352" s="3">
        <v>19807954.440000001</v>
      </c>
      <c r="G352">
        <v>5563061.1200000001</v>
      </c>
      <c r="H352">
        <v>14244893.32</v>
      </c>
      <c r="I352">
        <v>2.31</v>
      </c>
      <c r="J352">
        <v>4.05</v>
      </c>
      <c r="K352" t="str">
        <f t="shared" si="5"/>
        <v>Jan 2020</v>
      </c>
    </row>
    <row r="353" spans="1:11" x14ac:dyDescent="0.25">
      <c r="A353" s="6">
        <v>43911</v>
      </c>
      <c r="B353" t="s">
        <v>10</v>
      </c>
      <c r="C353" t="s">
        <v>16</v>
      </c>
      <c r="D353" t="s">
        <v>14</v>
      </c>
      <c r="E353">
        <v>119</v>
      </c>
      <c r="F353" s="3">
        <v>6488450.8200000003</v>
      </c>
      <c r="G353">
        <v>2505289.69</v>
      </c>
      <c r="H353">
        <v>3983161.13</v>
      </c>
      <c r="I353">
        <v>2.84</v>
      </c>
      <c r="J353">
        <v>3.6</v>
      </c>
      <c r="K353" t="str">
        <f t="shared" si="5"/>
        <v>Mar 2020</v>
      </c>
    </row>
    <row r="354" spans="1:11" x14ac:dyDescent="0.25">
      <c r="A354" s="6">
        <v>44748</v>
      </c>
      <c r="B354" t="s">
        <v>10</v>
      </c>
      <c r="C354" t="s">
        <v>15</v>
      </c>
      <c r="D354" t="s">
        <v>12</v>
      </c>
      <c r="E354">
        <v>54</v>
      </c>
      <c r="F354" s="3">
        <v>2097696.87</v>
      </c>
      <c r="G354">
        <v>570502.97</v>
      </c>
      <c r="H354">
        <v>1527193.9</v>
      </c>
      <c r="I354">
        <v>1.72</v>
      </c>
      <c r="J354">
        <v>4.3899999999999997</v>
      </c>
      <c r="K354" t="str">
        <f t="shared" si="5"/>
        <v>Jul 2022</v>
      </c>
    </row>
    <row r="355" spans="1:11" x14ac:dyDescent="0.25">
      <c r="A355" s="6">
        <v>44482</v>
      </c>
      <c r="B355" t="s">
        <v>10</v>
      </c>
      <c r="C355" t="s">
        <v>13</v>
      </c>
      <c r="D355" t="s">
        <v>14</v>
      </c>
      <c r="E355">
        <v>116</v>
      </c>
      <c r="F355" s="3">
        <v>7460270.6799999997</v>
      </c>
      <c r="G355">
        <v>2500184.75</v>
      </c>
      <c r="H355">
        <v>4960085.92</v>
      </c>
      <c r="I355">
        <v>2</v>
      </c>
      <c r="J355">
        <v>4.5</v>
      </c>
      <c r="K355" t="str">
        <f t="shared" si="5"/>
        <v>Oct 2021</v>
      </c>
    </row>
    <row r="356" spans="1:11" x14ac:dyDescent="0.25">
      <c r="A356" s="6">
        <v>44211</v>
      </c>
      <c r="B356" t="s">
        <v>10</v>
      </c>
      <c r="C356" t="s">
        <v>15</v>
      </c>
      <c r="D356" t="s">
        <v>14</v>
      </c>
      <c r="E356">
        <v>264</v>
      </c>
      <c r="F356" s="3">
        <v>14735477.67</v>
      </c>
      <c r="G356">
        <v>4824559.63</v>
      </c>
      <c r="H356">
        <v>9910918.0399999991</v>
      </c>
      <c r="I356">
        <v>4.9800000000000004</v>
      </c>
      <c r="J356">
        <v>4.17</v>
      </c>
      <c r="K356" t="str">
        <f t="shared" si="5"/>
        <v>Jan 2021</v>
      </c>
    </row>
    <row r="357" spans="1:11" x14ac:dyDescent="0.25">
      <c r="A357" s="6">
        <v>45379</v>
      </c>
      <c r="B357" t="s">
        <v>10</v>
      </c>
      <c r="C357" t="s">
        <v>18</v>
      </c>
      <c r="D357" t="s">
        <v>14</v>
      </c>
      <c r="E357">
        <v>165</v>
      </c>
      <c r="F357" s="3">
        <v>6320791.7599999998</v>
      </c>
      <c r="G357">
        <v>1817484.49</v>
      </c>
      <c r="H357">
        <v>4503307.2699999996</v>
      </c>
      <c r="I357">
        <v>4.8099999999999996</v>
      </c>
      <c r="J357">
        <v>3.76</v>
      </c>
      <c r="K357" t="str">
        <f t="shared" si="5"/>
        <v>Mar 2024</v>
      </c>
    </row>
    <row r="358" spans="1:11" x14ac:dyDescent="0.25">
      <c r="A358" s="6">
        <v>44190</v>
      </c>
      <c r="B358" t="s">
        <v>10</v>
      </c>
      <c r="C358" t="s">
        <v>13</v>
      </c>
      <c r="D358" t="s">
        <v>17</v>
      </c>
      <c r="E358">
        <v>336</v>
      </c>
      <c r="F358" s="3">
        <v>25709402.91</v>
      </c>
      <c r="G358">
        <v>9407183.9600000009</v>
      </c>
      <c r="H358">
        <v>16302218.949999999</v>
      </c>
      <c r="I358">
        <v>2.34</v>
      </c>
      <c r="J358">
        <v>4.13</v>
      </c>
      <c r="K358" t="str">
        <f t="shared" si="5"/>
        <v>Dec 2020</v>
      </c>
    </row>
    <row r="359" spans="1:11" x14ac:dyDescent="0.25">
      <c r="A359" s="6">
        <v>44816</v>
      </c>
      <c r="B359" t="s">
        <v>10</v>
      </c>
      <c r="C359" t="s">
        <v>11</v>
      </c>
      <c r="D359" t="s">
        <v>14</v>
      </c>
      <c r="E359">
        <v>104</v>
      </c>
      <c r="F359" s="3">
        <v>7965254.2400000002</v>
      </c>
      <c r="G359">
        <v>2632402.58</v>
      </c>
      <c r="H359">
        <v>5332851.66</v>
      </c>
      <c r="I359">
        <v>3.49</v>
      </c>
      <c r="J359">
        <v>4.6900000000000004</v>
      </c>
      <c r="K359" t="str">
        <f t="shared" si="5"/>
        <v>Sep 2022</v>
      </c>
    </row>
    <row r="360" spans="1:11" x14ac:dyDescent="0.25">
      <c r="A360" s="6">
        <v>44427</v>
      </c>
      <c r="B360" t="s">
        <v>10</v>
      </c>
      <c r="C360" t="s">
        <v>15</v>
      </c>
      <c r="D360" t="s">
        <v>12</v>
      </c>
      <c r="E360">
        <v>193</v>
      </c>
      <c r="F360" s="3">
        <v>10815516.460000001</v>
      </c>
      <c r="G360">
        <v>4067004.08</v>
      </c>
      <c r="H360">
        <v>6748512.3899999997</v>
      </c>
      <c r="I360">
        <v>4.88</v>
      </c>
      <c r="J360">
        <v>3.53</v>
      </c>
      <c r="K360" t="str">
        <f t="shared" si="5"/>
        <v>Aug 2021</v>
      </c>
    </row>
    <row r="361" spans="1:11" x14ac:dyDescent="0.25">
      <c r="A361" s="6">
        <v>45168</v>
      </c>
      <c r="B361" t="s">
        <v>10</v>
      </c>
      <c r="C361" t="s">
        <v>15</v>
      </c>
      <c r="D361" t="s">
        <v>17</v>
      </c>
      <c r="E361">
        <v>409</v>
      </c>
      <c r="F361" s="3">
        <v>31604652.609999999</v>
      </c>
      <c r="G361">
        <v>11101723.869999999</v>
      </c>
      <c r="H361">
        <v>20502928.739999998</v>
      </c>
      <c r="I361">
        <v>3.52</v>
      </c>
      <c r="J361">
        <v>3.64</v>
      </c>
      <c r="K361" t="str">
        <f t="shared" si="5"/>
        <v>Aug 2023</v>
      </c>
    </row>
    <row r="362" spans="1:11" x14ac:dyDescent="0.25">
      <c r="A362" s="6">
        <v>45205</v>
      </c>
      <c r="B362" t="s">
        <v>10</v>
      </c>
      <c r="C362" t="s">
        <v>11</v>
      </c>
      <c r="D362" t="s">
        <v>12</v>
      </c>
      <c r="E362">
        <v>455</v>
      </c>
      <c r="F362" s="3">
        <v>18155338.91</v>
      </c>
      <c r="G362">
        <v>4519697.47</v>
      </c>
      <c r="H362">
        <v>13635641.439999999</v>
      </c>
      <c r="I362">
        <v>1.07</v>
      </c>
      <c r="J362">
        <v>4.74</v>
      </c>
      <c r="K362" t="str">
        <f t="shared" si="5"/>
        <v>Oct 2023</v>
      </c>
    </row>
    <row r="363" spans="1:11" x14ac:dyDescent="0.25">
      <c r="A363" s="6">
        <v>44122</v>
      </c>
      <c r="B363" t="s">
        <v>10</v>
      </c>
      <c r="C363" t="s">
        <v>15</v>
      </c>
      <c r="D363" t="s">
        <v>17</v>
      </c>
      <c r="E363">
        <v>87</v>
      </c>
      <c r="F363" s="3">
        <v>3807269.74</v>
      </c>
      <c r="G363">
        <v>1474853.27</v>
      </c>
      <c r="H363">
        <v>2332416.4700000002</v>
      </c>
      <c r="I363">
        <v>1.03</v>
      </c>
      <c r="J363">
        <v>3.84</v>
      </c>
      <c r="K363" t="str">
        <f t="shared" si="5"/>
        <v>Oct 2020</v>
      </c>
    </row>
    <row r="364" spans="1:11" x14ac:dyDescent="0.25">
      <c r="A364" s="6">
        <v>44785</v>
      </c>
      <c r="B364" t="s">
        <v>10</v>
      </c>
      <c r="C364" t="s">
        <v>16</v>
      </c>
      <c r="D364" t="s">
        <v>17</v>
      </c>
      <c r="E364">
        <v>286</v>
      </c>
      <c r="F364" s="3">
        <v>15674945.689999999</v>
      </c>
      <c r="G364">
        <v>5995219.2199999997</v>
      </c>
      <c r="H364">
        <v>9679726.4700000007</v>
      </c>
      <c r="I364">
        <v>4.72</v>
      </c>
      <c r="J364">
        <v>4.33</v>
      </c>
      <c r="K364" t="str">
        <f t="shared" si="5"/>
        <v>Aug 2022</v>
      </c>
    </row>
    <row r="365" spans="1:11" x14ac:dyDescent="0.25">
      <c r="A365" s="6">
        <v>45326</v>
      </c>
      <c r="B365" t="s">
        <v>10</v>
      </c>
      <c r="C365" t="s">
        <v>15</v>
      </c>
      <c r="D365" t="s">
        <v>14</v>
      </c>
      <c r="E365">
        <v>380</v>
      </c>
      <c r="F365" s="3">
        <v>30548479.66</v>
      </c>
      <c r="G365">
        <v>10510488.289999999</v>
      </c>
      <c r="H365">
        <v>20037991.370000001</v>
      </c>
      <c r="I365">
        <v>4.74</v>
      </c>
      <c r="J365">
        <v>4.8099999999999996</v>
      </c>
      <c r="K365" t="str">
        <f t="shared" si="5"/>
        <v>Feb 2024</v>
      </c>
    </row>
    <row r="366" spans="1:11" x14ac:dyDescent="0.25">
      <c r="A366" s="6">
        <v>44630</v>
      </c>
      <c r="B366" t="s">
        <v>10</v>
      </c>
      <c r="C366" t="s">
        <v>11</v>
      </c>
      <c r="D366" t="s">
        <v>14</v>
      </c>
      <c r="E366">
        <v>311</v>
      </c>
      <c r="F366" s="3">
        <v>26611199.699999999</v>
      </c>
      <c r="G366">
        <v>7999520.9800000004</v>
      </c>
      <c r="H366">
        <v>18611678.719999999</v>
      </c>
      <c r="I366">
        <v>4.96</v>
      </c>
      <c r="J366">
        <v>4.78</v>
      </c>
      <c r="K366" t="str">
        <f t="shared" si="5"/>
        <v>Mar 2022</v>
      </c>
    </row>
    <row r="367" spans="1:11" x14ac:dyDescent="0.25">
      <c r="A367" s="6">
        <v>45496</v>
      </c>
      <c r="B367" t="s">
        <v>10</v>
      </c>
      <c r="C367" t="s">
        <v>11</v>
      </c>
      <c r="D367" t="s">
        <v>14</v>
      </c>
      <c r="E367">
        <v>61</v>
      </c>
      <c r="F367" s="3">
        <v>5257146.95</v>
      </c>
      <c r="G367">
        <v>1980507.73</v>
      </c>
      <c r="H367">
        <v>3276639.22</v>
      </c>
      <c r="I367">
        <v>4.18</v>
      </c>
      <c r="J367">
        <v>4.07</v>
      </c>
      <c r="K367" t="str">
        <f t="shared" si="5"/>
        <v>Jul 2024</v>
      </c>
    </row>
    <row r="368" spans="1:11" x14ac:dyDescent="0.25">
      <c r="A368" s="6">
        <v>45491</v>
      </c>
      <c r="B368" t="s">
        <v>10</v>
      </c>
      <c r="C368" t="s">
        <v>18</v>
      </c>
      <c r="D368" t="s">
        <v>17</v>
      </c>
      <c r="E368">
        <v>265</v>
      </c>
      <c r="F368" s="3">
        <v>17035913.379999999</v>
      </c>
      <c r="G368">
        <v>4356348.58</v>
      </c>
      <c r="H368">
        <v>12679564.800000001</v>
      </c>
      <c r="I368">
        <v>1.1399999999999999</v>
      </c>
      <c r="J368">
        <v>3.82</v>
      </c>
      <c r="K368" t="str">
        <f t="shared" si="5"/>
        <v>Jul 2024</v>
      </c>
    </row>
    <row r="369" spans="1:11" x14ac:dyDescent="0.25">
      <c r="A369" s="6">
        <v>45316</v>
      </c>
      <c r="B369" t="s">
        <v>10</v>
      </c>
      <c r="C369" t="s">
        <v>18</v>
      </c>
      <c r="D369" t="s">
        <v>12</v>
      </c>
      <c r="E369">
        <v>63</v>
      </c>
      <c r="F369" s="3">
        <v>2485385.3199999998</v>
      </c>
      <c r="G369">
        <v>793841.92</v>
      </c>
      <c r="H369">
        <v>1691543.39</v>
      </c>
      <c r="I369">
        <v>1.28</v>
      </c>
      <c r="J369">
        <v>4.54</v>
      </c>
      <c r="K369" t="str">
        <f t="shared" si="5"/>
        <v>Jan 2024</v>
      </c>
    </row>
    <row r="370" spans="1:11" x14ac:dyDescent="0.25">
      <c r="A370" s="6">
        <v>45364</v>
      </c>
      <c r="B370" t="s">
        <v>10</v>
      </c>
      <c r="C370" t="s">
        <v>11</v>
      </c>
      <c r="D370" t="s">
        <v>17</v>
      </c>
      <c r="E370">
        <v>255</v>
      </c>
      <c r="F370" s="3">
        <v>22607933.07</v>
      </c>
      <c r="G370">
        <v>6144962.46</v>
      </c>
      <c r="H370">
        <v>16462970.6</v>
      </c>
      <c r="I370">
        <v>4.2</v>
      </c>
      <c r="J370">
        <v>3.7</v>
      </c>
      <c r="K370" t="str">
        <f t="shared" si="5"/>
        <v>Mar 2024</v>
      </c>
    </row>
    <row r="371" spans="1:11" x14ac:dyDescent="0.25">
      <c r="A371" s="6">
        <v>43991</v>
      </c>
      <c r="B371" t="s">
        <v>10</v>
      </c>
      <c r="C371" t="s">
        <v>16</v>
      </c>
      <c r="D371" t="s">
        <v>14</v>
      </c>
      <c r="E371">
        <v>359</v>
      </c>
      <c r="F371" s="3">
        <v>18759553.260000002</v>
      </c>
      <c r="G371">
        <v>5228771.7</v>
      </c>
      <c r="H371">
        <v>13530781.560000001</v>
      </c>
      <c r="I371">
        <v>1.1299999999999999</v>
      </c>
      <c r="J371">
        <v>4.8499999999999996</v>
      </c>
      <c r="K371" t="str">
        <f t="shared" si="5"/>
        <v>Jun 2020</v>
      </c>
    </row>
    <row r="372" spans="1:11" x14ac:dyDescent="0.25">
      <c r="A372" s="6">
        <v>44056</v>
      </c>
      <c r="B372" t="s">
        <v>10</v>
      </c>
      <c r="C372" t="s">
        <v>18</v>
      </c>
      <c r="D372" t="s">
        <v>14</v>
      </c>
      <c r="E372">
        <v>287</v>
      </c>
      <c r="F372" s="3">
        <v>12804827.73</v>
      </c>
      <c r="G372">
        <v>3834876.69</v>
      </c>
      <c r="H372">
        <v>8969951.0500000007</v>
      </c>
      <c r="I372">
        <v>2.29</v>
      </c>
      <c r="J372">
        <v>3.72</v>
      </c>
      <c r="K372" t="str">
        <f t="shared" si="5"/>
        <v>Aug 2020</v>
      </c>
    </row>
    <row r="373" spans="1:11" x14ac:dyDescent="0.25">
      <c r="A373" s="6">
        <v>44236</v>
      </c>
      <c r="B373" t="s">
        <v>10</v>
      </c>
      <c r="C373" t="s">
        <v>16</v>
      </c>
      <c r="D373" t="s">
        <v>12</v>
      </c>
      <c r="E373">
        <v>166</v>
      </c>
      <c r="F373" s="3">
        <v>6921686.25</v>
      </c>
      <c r="G373">
        <v>2106637.33</v>
      </c>
      <c r="H373">
        <v>4815048.92</v>
      </c>
      <c r="I373">
        <v>2.78</v>
      </c>
      <c r="J373">
        <v>3.85</v>
      </c>
      <c r="K373" t="str">
        <f t="shared" si="5"/>
        <v>Feb 2021</v>
      </c>
    </row>
    <row r="374" spans="1:11" x14ac:dyDescent="0.25">
      <c r="A374" s="6">
        <v>45340</v>
      </c>
      <c r="B374" t="s">
        <v>10</v>
      </c>
      <c r="C374" t="s">
        <v>11</v>
      </c>
      <c r="D374" t="s">
        <v>12</v>
      </c>
      <c r="E374">
        <v>222</v>
      </c>
      <c r="F374" s="3">
        <v>14479755.630000001</v>
      </c>
      <c r="G374">
        <v>2994928.48</v>
      </c>
      <c r="H374">
        <v>11484827.16</v>
      </c>
      <c r="I374">
        <v>2.4500000000000002</v>
      </c>
      <c r="J374">
        <v>3.97</v>
      </c>
      <c r="K374" t="str">
        <f t="shared" si="5"/>
        <v>Feb 2024</v>
      </c>
    </row>
    <row r="375" spans="1:11" x14ac:dyDescent="0.25">
      <c r="A375" s="6">
        <v>45610</v>
      </c>
      <c r="B375" t="s">
        <v>10</v>
      </c>
      <c r="C375" t="s">
        <v>15</v>
      </c>
      <c r="D375" t="s">
        <v>12</v>
      </c>
      <c r="E375">
        <v>383</v>
      </c>
      <c r="F375" s="3">
        <v>31860155.879999999</v>
      </c>
      <c r="G375">
        <v>10974213.970000001</v>
      </c>
      <c r="H375">
        <v>20885941.91</v>
      </c>
      <c r="I375">
        <v>4.33</v>
      </c>
      <c r="J375">
        <v>3.5</v>
      </c>
      <c r="K375" t="str">
        <f t="shared" si="5"/>
        <v>Nov 2024</v>
      </c>
    </row>
    <row r="376" spans="1:11" x14ac:dyDescent="0.25">
      <c r="A376" s="6">
        <v>43966</v>
      </c>
      <c r="B376" t="s">
        <v>10</v>
      </c>
      <c r="C376" t="s">
        <v>15</v>
      </c>
      <c r="D376" t="s">
        <v>14</v>
      </c>
      <c r="E376">
        <v>92</v>
      </c>
      <c r="F376" s="3">
        <v>6355115.0499999998</v>
      </c>
      <c r="G376">
        <v>1715625.47</v>
      </c>
      <c r="H376">
        <v>4639489.58</v>
      </c>
      <c r="I376">
        <v>1.18</v>
      </c>
      <c r="J376">
        <v>3.59</v>
      </c>
      <c r="K376" t="str">
        <f t="shared" si="5"/>
        <v>May 2020</v>
      </c>
    </row>
    <row r="377" spans="1:11" x14ac:dyDescent="0.25">
      <c r="A377" s="6">
        <v>45311</v>
      </c>
      <c r="B377" t="s">
        <v>10</v>
      </c>
      <c r="C377" t="s">
        <v>13</v>
      </c>
      <c r="D377" t="s">
        <v>17</v>
      </c>
      <c r="E377">
        <v>467</v>
      </c>
      <c r="F377" s="3">
        <v>28154973.879999999</v>
      </c>
      <c r="G377">
        <v>10934469.529999999</v>
      </c>
      <c r="H377">
        <v>17220504.359999999</v>
      </c>
      <c r="I377">
        <v>4.9800000000000004</v>
      </c>
      <c r="J377">
        <v>3.59</v>
      </c>
      <c r="K377" t="str">
        <f t="shared" si="5"/>
        <v>Jan 2024</v>
      </c>
    </row>
    <row r="378" spans="1:11" x14ac:dyDescent="0.25">
      <c r="A378" s="6">
        <v>44104</v>
      </c>
      <c r="B378" t="s">
        <v>10</v>
      </c>
      <c r="C378" t="s">
        <v>15</v>
      </c>
      <c r="D378" t="s">
        <v>14</v>
      </c>
      <c r="E378">
        <v>105</v>
      </c>
      <c r="F378" s="3">
        <v>5392225.4000000004</v>
      </c>
      <c r="G378">
        <v>1692795.15</v>
      </c>
      <c r="H378">
        <v>3699430.25</v>
      </c>
      <c r="I378">
        <v>1.27</v>
      </c>
      <c r="J378">
        <v>3.61</v>
      </c>
      <c r="K378" t="str">
        <f t="shared" si="5"/>
        <v>Sep 2020</v>
      </c>
    </row>
    <row r="379" spans="1:11" x14ac:dyDescent="0.25">
      <c r="A379" s="6">
        <v>44155</v>
      </c>
      <c r="B379" t="s">
        <v>10</v>
      </c>
      <c r="C379" t="s">
        <v>16</v>
      </c>
      <c r="D379" t="s">
        <v>17</v>
      </c>
      <c r="E379">
        <v>205</v>
      </c>
      <c r="F379" s="3">
        <v>10594427.289999999</v>
      </c>
      <c r="G379">
        <v>4023666.42</v>
      </c>
      <c r="H379">
        <v>6570760.8700000001</v>
      </c>
      <c r="I379">
        <v>3.61</v>
      </c>
      <c r="J379">
        <v>3.59</v>
      </c>
      <c r="K379" t="str">
        <f t="shared" si="5"/>
        <v>Nov 2020</v>
      </c>
    </row>
    <row r="380" spans="1:11" x14ac:dyDescent="0.25">
      <c r="A380" s="6">
        <v>44352</v>
      </c>
      <c r="B380" t="s">
        <v>10</v>
      </c>
      <c r="C380" t="s">
        <v>15</v>
      </c>
      <c r="D380" t="s">
        <v>14</v>
      </c>
      <c r="E380">
        <v>309</v>
      </c>
      <c r="F380" s="3">
        <v>21576057.690000001</v>
      </c>
      <c r="G380">
        <v>7642694.4400000004</v>
      </c>
      <c r="H380">
        <v>13933363.26</v>
      </c>
      <c r="I380">
        <v>1.55</v>
      </c>
      <c r="J380">
        <v>3.83</v>
      </c>
      <c r="K380" t="str">
        <f t="shared" si="5"/>
        <v>Jun 2021</v>
      </c>
    </row>
    <row r="381" spans="1:11" x14ac:dyDescent="0.25">
      <c r="A381" s="6">
        <v>44022</v>
      </c>
      <c r="B381" t="s">
        <v>10</v>
      </c>
      <c r="C381" t="s">
        <v>16</v>
      </c>
      <c r="D381" t="s">
        <v>17</v>
      </c>
      <c r="E381">
        <v>270</v>
      </c>
      <c r="F381" s="3">
        <v>18714853.170000002</v>
      </c>
      <c r="G381">
        <v>5513240.5499999998</v>
      </c>
      <c r="H381">
        <v>13201612.619999999</v>
      </c>
      <c r="I381">
        <v>2.42</v>
      </c>
      <c r="J381">
        <v>3.7</v>
      </c>
      <c r="K381" t="str">
        <f t="shared" si="5"/>
        <v>Jul 2020</v>
      </c>
    </row>
    <row r="382" spans="1:11" x14ac:dyDescent="0.25">
      <c r="A382" s="6">
        <v>44053</v>
      </c>
      <c r="B382" t="s">
        <v>10</v>
      </c>
      <c r="C382" t="s">
        <v>13</v>
      </c>
      <c r="D382" t="s">
        <v>12</v>
      </c>
      <c r="E382">
        <v>165</v>
      </c>
      <c r="F382" s="3">
        <v>9448545.7400000002</v>
      </c>
      <c r="G382">
        <v>2543405.2799999998</v>
      </c>
      <c r="H382">
        <v>6905140.46</v>
      </c>
      <c r="I382">
        <v>2.09</v>
      </c>
      <c r="J382">
        <v>4.29</v>
      </c>
      <c r="K382" t="str">
        <f t="shared" si="5"/>
        <v>Aug 2020</v>
      </c>
    </row>
    <row r="383" spans="1:11" x14ac:dyDescent="0.25">
      <c r="A383" s="6">
        <v>45534</v>
      </c>
      <c r="B383" t="s">
        <v>10</v>
      </c>
      <c r="C383" t="s">
        <v>13</v>
      </c>
      <c r="D383" t="s">
        <v>12</v>
      </c>
      <c r="E383">
        <v>63</v>
      </c>
      <c r="F383" s="3">
        <v>2817913.96</v>
      </c>
      <c r="G383">
        <v>909014.65</v>
      </c>
      <c r="H383">
        <v>1908899.3</v>
      </c>
      <c r="I383">
        <v>4.84</v>
      </c>
      <c r="J383">
        <v>3.87</v>
      </c>
      <c r="K383" t="str">
        <f t="shared" si="5"/>
        <v>Aug 2024</v>
      </c>
    </row>
    <row r="384" spans="1:11" x14ac:dyDescent="0.25">
      <c r="A384" s="6">
        <v>44705</v>
      </c>
      <c r="B384" t="s">
        <v>10</v>
      </c>
      <c r="C384" t="s">
        <v>11</v>
      </c>
      <c r="D384" t="s">
        <v>14</v>
      </c>
      <c r="E384">
        <v>111</v>
      </c>
      <c r="F384" s="3">
        <v>6823606.0499999998</v>
      </c>
      <c r="G384">
        <v>2703250.31</v>
      </c>
      <c r="H384">
        <v>4120355.73</v>
      </c>
      <c r="I384">
        <v>1.67</v>
      </c>
      <c r="J384">
        <v>4.6399999999999997</v>
      </c>
      <c r="K384" t="str">
        <f t="shared" si="5"/>
        <v>May 2022</v>
      </c>
    </row>
    <row r="385" spans="1:11" x14ac:dyDescent="0.25">
      <c r="A385" s="6">
        <v>44770</v>
      </c>
      <c r="B385" t="s">
        <v>10</v>
      </c>
      <c r="C385" t="s">
        <v>13</v>
      </c>
      <c r="D385" t="s">
        <v>17</v>
      </c>
      <c r="E385">
        <v>363</v>
      </c>
      <c r="F385" s="3">
        <v>16492257.640000001</v>
      </c>
      <c r="G385">
        <v>4555332.4400000004</v>
      </c>
      <c r="H385">
        <v>11936925.199999999</v>
      </c>
      <c r="I385">
        <v>1.96</v>
      </c>
      <c r="J385">
        <v>4.75</v>
      </c>
      <c r="K385" t="str">
        <f t="shared" si="5"/>
        <v>Jul 2022</v>
      </c>
    </row>
    <row r="386" spans="1:11" x14ac:dyDescent="0.25">
      <c r="A386" s="6">
        <v>45143</v>
      </c>
      <c r="B386" t="s">
        <v>10</v>
      </c>
      <c r="C386" t="s">
        <v>18</v>
      </c>
      <c r="D386" t="s">
        <v>12</v>
      </c>
      <c r="E386">
        <v>262</v>
      </c>
      <c r="F386" s="3">
        <v>12035518.960000001</v>
      </c>
      <c r="G386">
        <v>4658668.53</v>
      </c>
      <c r="H386">
        <v>7376850.4299999997</v>
      </c>
      <c r="I386">
        <v>0.69</v>
      </c>
      <c r="J386">
        <v>4.0599999999999996</v>
      </c>
      <c r="K386" t="str">
        <f t="shared" ref="K386:K449" si="6">TEXT(A386,"mmm yyyy")</f>
        <v>Aug 2023</v>
      </c>
    </row>
    <row r="387" spans="1:11" x14ac:dyDescent="0.25">
      <c r="A387" s="6">
        <v>44525</v>
      </c>
      <c r="B387" t="s">
        <v>10</v>
      </c>
      <c r="C387" t="s">
        <v>16</v>
      </c>
      <c r="D387" t="s">
        <v>14</v>
      </c>
      <c r="E387">
        <v>237</v>
      </c>
      <c r="F387" s="3">
        <v>16716784.76</v>
      </c>
      <c r="G387">
        <v>5017262.66</v>
      </c>
      <c r="H387">
        <v>11699522.1</v>
      </c>
      <c r="I387">
        <v>1.7</v>
      </c>
      <c r="J387">
        <v>3.72</v>
      </c>
      <c r="K387" t="str">
        <f t="shared" si="6"/>
        <v>Nov 2021</v>
      </c>
    </row>
    <row r="388" spans="1:11" x14ac:dyDescent="0.25">
      <c r="A388" s="6">
        <v>45569</v>
      </c>
      <c r="B388" t="s">
        <v>10</v>
      </c>
      <c r="C388" t="s">
        <v>13</v>
      </c>
      <c r="D388" t="s">
        <v>12</v>
      </c>
      <c r="E388">
        <v>245</v>
      </c>
      <c r="F388" s="3">
        <v>20226298.780000001</v>
      </c>
      <c r="G388">
        <v>7105587.8899999997</v>
      </c>
      <c r="H388">
        <v>13120710.9</v>
      </c>
      <c r="I388">
        <v>3.43</v>
      </c>
      <c r="J388">
        <v>4.72</v>
      </c>
      <c r="K388" t="str">
        <f t="shared" si="6"/>
        <v>Oct 2024</v>
      </c>
    </row>
    <row r="389" spans="1:11" x14ac:dyDescent="0.25">
      <c r="A389" s="6">
        <v>45572</v>
      </c>
      <c r="B389" t="s">
        <v>10</v>
      </c>
      <c r="C389" t="s">
        <v>11</v>
      </c>
      <c r="D389" t="s">
        <v>14</v>
      </c>
      <c r="E389">
        <v>270</v>
      </c>
      <c r="F389" s="3">
        <v>15307972.74</v>
      </c>
      <c r="G389">
        <v>4716549.37</v>
      </c>
      <c r="H389">
        <v>10591423.359999999</v>
      </c>
      <c r="I389">
        <v>4.03</v>
      </c>
      <c r="J389">
        <v>4.84</v>
      </c>
      <c r="K389" t="str">
        <f t="shared" si="6"/>
        <v>Oct 2024</v>
      </c>
    </row>
    <row r="390" spans="1:11" x14ac:dyDescent="0.25">
      <c r="A390" s="6">
        <v>45211</v>
      </c>
      <c r="B390" t="s">
        <v>10</v>
      </c>
      <c r="C390" t="s">
        <v>16</v>
      </c>
      <c r="D390" t="s">
        <v>12</v>
      </c>
      <c r="E390">
        <v>154</v>
      </c>
      <c r="F390" s="3">
        <v>6255206.5199999996</v>
      </c>
      <c r="G390">
        <v>1678031.53</v>
      </c>
      <c r="H390">
        <v>4577174.99</v>
      </c>
      <c r="I390">
        <v>4.74</v>
      </c>
      <c r="J390">
        <v>4.71</v>
      </c>
      <c r="K390" t="str">
        <f t="shared" si="6"/>
        <v>Oct 2023</v>
      </c>
    </row>
    <row r="391" spans="1:11" x14ac:dyDescent="0.25">
      <c r="A391" s="6">
        <v>44178</v>
      </c>
      <c r="B391" t="s">
        <v>10</v>
      </c>
      <c r="C391" t="s">
        <v>18</v>
      </c>
      <c r="D391" t="s">
        <v>14</v>
      </c>
      <c r="E391">
        <v>97</v>
      </c>
      <c r="F391" s="3">
        <v>4753667.7699999996</v>
      </c>
      <c r="G391">
        <v>1102022.28</v>
      </c>
      <c r="H391">
        <v>3651645.49</v>
      </c>
      <c r="I391">
        <v>0.67</v>
      </c>
      <c r="J391">
        <v>4.8499999999999996</v>
      </c>
      <c r="K391" t="str">
        <f t="shared" si="6"/>
        <v>Dec 2020</v>
      </c>
    </row>
    <row r="392" spans="1:11" x14ac:dyDescent="0.25">
      <c r="A392" s="6">
        <v>44087</v>
      </c>
      <c r="B392" t="s">
        <v>10</v>
      </c>
      <c r="C392" t="s">
        <v>15</v>
      </c>
      <c r="D392" t="s">
        <v>14</v>
      </c>
      <c r="E392">
        <v>326</v>
      </c>
      <c r="F392" s="3">
        <v>26204620.27</v>
      </c>
      <c r="G392">
        <v>7885221.2599999998</v>
      </c>
      <c r="H392">
        <v>18319399.010000002</v>
      </c>
      <c r="I392">
        <v>2.2400000000000002</v>
      </c>
      <c r="J392">
        <v>4.18</v>
      </c>
      <c r="K392" t="str">
        <f t="shared" si="6"/>
        <v>Sep 2020</v>
      </c>
    </row>
    <row r="393" spans="1:11" x14ac:dyDescent="0.25">
      <c r="A393" s="6">
        <v>44892</v>
      </c>
      <c r="B393" t="s">
        <v>10</v>
      </c>
      <c r="C393" t="s">
        <v>18</v>
      </c>
      <c r="D393" t="s">
        <v>14</v>
      </c>
      <c r="E393">
        <v>482</v>
      </c>
      <c r="F393" s="3">
        <v>33145379.329999998</v>
      </c>
      <c r="G393">
        <v>12816310.300000001</v>
      </c>
      <c r="H393">
        <v>20329069.030000001</v>
      </c>
      <c r="I393">
        <v>2.83</v>
      </c>
      <c r="J393">
        <v>3.73</v>
      </c>
      <c r="K393" t="str">
        <f t="shared" si="6"/>
        <v>Nov 2022</v>
      </c>
    </row>
    <row r="394" spans="1:11" x14ac:dyDescent="0.25">
      <c r="A394" s="6">
        <v>44775</v>
      </c>
      <c r="B394" t="s">
        <v>10</v>
      </c>
      <c r="C394" t="s">
        <v>16</v>
      </c>
      <c r="D394" t="s">
        <v>12</v>
      </c>
      <c r="E394">
        <v>465</v>
      </c>
      <c r="F394" s="3">
        <v>41550140.060000002</v>
      </c>
      <c r="G394">
        <v>12936444.25</v>
      </c>
      <c r="H394">
        <v>28613695.809999999</v>
      </c>
      <c r="I394">
        <v>0.72</v>
      </c>
      <c r="J394">
        <v>3.56</v>
      </c>
      <c r="K394" t="str">
        <f t="shared" si="6"/>
        <v>Aug 2022</v>
      </c>
    </row>
    <row r="395" spans="1:11" x14ac:dyDescent="0.25">
      <c r="A395" s="6">
        <v>44450</v>
      </c>
      <c r="B395" t="s">
        <v>10</v>
      </c>
      <c r="C395" t="s">
        <v>18</v>
      </c>
      <c r="D395" t="s">
        <v>12</v>
      </c>
      <c r="E395">
        <v>136</v>
      </c>
      <c r="F395" s="3">
        <v>10118098.939999999</v>
      </c>
      <c r="G395">
        <v>3901368.29</v>
      </c>
      <c r="H395">
        <v>6216730.6500000004</v>
      </c>
      <c r="I395">
        <v>0.82</v>
      </c>
      <c r="J395">
        <v>3.52</v>
      </c>
      <c r="K395" t="str">
        <f t="shared" si="6"/>
        <v>Sep 2021</v>
      </c>
    </row>
    <row r="396" spans="1:11" x14ac:dyDescent="0.25">
      <c r="A396" s="6">
        <v>44749</v>
      </c>
      <c r="B396" t="s">
        <v>10</v>
      </c>
      <c r="C396" t="s">
        <v>15</v>
      </c>
      <c r="D396" t="s">
        <v>12</v>
      </c>
      <c r="E396">
        <v>182</v>
      </c>
      <c r="F396" s="3">
        <v>11460878.689999999</v>
      </c>
      <c r="G396">
        <v>3695915.09</v>
      </c>
      <c r="H396">
        <v>7764963.5999999996</v>
      </c>
      <c r="I396">
        <v>2.58</v>
      </c>
      <c r="J396">
        <v>4.99</v>
      </c>
      <c r="K396" t="str">
        <f t="shared" si="6"/>
        <v>Jul 2022</v>
      </c>
    </row>
    <row r="397" spans="1:11" x14ac:dyDescent="0.25">
      <c r="A397" s="6">
        <v>43938</v>
      </c>
      <c r="B397" t="s">
        <v>10</v>
      </c>
      <c r="C397" t="s">
        <v>15</v>
      </c>
      <c r="D397" t="s">
        <v>12</v>
      </c>
      <c r="E397">
        <v>485</v>
      </c>
      <c r="F397" s="3">
        <v>37638882.939999998</v>
      </c>
      <c r="G397">
        <v>10076902.98</v>
      </c>
      <c r="H397">
        <v>27561979.969999999</v>
      </c>
      <c r="I397">
        <v>1.33</v>
      </c>
      <c r="J397">
        <v>3.76</v>
      </c>
      <c r="K397" t="str">
        <f t="shared" si="6"/>
        <v>Apr 2020</v>
      </c>
    </row>
    <row r="398" spans="1:11" x14ac:dyDescent="0.25">
      <c r="A398" s="6">
        <v>44069</v>
      </c>
      <c r="B398" t="s">
        <v>10</v>
      </c>
      <c r="C398" t="s">
        <v>11</v>
      </c>
      <c r="D398" t="s">
        <v>17</v>
      </c>
      <c r="E398">
        <v>310</v>
      </c>
      <c r="F398" s="3">
        <v>20220953.550000001</v>
      </c>
      <c r="G398">
        <v>4729541.6900000004</v>
      </c>
      <c r="H398">
        <v>15491411.859999999</v>
      </c>
      <c r="I398">
        <v>0.81</v>
      </c>
      <c r="J398">
        <v>4.1399999999999997</v>
      </c>
      <c r="K398" t="str">
        <f t="shared" si="6"/>
        <v>Aug 2020</v>
      </c>
    </row>
    <row r="399" spans="1:11" x14ac:dyDescent="0.25">
      <c r="A399" s="6">
        <v>44691</v>
      </c>
      <c r="B399" t="s">
        <v>10</v>
      </c>
      <c r="C399" t="s">
        <v>13</v>
      </c>
      <c r="D399" t="s">
        <v>14</v>
      </c>
      <c r="E399">
        <v>160</v>
      </c>
      <c r="F399" s="3">
        <v>6323110.6699999999</v>
      </c>
      <c r="G399">
        <v>1305267.05</v>
      </c>
      <c r="H399">
        <v>5017843.63</v>
      </c>
      <c r="I399">
        <v>1.83</v>
      </c>
      <c r="J399">
        <v>4.6500000000000004</v>
      </c>
      <c r="K399" t="str">
        <f t="shared" si="6"/>
        <v>May 2022</v>
      </c>
    </row>
    <row r="400" spans="1:11" x14ac:dyDescent="0.25">
      <c r="A400" s="6">
        <v>44669</v>
      </c>
      <c r="B400" t="s">
        <v>10</v>
      </c>
      <c r="C400" t="s">
        <v>13</v>
      </c>
      <c r="D400" t="s">
        <v>17</v>
      </c>
      <c r="E400">
        <v>458</v>
      </c>
      <c r="F400" s="3">
        <v>40615209.5</v>
      </c>
      <c r="G400">
        <v>10825168.560000001</v>
      </c>
      <c r="H400">
        <v>29790040.949999999</v>
      </c>
      <c r="I400">
        <v>0.55000000000000004</v>
      </c>
      <c r="J400">
        <v>3.88</v>
      </c>
      <c r="K400" t="str">
        <f t="shared" si="6"/>
        <v>Apr 2022</v>
      </c>
    </row>
    <row r="401" spans="1:11" x14ac:dyDescent="0.25">
      <c r="A401" s="6">
        <v>45239</v>
      </c>
      <c r="B401" t="s">
        <v>10</v>
      </c>
      <c r="C401" t="s">
        <v>11</v>
      </c>
      <c r="D401" t="s">
        <v>12</v>
      </c>
      <c r="E401">
        <v>373</v>
      </c>
      <c r="F401" s="3">
        <v>28946612.010000002</v>
      </c>
      <c r="G401">
        <v>7850875.4800000004</v>
      </c>
      <c r="H401">
        <v>21095736.530000001</v>
      </c>
      <c r="I401">
        <v>2.89</v>
      </c>
      <c r="J401">
        <v>3.56</v>
      </c>
      <c r="K401" t="str">
        <f t="shared" si="6"/>
        <v>Nov 2023</v>
      </c>
    </row>
    <row r="402" spans="1:11" x14ac:dyDescent="0.25">
      <c r="A402" s="6">
        <v>45042</v>
      </c>
      <c r="B402" t="s">
        <v>10</v>
      </c>
      <c r="C402" t="s">
        <v>11</v>
      </c>
      <c r="D402" t="s">
        <v>17</v>
      </c>
      <c r="E402">
        <v>419</v>
      </c>
      <c r="F402" s="3">
        <v>22090456.280000001</v>
      </c>
      <c r="G402">
        <v>8282889.1699999999</v>
      </c>
      <c r="H402">
        <v>13807567.109999999</v>
      </c>
      <c r="I402">
        <v>2.63</v>
      </c>
      <c r="J402">
        <v>3.67</v>
      </c>
      <c r="K402" t="str">
        <f t="shared" si="6"/>
        <v>Apr 2023</v>
      </c>
    </row>
    <row r="403" spans="1:11" x14ac:dyDescent="0.25">
      <c r="A403" s="6">
        <v>45365</v>
      </c>
      <c r="B403" t="s">
        <v>10</v>
      </c>
      <c r="C403" t="s">
        <v>13</v>
      </c>
      <c r="D403" t="s">
        <v>14</v>
      </c>
      <c r="E403">
        <v>318</v>
      </c>
      <c r="F403" s="3">
        <v>21316572.289999999</v>
      </c>
      <c r="G403">
        <v>5337357.72</v>
      </c>
      <c r="H403">
        <v>15979214.58</v>
      </c>
      <c r="I403">
        <v>4.1500000000000004</v>
      </c>
      <c r="J403">
        <v>4.4800000000000004</v>
      </c>
      <c r="K403" t="str">
        <f t="shared" si="6"/>
        <v>Mar 2024</v>
      </c>
    </row>
    <row r="404" spans="1:11" x14ac:dyDescent="0.25">
      <c r="A404" s="6">
        <v>44220</v>
      </c>
      <c r="B404" t="s">
        <v>10</v>
      </c>
      <c r="C404" t="s">
        <v>16</v>
      </c>
      <c r="D404" t="s">
        <v>14</v>
      </c>
      <c r="E404">
        <v>60</v>
      </c>
      <c r="F404" s="3">
        <v>2244327.5699999998</v>
      </c>
      <c r="G404">
        <v>847993.15</v>
      </c>
      <c r="H404">
        <v>1396334.41</v>
      </c>
      <c r="I404">
        <v>3.19</v>
      </c>
      <c r="J404">
        <v>3.64</v>
      </c>
      <c r="K404" t="str">
        <f t="shared" si="6"/>
        <v>Jan 2021</v>
      </c>
    </row>
    <row r="405" spans="1:11" x14ac:dyDescent="0.25">
      <c r="A405" s="6">
        <v>44186</v>
      </c>
      <c r="B405" t="s">
        <v>10</v>
      </c>
      <c r="C405" t="s">
        <v>15</v>
      </c>
      <c r="D405" t="s">
        <v>12</v>
      </c>
      <c r="E405">
        <v>364</v>
      </c>
      <c r="F405" s="3">
        <v>23752840.649999999</v>
      </c>
      <c r="G405">
        <v>7654814.6600000001</v>
      </c>
      <c r="H405">
        <v>16098025.99</v>
      </c>
      <c r="I405">
        <v>1.24</v>
      </c>
      <c r="J405">
        <v>3.91</v>
      </c>
      <c r="K405" t="str">
        <f t="shared" si="6"/>
        <v>Dec 2020</v>
      </c>
    </row>
    <row r="406" spans="1:11" x14ac:dyDescent="0.25">
      <c r="A406" s="6">
        <v>45319</v>
      </c>
      <c r="B406" t="s">
        <v>10</v>
      </c>
      <c r="C406" t="s">
        <v>13</v>
      </c>
      <c r="D406" t="s">
        <v>17</v>
      </c>
      <c r="E406">
        <v>262</v>
      </c>
      <c r="F406" s="3">
        <v>18910904.59</v>
      </c>
      <c r="G406">
        <v>5688219.1699999999</v>
      </c>
      <c r="H406">
        <v>13222685.42</v>
      </c>
      <c r="I406">
        <v>0.56000000000000005</v>
      </c>
      <c r="J406">
        <v>4.99</v>
      </c>
      <c r="K406" t="str">
        <f t="shared" si="6"/>
        <v>Jan 2024</v>
      </c>
    </row>
    <row r="407" spans="1:11" x14ac:dyDescent="0.25">
      <c r="A407" s="6">
        <v>44524</v>
      </c>
      <c r="B407" t="s">
        <v>10</v>
      </c>
      <c r="C407" t="s">
        <v>11</v>
      </c>
      <c r="D407" t="s">
        <v>17</v>
      </c>
      <c r="E407">
        <v>171</v>
      </c>
      <c r="F407" s="3">
        <v>13658980.960000001</v>
      </c>
      <c r="G407">
        <v>3110505.11</v>
      </c>
      <c r="H407">
        <v>10548475.85</v>
      </c>
      <c r="I407">
        <v>4.3099999999999996</v>
      </c>
      <c r="J407">
        <v>4.88</v>
      </c>
      <c r="K407" t="str">
        <f t="shared" si="6"/>
        <v>Nov 2021</v>
      </c>
    </row>
    <row r="408" spans="1:11" x14ac:dyDescent="0.25">
      <c r="A408" s="6">
        <v>43990</v>
      </c>
      <c r="B408" t="s">
        <v>10</v>
      </c>
      <c r="C408" t="s">
        <v>11</v>
      </c>
      <c r="D408" t="s">
        <v>12</v>
      </c>
      <c r="E408">
        <v>67</v>
      </c>
      <c r="F408" s="3">
        <v>4688920.76</v>
      </c>
      <c r="G408">
        <v>1668258.58</v>
      </c>
      <c r="H408">
        <v>3020662.19</v>
      </c>
      <c r="I408">
        <v>4.9000000000000004</v>
      </c>
      <c r="J408">
        <v>4.62</v>
      </c>
      <c r="K408" t="str">
        <f t="shared" si="6"/>
        <v>Jun 2020</v>
      </c>
    </row>
    <row r="409" spans="1:11" x14ac:dyDescent="0.25">
      <c r="A409" s="6">
        <v>44912</v>
      </c>
      <c r="B409" t="s">
        <v>10</v>
      </c>
      <c r="C409" t="s">
        <v>18</v>
      </c>
      <c r="D409" t="s">
        <v>14</v>
      </c>
      <c r="E409">
        <v>287</v>
      </c>
      <c r="F409" s="3">
        <v>22301222.940000001</v>
      </c>
      <c r="G409">
        <v>5993846.8899999997</v>
      </c>
      <c r="H409">
        <v>16307376.050000001</v>
      </c>
      <c r="I409">
        <v>1.3</v>
      </c>
      <c r="J409">
        <v>4.32</v>
      </c>
      <c r="K409" t="str">
        <f t="shared" si="6"/>
        <v>Dec 2022</v>
      </c>
    </row>
    <row r="410" spans="1:11" x14ac:dyDescent="0.25">
      <c r="A410" s="6">
        <v>45580</v>
      </c>
      <c r="B410" t="s">
        <v>10</v>
      </c>
      <c r="C410" t="s">
        <v>13</v>
      </c>
      <c r="D410" t="s">
        <v>17</v>
      </c>
      <c r="E410">
        <v>284</v>
      </c>
      <c r="F410" s="3">
        <v>14146954.880000001</v>
      </c>
      <c r="G410">
        <v>4132166.45</v>
      </c>
      <c r="H410">
        <v>10014788.43</v>
      </c>
      <c r="I410">
        <v>3.78</v>
      </c>
      <c r="J410">
        <v>3.66</v>
      </c>
      <c r="K410" t="str">
        <f t="shared" si="6"/>
        <v>Oct 2024</v>
      </c>
    </row>
    <row r="411" spans="1:11" x14ac:dyDescent="0.25">
      <c r="A411" s="6">
        <v>43844</v>
      </c>
      <c r="B411" t="s">
        <v>10</v>
      </c>
      <c r="C411" t="s">
        <v>16</v>
      </c>
      <c r="D411" t="s">
        <v>17</v>
      </c>
      <c r="E411">
        <v>262</v>
      </c>
      <c r="F411" s="3">
        <v>19631370.5</v>
      </c>
      <c r="G411">
        <v>4641698.84</v>
      </c>
      <c r="H411">
        <v>14989671.66</v>
      </c>
      <c r="I411">
        <v>1.46</v>
      </c>
      <c r="J411">
        <v>4.26</v>
      </c>
      <c r="K411" t="str">
        <f t="shared" si="6"/>
        <v>Jan 2020</v>
      </c>
    </row>
    <row r="412" spans="1:11" x14ac:dyDescent="0.25">
      <c r="A412" s="6">
        <v>44941</v>
      </c>
      <c r="B412" t="s">
        <v>10</v>
      </c>
      <c r="C412" t="s">
        <v>18</v>
      </c>
      <c r="D412" t="s">
        <v>17</v>
      </c>
      <c r="E412">
        <v>137</v>
      </c>
      <c r="F412" s="3">
        <v>7374860.7000000002</v>
      </c>
      <c r="G412">
        <v>2340166.5299999998</v>
      </c>
      <c r="H412">
        <v>5034694.16</v>
      </c>
      <c r="I412">
        <v>3.91</v>
      </c>
      <c r="J412">
        <v>4.62</v>
      </c>
      <c r="K412" t="str">
        <f t="shared" si="6"/>
        <v>Jan 2023</v>
      </c>
    </row>
    <row r="413" spans="1:11" x14ac:dyDescent="0.25">
      <c r="A413" s="6">
        <v>44433</v>
      </c>
      <c r="B413" t="s">
        <v>10</v>
      </c>
      <c r="C413" t="s">
        <v>18</v>
      </c>
      <c r="D413" t="s">
        <v>14</v>
      </c>
      <c r="E413">
        <v>52</v>
      </c>
      <c r="F413" s="3">
        <v>2670988.5699999998</v>
      </c>
      <c r="G413">
        <v>766561.97</v>
      </c>
      <c r="H413">
        <v>1904426.6</v>
      </c>
      <c r="I413">
        <v>3.6</v>
      </c>
      <c r="J413">
        <v>4.8099999999999996</v>
      </c>
      <c r="K413" t="str">
        <f t="shared" si="6"/>
        <v>Aug 2021</v>
      </c>
    </row>
    <row r="414" spans="1:11" x14ac:dyDescent="0.25">
      <c r="A414" s="6">
        <v>45521</v>
      </c>
      <c r="B414" t="s">
        <v>10</v>
      </c>
      <c r="C414" t="s">
        <v>18</v>
      </c>
      <c r="D414" t="s">
        <v>12</v>
      </c>
      <c r="E414">
        <v>416</v>
      </c>
      <c r="F414" s="3">
        <v>34628927.539999999</v>
      </c>
      <c r="G414">
        <v>10847161.720000001</v>
      </c>
      <c r="H414">
        <v>23781765.829999998</v>
      </c>
      <c r="I414">
        <v>1.22</v>
      </c>
      <c r="J414">
        <v>4.34</v>
      </c>
      <c r="K414" t="str">
        <f t="shared" si="6"/>
        <v>Aug 2024</v>
      </c>
    </row>
    <row r="415" spans="1:11" x14ac:dyDescent="0.25">
      <c r="A415" s="6">
        <v>45110</v>
      </c>
      <c r="B415" t="s">
        <v>10</v>
      </c>
      <c r="C415" t="s">
        <v>18</v>
      </c>
      <c r="D415" t="s">
        <v>17</v>
      </c>
      <c r="E415">
        <v>121</v>
      </c>
      <c r="F415" s="3">
        <v>5876647.8399999999</v>
      </c>
      <c r="G415">
        <v>1496827.2</v>
      </c>
      <c r="H415">
        <v>4379820.6399999997</v>
      </c>
      <c r="I415">
        <v>4.96</v>
      </c>
      <c r="J415">
        <v>3.65</v>
      </c>
      <c r="K415" t="str">
        <f t="shared" si="6"/>
        <v>Jul 2023</v>
      </c>
    </row>
    <row r="416" spans="1:11" x14ac:dyDescent="0.25">
      <c r="A416" s="6">
        <v>44313</v>
      </c>
      <c r="B416" t="s">
        <v>10</v>
      </c>
      <c r="C416" t="s">
        <v>15</v>
      </c>
      <c r="D416" t="s">
        <v>17</v>
      </c>
      <c r="E416">
        <v>273</v>
      </c>
      <c r="F416" s="3">
        <v>22765444.539999999</v>
      </c>
      <c r="G416">
        <v>6112247.25</v>
      </c>
      <c r="H416">
        <v>16653197.289999999</v>
      </c>
      <c r="I416">
        <v>1.9</v>
      </c>
      <c r="J416">
        <v>4.6100000000000003</v>
      </c>
      <c r="K416" t="str">
        <f t="shared" si="6"/>
        <v>Apr 2021</v>
      </c>
    </row>
    <row r="417" spans="1:11" x14ac:dyDescent="0.25">
      <c r="A417" s="6">
        <v>44664</v>
      </c>
      <c r="B417" t="s">
        <v>10</v>
      </c>
      <c r="C417" t="s">
        <v>16</v>
      </c>
      <c r="D417" t="s">
        <v>17</v>
      </c>
      <c r="E417">
        <v>351</v>
      </c>
      <c r="F417" s="3">
        <v>24176599.120000001</v>
      </c>
      <c r="G417">
        <v>8761479.9199999999</v>
      </c>
      <c r="H417">
        <v>15415119.199999999</v>
      </c>
      <c r="I417">
        <v>2.1</v>
      </c>
      <c r="J417">
        <v>4.68</v>
      </c>
      <c r="K417" t="str">
        <f t="shared" si="6"/>
        <v>Apr 2022</v>
      </c>
    </row>
    <row r="418" spans="1:11" x14ac:dyDescent="0.25">
      <c r="A418" s="6">
        <v>44511</v>
      </c>
      <c r="B418" t="s">
        <v>10</v>
      </c>
      <c r="C418" t="s">
        <v>11</v>
      </c>
      <c r="D418" t="s">
        <v>12</v>
      </c>
      <c r="E418">
        <v>469</v>
      </c>
      <c r="F418" s="3">
        <v>16549897.880000001</v>
      </c>
      <c r="G418">
        <v>4101095.28</v>
      </c>
      <c r="H418">
        <v>12448802.6</v>
      </c>
      <c r="I418">
        <v>0.66</v>
      </c>
      <c r="J418">
        <v>4.62</v>
      </c>
      <c r="K418" t="str">
        <f t="shared" si="6"/>
        <v>Nov 2021</v>
      </c>
    </row>
    <row r="419" spans="1:11" x14ac:dyDescent="0.25">
      <c r="A419" s="6">
        <v>45112</v>
      </c>
      <c r="B419" t="s">
        <v>10</v>
      </c>
      <c r="C419" t="s">
        <v>15</v>
      </c>
      <c r="D419" t="s">
        <v>12</v>
      </c>
      <c r="E419">
        <v>63</v>
      </c>
      <c r="F419" s="3">
        <v>4802175.0999999996</v>
      </c>
      <c r="G419">
        <v>1192210.67</v>
      </c>
      <c r="H419">
        <v>3609964.44</v>
      </c>
      <c r="I419">
        <v>3.55</v>
      </c>
      <c r="J419">
        <v>4.63</v>
      </c>
      <c r="K419" t="str">
        <f t="shared" si="6"/>
        <v>Jul 2023</v>
      </c>
    </row>
    <row r="420" spans="1:11" x14ac:dyDescent="0.25">
      <c r="A420" s="6">
        <v>44433</v>
      </c>
      <c r="B420" t="s">
        <v>10</v>
      </c>
      <c r="C420" t="s">
        <v>16</v>
      </c>
      <c r="D420" t="s">
        <v>17</v>
      </c>
      <c r="E420">
        <v>272</v>
      </c>
      <c r="F420" s="3">
        <v>14091839.060000001</v>
      </c>
      <c r="G420">
        <v>3166011.34</v>
      </c>
      <c r="H420">
        <v>10925827.73</v>
      </c>
      <c r="I420">
        <v>4.9800000000000004</v>
      </c>
      <c r="J420">
        <v>4.05</v>
      </c>
      <c r="K420" t="str">
        <f t="shared" si="6"/>
        <v>Aug 2021</v>
      </c>
    </row>
    <row r="421" spans="1:11" x14ac:dyDescent="0.25">
      <c r="A421" s="6">
        <v>44000</v>
      </c>
      <c r="B421" t="s">
        <v>10</v>
      </c>
      <c r="C421" t="s">
        <v>15</v>
      </c>
      <c r="D421" t="s">
        <v>17</v>
      </c>
      <c r="E421">
        <v>430</v>
      </c>
      <c r="F421" s="3">
        <v>30265586.5</v>
      </c>
      <c r="G421">
        <v>7382383.2199999997</v>
      </c>
      <c r="H421">
        <v>22883203.289999999</v>
      </c>
      <c r="I421">
        <v>1.48</v>
      </c>
      <c r="J421">
        <v>3.71</v>
      </c>
      <c r="K421" t="str">
        <f t="shared" si="6"/>
        <v>Jun 2020</v>
      </c>
    </row>
    <row r="422" spans="1:11" x14ac:dyDescent="0.25">
      <c r="A422" s="6">
        <v>44633</v>
      </c>
      <c r="B422" t="s">
        <v>10</v>
      </c>
      <c r="C422" t="s">
        <v>11</v>
      </c>
      <c r="D422" t="s">
        <v>17</v>
      </c>
      <c r="E422">
        <v>279</v>
      </c>
      <c r="F422" s="3">
        <v>16096682.15</v>
      </c>
      <c r="G422">
        <v>4199244.0199999996</v>
      </c>
      <c r="H422">
        <v>11897438.130000001</v>
      </c>
      <c r="I422">
        <v>0.51</v>
      </c>
      <c r="J422">
        <v>4.43</v>
      </c>
      <c r="K422" t="str">
        <f t="shared" si="6"/>
        <v>Mar 2022</v>
      </c>
    </row>
    <row r="423" spans="1:11" x14ac:dyDescent="0.25">
      <c r="A423" s="6">
        <v>44358</v>
      </c>
      <c r="B423" t="s">
        <v>10</v>
      </c>
      <c r="C423" t="s">
        <v>16</v>
      </c>
      <c r="D423" t="s">
        <v>12</v>
      </c>
      <c r="E423">
        <v>309</v>
      </c>
      <c r="F423" s="3">
        <v>13896521.16</v>
      </c>
      <c r="G423">
        <v>4481145.5999999996</v>
      </c>
      <c r="H423">
        <v>9415375.5600000005</v>
      </c>
      <c r="I423">
        <v>2.31</v>
      </c>
      <c r="J423">
        <v>4.8099999999999996</v>
      </c>
      <c r="K423" t="str">
        <f t="shared" si="6"/>
        <v>Jun 2021</v>
      </c>
    </row>
    <row r="424" spans="1:11" x14ac:dyDescent="0.25">
      <c r="A424" s="6">
        <v>45420</v>
      </c>
      <c r="B424" t="s">
        <v>10</v>
      </c>
      <c r="C424" t="s">
        <v>16</v>
      </c>
      <c r="D424" t="s">
        <v>12</v>
      </c>
      <c r="E424">
        <v>270</v>
      </c>
      <c r="F424" s="3">
        <v>18988534.059999999</v>
      </c>
      <c r="G424">
        <v>7349118.6900000004</v>
      </c>
      <c r="H424">
        <v>11639415.369999999</v>
      </c>
      <c r="I424">
        <v>3.11</v>
      </c>
      <c r="J424">
        <v>4.34</v>
      </c>
      <c r="K424" t="str">
        <f t="shared" si="6"/>
        <v>May 2024</v>
      </c>
    </row>
    <row r="425" spans="1:11" x14ac:dyDescent="0.25">
      <c r="A425" s="6">
        <v>44347</v>
      </c>
      <c r="B425" t="s">
        <v>10</v>
      </c>
      <c r="C425" t="s">
        <v>16</v>
      </c>
      <c r="D425" t="s">
        <v>12</v>
      </c>
      <c r="E425">
        <v>437</v>
      </c>
      <c r="F425" s="3">
        <v>16564143.189999999</v>
      </c>
      <c r="G425">
        <v>5013642.6100000003</v>
      </c>
      <c r="H425">
        <v>11550500.58</v>
      </c>
      <c r="I425">
        <v>3.2</v>
      </c>
      <c r="J425">
        <v>4.4000000000000004</v>
      </c>
      <c r="K425" t="str">
        <f t="shared" si="6"/>
        <v>May 2021</v>
      </c>
    </row>
    <row r="426" spans="1:11" x14ac:dyDescent="0.25">
      <c r="A426" s="6">
        <v>44845</v>
      </c>
      <c r="B426" t="s">
        <v>10</v>
      </c>
      <c r="C426" t="s">
        <v>11</v>
      </c>
      <c r="D426" t="s">
        <v>14</v>
      </c>
      <c r="E426">
        <v>237</v>
      </c>
      <c r="F426" s="3">
        <v>19049519.059999999</v>
      </c>
      <c r="G426">
        <v>5721501.4000000004</v>
      </c>
      <c r="H426">
        <v>13328017.66</v>
      </c>
      <c r="I426">
        <v>0.85</v>
      </c>
      <c r="J426">
        <v>3.59</v>
      </c>
      <c r="K426" t="str">
        <f t="shared" si="6"/>
        <v>Oct 2022</v>
      </c>
    </row>
    <row r="427" spans="1:11" x14ac:dyDescent="0.25">
      <c r="A427" s="6">
        <v>44401</v>
      </c>
      <c r="B427" t="s">
        <v>10</v>
      </c>
      <c r="C427" t="s">
        <v>13</v>
      </c>
      <c r="D427" t="s">
        <v>17</v>
      </c>
      <c r="E427">
        <v>158</v>
      </c>
      <c r="F427" s="3">
        <v>12012090.060000001</v>
      </c>
      <c r="G427">
        <v>2445735.5499999998</v>
      </c>
      <c r="H427">
        <v>9566354.5099999998</v>
      </c>
      <c r="I427">
        <v>1.44</v>
      </c>
      <c r="J427">
        <v>4.74</v>
      </c>
      <c r="K427" t="str">
        <f t="shared" si="6"/>
        <v>Jul 2021</v>
      </c>
    </row>
    <row r="428" spans="1:11" x14ac:dyDescent="0.25">
      <c r="A428" s="6">
        <v>45654</v>
      </c>
      <c r="B428" t="s">
        <v>10</v>
      </c>
      <c r="C428" t="s">
        <v>13</v>
      </c>
      <c r="D428" t="s">
        <v>17</v>
      </c>
      <c r="E428">
        <v>68</v>
      </c>
      <c r="F428" s="3">
        <v>4026344.25</v>
      </c>
      <c r="G428">
        <v>1491798.77</v>
      </c>
      <c r="H428">
        <v>2534545.48</v>
      </c>
      <c r="I428">
        <v>1.98</v>
      </c>
      <c r="J428">
        <v>4.1500000000000004</v>
      </c>
      <c r="K428" t="str">
        <f t="shared" si="6"/>
        <v>Dec 2024</v>
      </c>
    </row>
    <row r="429" spans="1:11" x14ac:dyDescent="0.25">
      <c r="A429" s="6">
        <v>43973</v>
      </c>
      <c r="B429" t="s">
        <v>10</v>
      </c>
      <c r="C429" t="s">
        <v>13</v>
      </c>
      <c r="D429" t="s">
        <v>12</v>
      </c>
      <c r="E429">
        <v>195</v>
      </c>
      <c r="F429" s="3">
        <v>10808500.970000001</v>
      </c>
      <c r="G429">
        <v>4188202.84</v>
      </c>
      <c r="H429">
        <v>6620298.1299999999</v>
      </c>
      <c r="I429">
        <v>4.1100000000000003</v>
      </c>
      <c r="J429">
        <v>4.6500000000000004</v>
      </c>
      <c r="K429" t="str">
        <f t="shared" si="6"/>
        <v>May 2020</v>
      </c>
    </row>
    <row r="430" spans="1:11" x14ac:dyDescent="0.25">
      <c r="A430" s="6">
        <v>44866</v>
      </c>
      <c r="B430" t="s">
        <v>10</v>
      </c>
      <c r="C430" t="s">
        <v>16</v>
      </c>
      <c r="D430" t="s">
        <v>12</v>
      </c>
      <c r="E430">
        <v>362</v>
      </c>
      <c r="F430" s="3">
        <v>31248286.43</v>
      </c>
      <c r="G430">
        <v>8483502.2899999991</v>
      </c>
      <c r="H430">
        <v>22764784.140000001</v>
      </c>
      <c r="I430">
        <v>2.4</v>
      </c>
      <c r="J430">
        <v>4.45</v>
      </c>
      <c r="K430" t="str">
        <f t="shared" si="6"/>
        <v>Nov 2022</v>
      </c>
    </row>
    <row r="431" spans="1:11" x14ac:dyDescent="0.25">
      <c r="A431" s="6">
        <v>45615</v>
      </c>
      <c r="B431" t="s">
        <v>10</v>
      </c>
      <c r="C431" t="s">
        <v>16</v>
      </c>
      <c r="D431" t="s">
        <v>17</v>
      </c>
      <c r="E431">
        <v>289</v>
      </c>
      <c r="F431" s="3">
        <v>12948322.960000001</v>
      </c>
      <c r="G431">
        <v>3403049.05</v>
      </c>
      <c r="H431">
        <v>9545273.9100000001</v>
      </c>
      <c r="I431">
        <v>4.96</v>
      </c>
      <c r="J431">
        <v>4.62</v>
      </c>
      <c r="K431" t="str">
        <f t="shared" si="6"/>
        <v>Nov 2024</v>
      </c>
    </row>
    <row r="432" spans="1:11" x14ac:dyDescent="0.25">
      <c r="A432" s="6">
        <v>44144</v>
      </c>
      <c r="B432" t="s">
        <v>10</v>
      </c>
      <c r="C432" t="s">
        <v>13</v>
      </c>
      <c r="D432" t="s">
        <v>12</v>
      </c>
      <c r="E432">
        <v>408</v>
      </c>
      <c r="F432" s="3">
        <v>27112813.77</v>
      </c>
      <c r="G432">
        <v>7657909.2599999998</v>
      </c>
      <c r="H432">
        <v>19454904.5</v>
      </c>
      <c r="I432">
        <v>1.33</v>
      </c>
      <c r="J432">
        <v>4.04</v>
      </c>
      <c r="K432" t="str">
        <f t="shared" si="6"/>
        <v>Nov 2020</v>
      </c>
    </row>
    <row r="433" spans="1:11" x14ac:dyDescent="0.25">
      <c r="A433" s="6">
        <v>44831</v>
      </c>
      <c r="B433" t="s">
        <v>10</v>
      </c>
      <c r="C433" t="s">
        <v>11</v>
      </c>
      <c r="D433" t="s">
        <v>17</v>
      </c>
      <c r="E433">
        <v>99</v>
      </c>
      <c r="F433" s="3">
        <v>4365026.43</v>
      </c>
      <c r="G433">
        <v>1134686.9099999999</v>
      </c>
      <c r="H433">
        <v>3230339.52</v>
      </c>
      <c r="I433">
        <v>3.14</v>
      </c>
      <c r="J433">
        <v>4.38</v>
      </c>
      <c r="K433" t="str">
        <f t="shared" si="6"/>
        <v>Sep 2022</v>
      </c>
    </row>
    <row r="434" spans="1:11" x14ac:dyDescent="0.25">
      <c r="A434" s="6">
        <v>45012</v>
      </c>
      <c r="B434" t="s">
        <v>10</v>
      </c>
      <c r="C434" t="s">
        <v>15</v>
      </c>
      <c r="D434" t="s">
        <v>17</v>
      </c>
      <c r="E434">
        <v>247</v>
      </c>
      <c r="F434" s="3">
        <v>15683100.039999999</v>
      </c>
      <c r="G434">
        <v>5336251.4000000004</v>
      </c>
      <c r="H434">
        <v>10346848.630000001</v>
      </c>
      <c r="I434">
        <v>4.7300000000000004</v>
      </c>
      <c r="J434">
        <v>3.89</v>
      </c>
      <c r="K434" t="str">
        <f t="shared" si="6"/>
        <v>Mar 2023</v>
      </c>
    </row>
    <row r="435" spans="1:11" x14ac:dyDescent="0.25">
      <c r="A435" s="6">
        <v>44982</v>
      </c>
      <c r="B435" t="s">
        <v>10</v>
      </c>
      <c r="C435" t="s">
        <v>15</v>
      </c>
      <c r="D435" t="s">
        <v>14</v>
      </c>
      <c r="E435">
        <v>351</v>
      </c>
      <c r="F435" s="3">
        <v>16639075.369999999</v>
      </c>
      <c r="G435">
        <v>5401329.5099999998</v>
      </c>
      <c r="H435">
        <v>11237745.859999999</v>
      </c>
      <c r="I435">
        <v>2.58</v>
      </c>
      <c r="J435">
        <v>4.22</v>
      </c>
      <c r="K435" t="str">
        <f t="shared" si="6"/>
        <v>Feb 2023</v>
      </c>
    </row>
    <row r="436" spans="1:11" x14ac:dyDescent="0.25">
      <c r="A436" s="6">
        <v>44815</v>
      </c>
      <c r="B436" t="s">
        <v>10</v>
      </c>
      <c r="C436" t="s">
        <v>16</v>
      </c>
      <c r="D436" t="s">
        <v>12</v>
      </c>
      <c r="E436">
        <v>454</v>
      </c>
      <c r="F436" s="3">
        <v>27330926.559999999</v>
      </c>
      <c r="G436">
        <v>8292373.2699999996</v>
      </c>
      <c r="H436">
        <v>19038553.289999999</v>
      </c>
      <c r="I436">
        <v>1.1000000000000001</v>
      </c>
      <c r="J436">
        <v>3.62</v>
      </c>
      <c r="K436" t="str">
        <f t="shared" si="6"/>
        <v>Sep 2022</v>
      </c>
    </row>
    <row r="437" spans="1:11" x14ac:dyDescent="0.25">
      <c r="A437" s="6">
        <v>44730</v>
      </c>
      <c r="B437" t="s">
        <v>10</v>
      </c>
      <c r="C437" t="s">
        <v>15</v>
      </c>
      <c r="D437" t="s">
        <v>12</v>
      </c>
      <c r="E437">
        <v>280</v>
      </c>
      <c r="F437" s="3">
        <v>23720265.289999999</v>
      </c>
      <c r="G437">
        <v>5173910.79</v>
      </c>
      <c r="H437">
        <v>18546354.489999998</v>
      </c>
      <c r="I437">
        <v>4.01</v>
      </c>
      <c r="J437">
        <v>3.51</v>
      </c>
      <c r="K437" t="str">
        <f t="shared" si="6"/>
        <v>Jun 2022</v>
      </c>
    </row>
    <row r="438" spans="1:11" x14ac:dyDescent="0.25">
      <c r="A438" s="6">
        <v>45096</v>
      </c>
      <c r="B438" t="s">
        <v>10</v>
      </c>
      <c r="C438" t="s">
        <v>15</v>
      </c>
      <c r="D438" t="s">
        <v>12</v>
      </c>
      <c r="E438">
        <v>346</v>
      </c>
      <c r="F438" s="3">
        <v>15134022.43</v>
      </c>
      <c r="G438">
        <v>4206576.75</v>
      </c>
      <c r="H438">
        <v>10927445.68</v>
      </c>
      <c r="I438">
        <v>1.1100000000000001</v>
      </c>
      <c r="J438">
        <v>4.63</v>
      </c>
      <c r="K438" t="str">
        <f t="shared" si="6"/>
        <v>Jun 2023</v>
      </c>
    </row>
    <row r="439" spans="1:11" x14ac:dyDescent="0.25">
      <c r="A439" s="6">
        <v>44147</v>
      </c>
      <c r="B439" t="s">
        <v>10</v>
      </c>
      <c r="C439" t="s">
        <v>15</v>
      </c>
      <c r="D439" t="s">
        <v>14</v>
      </c>
      <c r="E439">
        <v>201</v>
      </c>
      <c r="F439" s="3">
        <v>12253628.1</v>
      </c>
      <c r="G439">
        <v>4868605.08</v>
      </c>
      <c r="H439">
        <v>7385023.0199999996</v>
      </c>
      <c r="I439">
        <v>1.77</v>
      </c>
      <c r="J439">
        <v>3.57</v>
      </c>
      <c r="K439" t="str">
        <f t="shared" si="6"/>
        <v>Nov 2020</v>
      </c>
    </row>
    <row r="440" spans="1:11" x14ac:dyDescent="0.25">
      <c r="A440" s="6">
        <v>44292</v>
      </c>
      <c r="B440" t="s">
        <v>10</v>
      </c>
      <c r="C440" t="s">
        <v>18</v>
      </c>
      <c r="D440" t="s">
        <v>14</v>
      </c>
      <c r="E440">
        <v>391</v>
      </c>
      <c r="F440" s="3">
        <v>19312980.73</v>
      </c>
      <c r="G440">
        <v>6771212.9299999997</v>
      </c>
      <c r="H440">
        <v>12541767.789999999</v>
      </c>
      <c r="I440">
        <v>4.58</v>
      </c>
      <c r="J440">
        <v>3.87</v>
      </c>
      <c r="K440" t="str">
        <f t="shared" si="6"/>
        <v>Apr 2021</v>
      </c>
    </row>
    <row r="441" spans="1:11" x14ac:dyDescent="0.25">
      <c r="A441" s="6">
        <v>44218</v>
      </c>
      <c r="B441" t="s">
        <v>10</v>
      </c>
      <c r="C441" t="s">
        <v>16</v>
      </c>
      <c r="D441" t="s">
        <v>12</v>
      </c>
      <c r="E441">
        <v>385</v>
      </c>
      <c r="F441" s="3">
        <v>21335310.210000001</v>
      </c>
      <c r="G441">
        <v>6704037.1600000001</v>
      </c>
      <c r="H441">
        <v>14631273.050000001</v>
      </c>
      <c r="I441">
        <v>4.3</v>
      </c>
      <c r="J441">
        <v>3.9</v>
      </c>
      <c r="K441" t="str">
        <f t="shared" si="6"/>
        <v>Jan 2021</v>
      </c>
    </row>
    <row r="442" spans="1:11" x14ac:dyDescent="0.25">
      <c r="A442" s="6">
        <v>45431</v>
      </c>
      <c r="B442" t="s">
        <v>10</v>
      </c>
      <c r="C442" t="s">
        <v>15</v>
      </c>
      <c r="D442" t="s">
        <v>12</v>
      </c>
      <c r="E442">
        <v>378</v>
      </c>
      <c r="F442" s="3">
        <v>23366605.120000001</v>
      </c>
      <c r="G442">
        <v>9189554.9000000004</v>
      </c>
      <c r="H442">
        <v>14177050.210000001</v>
      </c>
      <c r="I442">
        <v>0.78</v>
      </c>
      <c r="J442">
        <v>4.8600000000000003</v>
      </c>
      <c r="K442" t="str">
        <f t="shared" si="6"/>
        <v>May 2024</v>
      </c>
    </row>
    <row r="443" spans="1:11" x14ac:dyDescent="0.25">
      <c r="A443" s="6">
        <v>45071</v>
      </c>
      <c r="B443" t="s">
        <v>10</v>
      </c>
      <c r="C443" t="s">
        <v>16</v>
      </c>
      <c r="D443" t="s">
        <v>17</v>
      </c>
      <c r="E443">
        <v>490</v>
      </c>
      <c r="F443" s="3">
        <v>26472556.059999999</v>
      </c>
      <c r="G443">
        <v>8920247.9700000007</v>
      </c>
      <c r="H443">
        <v>17552308.09</v>
      </c>
      <c r="I443">
        <v>3.97</v>
      </c>
      <c r="J443">
        <v>3.63</v>
      </c>
      <c r="K443" t="str">
        <f t="shared" si="6"/>
        <v>May 2023</v>
      </c>
    </row>
    <row r="444" spans="1:11" x14ac:dyDescent="0.25">
      <c r="A444" s="6">
        <v>44727</v>
      </c>
      <c r="B444" t="s">
        <v>10</v>
      </c>
      <c r="C444" t="s">
        <v>15</v>
      </c>
      <c r="D444" t="s">
        <v>14</v>
      </c>
      <c r="E444">
        <v>448</v>
      </c>
      <c r="F444" s="3">
        <v>16217728.5</v>
      </c>
      <c r="G444">
        <v>4334059.22</v>
      </c>
      <c r="H444">
        <v>11883669.279999999</v>
      </c>
      <c r="I444">
        <v>4.84</v>
      </c>
      <c r="J444">
        <v>4.34</v>
      </c>
      <c r="K444" t="str">
        <f t="shared" si="6"/>
        <v>Jun 2022</v>
      </c>
    </row>
    <row r="445" spans="1:11" x14ac:dyDescent="0.25">
      <c r="A445" s="6">
        <v>44702</v>
      </c>
      <c r="B445" t="s">
        <v>10</v>
      </c>
      <c r="C445" t="s">
        <v>13</v>
      </c>
      <c r="D445" t="s">
        <v>12</v>
      </c>
      <c r="E445">
        <v>248</v>
      </c>
      <c r="F445" s="3">
        <v>14046628.630000001</v>
      </c>
      <c r="G445">
        <v>3292899.53</v>
      </c>
      <c r="H445">
        <v>10753729.1</v>
      </c>
      <c r="I445">
        <v>4.04</v>
      </c>
      <c r="J445">
        <v>4.4400000000000004</v>
      </c>
      <c r="K445" t="str">
        <f t="shared" si="6"/>
        <v>May 2022</v>
      </c>
    </row>
    <row r="446" spans="1:11" x14ac:dyDescent="0.25">
      <c r="A446" s="6">
        <v>45158</v>
      </c>
      <c r="B446" t="s">
        <v>10</v>
      </c>
      <c r="C446" t="s">
        <v>18</v>
      </c>
      <c r="D446" t="s">
        <v>12</v>
      </c>
      <c r="E446">
        <v>214</v>
      </c>
      <c r="F446" s="3">
        <v>19039866.760000002</v>
      </c>
      <c r="G446">
        <v>6639087.0599999996</v>
      </c>
      <c r="H446">
        <v>12400779.689999999</v>
      </c>
      <c r="I446">
        <v>3.44</v>
      </c>
      <c r="J446">
        <v>3.8</v>
      </c>
      <c r="K446" t="str">
        <f t="shared" si="6"/>
        <v>Aug 2023</v>
      </c>
    </row>
    <row r="447" spans="1:11" x14ac:dyDescent="0.25">
      <c r="A447" s="6">
        <v>45273</v>
      </c>
      <c r="B447" t="s">
        <v>10</v>
      </c>
      <c r="C447" t="s">
        <v>11</v>
      </c>
      <c r="D447" t="s">
        <v>14</v>
      </c>
      <c r="E447">
        <v>354</v>
      </c>
      <c r="F447" s="3">
        <v>21422765.52</v>
      </c>
      <c r="G447">
        <v>4404497.75</v>
      </c>
      <c r="H447">
        <v>17018267.760000002</v>
      </c>
      <c r="I447">
        <v>3.24</v>
      </c>
      <c r="J447">
        <v>4.0199999999999996</v>
      </c>
      <c r="K447" t="str">
        <f t="shared" si="6"/>
        <v>Dec 2023</v>
      </c>
    </row>
    <row r="448" spans="1:11" x14ac:dyDescent="0.25">
      <c r="A448" s="6">
        <v>44023</v>
      </c>
      <c r="B448" t="s">
        <v>10</v>
      </c>
      <c r="C448" t="s">
        <v>18</v>
      </c>
      <c r="D448" t="s">
        <v>12</v>
      </c>
      <c r="E448">
        <v>474</v>
      </c>
      <c r="F448" s="3">
        <v>17164456.629999999</v>
      </c>
      <c r="G448">
        <v>4394073.3</v>
      </c>
      <c r="H448">
        <v>12770383.33</v>
      </c>
      <c r="I448">
        <v>2.38</v>
      </c>
      <c r="J448">
        <v>3.63</v>
      </c>
      <c r="K448" t="str">
        <f t="shared" si="6"/>
        <v>Jul 2020</v>
      </c>
    </row>
    <row r="449" spans="1:11" x14ac:dyDescent="0.25">
      <c r="A449" s="6">
        <v>44277</v>
      </c>
      <c r="B449" t="s">
        <v>10</v>
      </c>
      <c r="C449" t="s">
        <v>11</v>
      </c>
      <c r="D449" t="s">
        <v>17</v>
      </c>
      <c r="E449">
        <v>135</v>
      </c>
      <c r="F449" s="3">
        <v>8892079.1999999993</v>
      </c>
      <c r="G449">
        <v>2626024.9900000002</v>
      </c>
      <c r="H449">
        <v>6266054.21</v>
      </c>
      <c r="I449">
        <v>1.02</v>
      </c>
      <c r="J449">
        <v>4.79</v>
      </c>
      <c r="K449" t="str">
        <f t="shared" si="6"/>
        <v>Mar 2021</v>
      </c>
    </row>
    <row r="450" spans="1:11" x14ac:dyDescent="0.25">
      <c r="A450" s="6">
        <v>45398</v>
      </c>
      <c r="B450" t="s">
        <v>10</v>
      </c>
      <c r="C450" t="s">
        <v>18</v>
      </c>
      <c r="D450" t="s">
        <v>17</v>
      </c>
      <c r="E450">
        <v>491</v>
      </c>
      <c r="F450" s="3">
        <v>31836449.420000002</v>
      </c>
      <c r="G450">
        <v>7693596.4400000004</v>
      </c>
      <c r="H450">
        <v>24142852.98</v>
      </c>
      <c r="I450">
        <v>2.97</v>
      </c>
      <c r="J450">
        <v>4.42</v>
      </c>
      <c r="K450" t="str">
        <f t="shared" ref="K450:K513" si="7">TEXT(A450,"mmm yyyy")</f>
        <v>Apr 2024</v>
      </c>
    </row>
    <row r="451" spans="1:11" x14ac:dyDescent="0.25">
      <c r="A451" s="6">
        <v>45267</v>
      </c>
      <c r="B451" t="s">
        <v>10</v>
      </c>
      <c r="C451" t="s">
        <v>15</v>
      </c>
      <c r="D451" t="s">
        <v>14</v>
      </c>
      <c r="E451">
        <v>247</v>
      </c>
      <c r="F451" s="3">
        <v>20150390.920000002</v>
      </c>
      <c r="G451">
        <v>6332741.75</v>
      </c>
      <c r="H451">
        <v>13817649.17</v>
      </c>
      <c r="I451">
        <v>1.1299999999999999</v>
      </c>
      <c r="J451">
        <v>4.5</v>
      </c>
      <c r="K451" t="str">
        <f t="shared" si="7"/>
        <v>Dec 2023</v>
      </c>
    </row>
    <row r="452" spans="1:11" x14ac:dyDescent="0.25">
      <c r="A452" s="6">
        <v>44490</v>
      </c>
      <c r="B452" t="s">
        <v>10</v>
      </c>
      <c r="C452" t="s">
        <v>13</v>
      </c>
      <c r="D452" t="s">
        <v>12</v>
      </c>
      <c r="E452">
        <v>106</v>
      </c>
      <c r="F452" s="3">
        <v>7610400.2300000004</v>
      </c>
      <c r="G452">
        <v>2340509.2400000002</v>
      </c>
      <c r="H452">
        <v>5269890.9800000004</v>
      </c>
      <c r="I452">
        <v>2.35</v>
      </c>
      <c r="J452">
        <v>4.4800000000000004</v>
      </c>
      <c r="K452" t="str">
        <f t="shared" si="7"/>
        <v>Oct 2021</v>
      </c>
    </row>
    <row r="453" spans="1:11" x14ac:dyDescent="0.25">
      <c r="A453" s="6">
        <v>45148</v>
      </c>
      <c r="B453" t="s">
        <v>10</v>
      </c>
      <c r="C453" t="s">
        <v>15</v>
      </c>
      <c r="D453" t="s">
        <v>14</v>
      </c>
      <c r="E453">
        <v>135</v>
      </c>
      <c r="F453" s="3">
        <v>6882612.6299999999</v>
      </c>
      <c r="G453">
        <v>1669762.93</v>
      </c>
      <c r="H453">
        <v>5212849.7</v>
      </c>
      <c r="I453">
        <v>1</v>
      </c>
      <c r="J453">
        <v>4.03</v>
      </c>
      <c r="K453" t="str">
        <f t="shared" si="7"/>
        <v>Aug 2023</v>
      </c>
    </row>
    <row r="454" spans="1:11" x14ac:dyDescent="0.25">
      <c r="A454" s="6">
        <v>44742</v>
      </c>
      <c r="B454" t="s">
        <v>10</v>
      </c>
      <c r="C454" t="s">
        <v>18</v>
      </c>
      <c r="D454" t="s">
        <v>12</v>
      </c>
      <c r="E454">
        <v>148</v>
      </c>
      <c r="F454" s="3">
        <v>5602926.54</v>
      </c>
      <c r="G454">
        <v>1360078.82</v>
      </c>
      <c r="H454">
        <v>4242847.72</v>
      </c>
      <c r="I454">
        <v>1.41</v>
      </c>
      <c r="J454">
        <v>3.89</v>
      </c>
      <c r="K454" t="str">
        <f t="shared" si="7"/>
        <v>Jun 2022</v>
      </c>
    </row>
    <row r="455" spans="1:11" x14ac:dyDescent="0.25">
      <c r="A455" s="6">
        <v>44423</v>
      </c>
      <c r="B455" t="s">
        <v>10</v>
      </c>
      <c r="C455" t="s">
        <v>18</v>
      </c>
      <c r="D455" t="s">
        <v>14</v>
      </c>
      <c r="E455">
        <v>69</v>
      </c>
      <c r="F455" s="3">
        <v>4482697.25</v>
      </c>
      <c r="G455">
        <v>1113120.95</v>
      </c>
      <c r="H455">
        <v>3369576.3</v>
      </c>
      <c r="I455">
        <v>3.89</v>
      </c>
      <c r="J455">
        <v>3.53</v>
      </c>
      <c r="K455" t="str">
        <f t="shared" si="7"/>
        <v>Aug 2021</v>
      </c>
    </row>
    <row r="456" spans="1:11" x14ac:dyDescent="0.25">
      <c r="A456" s="6">
        <v>45314</v>
      </c>
      <c r="B456" t="s">
        <v>10</v>
      </c>
      <c r="C456" t="s">
        <v>15</v>
      </c>
      <c r="D456" t="s">
        <v>14</v>
      </c>
      <c r="E456">
        <v>281</v>
      </c>
      <c r="F456" s="3">
        <v>23401863.859999999</v>
      </c>
      <c r="G456">
        <v>5243974.58</v>
      </c>
      <c r="H456">
        <v>18157889.280000001</v>
      </c>
      <c r="I456">
        <v>4.42</v>
      </c>
      <c r="J456">
        <v>3.86</v>
      </c>
      <c r="K456" t="str">
        <f t="shared" si="7"/>
        <v>Jan 2024</v>
      </c>
    </row>
    <row r="457" spans="1:11" x14ac:dyDescent="0.25">
      <c r="A457" s="6">
        <v>44008</v>
      </c>
      <c r="B457" t="s">
        <v>10</v>
      </c>
      <c r="C457" t="s">
        <v>11</v>
      </c>
      <c r="D457" t="s">
        <v>12</v>
      </c>
      <c r="E457">
        <v>217</v>
      </c>
      <c r="F457" s="3">
        <v>19350851.550000001</v>
      </c>
      <c r="G457">
        <v>4752520.8499999996</v>
      </c>
      <c r="H457">
        <v>14598330.689999999</v>
      </c>
      <c r="I457">
        <v>0.62</v>
      </c>
      <c r="J457">
        <v>3.6</v>
      </c>
      <c r="K457" t="str">
        <f t="shared" si="7"/>
        <v>Jun 2020</v>
      </c>
    </row>
    <row r="458" spans="1:11" x14ac:dyDescent="0.25">
      <c r="A458" s="6">
        <v>44331</v>
      </c>
      <c r="B458" t="s">
        <v>10</v>
      </c>
      <c r="C458" t="s">
        <v>16</v>
      </c>
      <c r="D458" t="s">
        <v>17</v>
      </c>
      <c r="E458">
        <v>303</v>
      </c>
      <c r="F458" s="3">
        <v>16332147.1</v>
      </c>
      <c r="G458">
        <v>5610318.25</v>
      </c>
      <c r="H458">
        <v>10721828.859999999</v>
      </c>
      <c r="I458">
        <v>2.2599999999999998</v>
      </c>
      <c r="J458">
        <v>4.7</v>
      </c>
      <c r="K458" t="str">
        <f t="shared" si="7"/>
        <v>May 2021</v>
      </c>
    </row>
    <row r="459" spans="1:11" x14ac:dyDescent="0.25">
      <c r="A459" s="6">
        <v>44488</v>
      </c>
      <c r="B459" t="s">
        <v>10</v>
      </c>
      <c r="C459" t="s">
        <v>16</v>
      </c>
      <c r="D459" t="s">
        <v>12</v>
      </c>
      <c r="E459">
        <v>216</v>
      </c>
      <c r="F459" s="3">
        <v>15362547.640000001</v>
      </c>
      <c r="G459">
        <v>3619099.26</v>
      </c>
      <c r="H459">
        <v>11743448.380000001</v>
      </c>
      <c r="I459">
        <v>2.21</v>
      </c>
      <c r="J459">
        <v>4.66</v>
      </c>
      <c r="K459" t="str">
        <f t="shared" si="7"/>
        <v>Oct 2021</v>
      </c>
    </row>
    <row r="460" spans="1:11" x14ac:dyDescent="0.25">
      <c r="A460" s="6">
        <v>45416</v>
      </c>
      <c r="B460" t="s">
        <v>10</v>
      </c>
      <c r="C460" t="s">
        <v>13</v>
      </c>
      <c r="D460" t="s">
        <v>12</v>
      </c>
      <c r="E460">
        <v>356</v>
      </c>
      <c r="F460" s="3">
        <v>16290029.57</v>
      </c>
      <c r="G460">
        <v>5907666.2199999997</v>
      </c>
      <c r="H460">
        <v>10382363.34</v>
      </c>
      <c r="I460">
        <v>0.92</v>
      </c>
      <c r="J460">
        <v>4.04</v>
      </c>
      <c r="K460" t="str">
        <f t="shared" si="7"/>
        <v>May 2024</v>
      </c>
    </row>
    <row r="461" spans="1:11" x14ac:dyDescent="0.25">
      <c r="A461" s="6">
        <v>44464</v>
      </c>
      <c r="B461" t="s">
        <v>10</v>
      </c>
      <c r="C461" t="s">
        <v>11</v>
      </c>
      <c r="D461" t="s">
        <v>14</v>
      </c>
      <c r="E461">
        <v>346</v>
      </c>
      <c r="F461" s="3">
        <v>23101601.75</v>
      </c>
      <c r="G461">
        <v>6308666.6399999997</v>
      </c>
      <c r="H461">
        <v>16792935.109999999</v>
      </c>
      <c r="I461">
        <v>4.09</v>
      </c>
      <c r="J461">
        <v>4.09</v>
      </c>
      <c r="K461" t="str">
        <f t="shared" si="7"/>
        <v>Sep 2021</v>
      </c>
    </row>
    <row r="462" spans="1:11" x14ac:dyDescent="0.25">
      <c r="A462" s="6">
        <v>45336</v>
      </c>
      <c r="B462" t="s">
        <v>10</v>
      </c>
      <c r="C462" t="s">
        <v>11</v>
      </c>
      <c r="D462" t="s">
        <v>14</v>
      </c>
      <c r="E462">
        <v>481</v>
      </c>
      <c r="F462" s="3">
        <v>40564022.049999997</v>
      </c>
      <c r="G462">
        <v>12005404.85</v>
      </c>
      <c r="H462">
        <v>28558617.199999999</v>
      </c>
      <c r="I462">
        <v>2.5099999999999998</v>
      </c>
      <c r="J462">
        <v>4.34</v>
      </c>
      <c r="K462" t="str">
        <f t="shared" si="7"/>
        <v>Feb 2024</v>
      </c>
    </row>
    <row r="463" spans="1:11" x14ac:dyDescent="0.25">
      <c r="A463" s="6">
        <v>45534</v>
      </c>
      <c r="B463" t="s">
        <v>10</v>
      </c>
      <c r="C463" t="s">
        <v>16</v>
      </c>
      <c r="D463" t="s">
        <v>17</v>
      </c>
      <c r="E463">
        <v>435</v>
      </c>
      <c r="F463" s="3">
        <v>22803523.120000001</v>
      </c>
      <c r="G463">
        <v>5212067.8499999996</v>
      </c>
      <c r="H463">
        <v>17591455.280000001</v>
      </c>
      <c r="I463">
        <v>4.58</v>
      </c>
      <c r="J463">
        <v>3.92</v>
      </c>
      <c r="K463" t="str">
        <f t="shared" si="7"/>
        <v>Aug 2024</v>
      </c>
    </row>
    <row r="464" spans="1:11" x14ac:dyDescent="0.25">
      <c r="A464" s="6">
        <v>44789</v>
      </c>
      <c r="B464" t="s">
        <v>10</v>
      </c>
      <c r="C464" t="s">
        <v>16</v>
      </c>
      <c r="D464" t="s">
        <v>17</v>
      </c>
      <c r="E464">
        <v>89</v>
      </c>
      <c r="F464" s="3">
        <v>5597015.1500000004</v>
      </c>
      <c r="G464">
        <v>1569276.97</v>
      </c>
      <c r="H464">
        <v>4027738.18</v>
      </c>
      <c r="I464">
        <v>0.65</v>
      </c>
      <c r="J464">
        <v>4.05</v>
      </c>
      <c r="K464" t="str">
        <f t="shared" si="7"/>
        <v>Aug 2022</v>
      </c>
    </row>
    <row r="465" spans="1:11" x14ac:dyDescent="0.25">
      <c r="A465" s="6">
        <v>44791</v>
      </c>
      <c r="B465" t="s">
        <v>10</v>
      </c>
      <c r="C465" t="s">
        <v>15</v>
      </c>
      <c r="D465" t="s">
        <v>14</v>
      </c>
      <c r="E465">
        <v>465</v>
      </c>
      <c r="F465" s="3">
        <v>33008532.030000001</v>
      </c>
      <c r="G465">
        <v>12199264.99</v>
      </c>
      <c r="H465">
        <v>20809267.039999999</v>
      </c>
      <c r="I465">
        <v>2.48</v>
      </c>
      <c r="J465">
        <v>4.42</v>
      </c>
      <c r="K465" t="str">
        <f t="shared" si="7"/>
        <v>Aug 2022</v>
      </c>
    </row>
    <row r="466" spans="1:11" x14ac:dyDescent="0.25">
      <c r="A466" s="6">
        <v>44216</v>
      </c>
      <c r="B466" t="s">
        <v>10</v>
      </c>
      <c r="C466" t="s">
        <v>18</v>
      </c>
      <c r="D466" t="s">
        <v>12</v>
      </c>
      <c r="E466">
        <v>295</v>
      </c>
      <c r="F466" s="3">
        <v>24227779.609999999</v>
      </c>
      <c r="G466">
        <v>9121061.3200000003</v>
      </c>
      <c r="H466">
        <v>15106718.289999999</v>
      </c>
      <c r="I466">
        <v>3.83</v>
      </c>
      <c r="J466">
        <v>3.98</v>
      </c>
      <c r="K466" t="str">
        <f t="shared" si="7"/>
        <v>Jan 2021</v>
      </c>
    </row>
    <row r="467" spans="1:11" x14ac:dyDescent="0.25">
      <c r="A467" s="6">
        <v>45159</v>
      </c>
      <c r="B467" t="s">
        <v>10</v>
      </c>
      <c r="C467" t="s">
        <v>11</v>
      </c>
      <c r="D467" t="s">
        <v>12</v>
      </c>
      <c r="E467">
        <v>178</v>
      </c>
      <c r="F467" s="3">
        <v>10319879.99</v>
      </c>
      <c r="G467">
        <v>2096771.92</v>
      </c>
      <c r="H467">
        <v>8223108.0700000003</v>
      </c>
      <c r="I467">
        <v>3.51</v>
      </c>
      <c r="J467">
        <v>4.45</v>
      </c>
      <c r="K467" t="str">
        <f t="shared" si="7"/>
        <v>Aug 2023</v>
      </c>
    </row>
    <row r="468" spans="1:11" x14ac:dyDescent="0.25">
      <c r="A468" s="6">
        <v>45113</v>
      </c>
      <c r="B468" t="s">
        <v>10</v>
      </c>
      <c r="C468" t="s">
        <v>18</v>
      </c>
      <c r="D468" t="s">
        <v>12</v>
      </c>
      <c r="E468">
        <v>309</v>
      </c>
      <c r="F468" s="3">
        <v>27760343.280000001</v>
      </c>
      <c r="G468">
        <v>5664317.8399999999</v>
      </c>
      <c r="H468">
        <v>22096025.440000001</v>
      </c>
      <c r="I468">
        <v>3.45</v>
      </c>
      <c r="J468">
        <v>3.69</v>
      </c>
      <c r="K468" t="str">
        <f t="shared" si="7"/>
        <v>Jul 2023</v>
      </c>
    </row>
    <row r="469" spans="1:11" x14ac:dyDescent="0.25">
      <c r="A469" s="6">
        <v>43860</v>
      </c>
      <c r="B469" t="s">
        <v>10</v>
      </c>
      <c r="C469" t="s">
        <v>13</v>
      </c>
      <c r="D469" t="s">
        <v>12</v>
      </c>
      <c r="E469">
        <v>374</v>
      </c>
      <c r="F469" s="3">
        <v>24604174.41</v>
      </c>
      <c r="G469">
        <v>7246423.3099999996</v>
      </c>
      <c r="H469">
        <v>17357751.109999999</v>
      </c>
      <c r="I469">
        <v>3.74</v>
      </c>
      <c r="J469">
        <v>4.84</v>
      </c>
      <c r="K469" t="str">
        <f t="shared" si="7"/>
        <v>Jan 2020</v>
      </c>
    </row>
    <row r="470" spans="1:11" x14ac:dyDescent="0.25">
      <c r="A470" s="6">
        <v>44900</v>
      </c>
      <c r="B470" t="s">
        <v>10</v>
      </c>
      <c r="C470" t="s">
        <v>13</v>
      </c>
      <c r="D470" t="s">
        <v>14</v>
      </c>
      <c r="E470">
        <v>431</v>
      </c>
      <c r="F470" s="3">
        <v>24069838.030000001</v>
      </c>
      <c r="G470">
        <v>4941742.87</v>
      </c>
      <c r="H470">
        <v>19128095.16</v>
      </c>
      <c r="I470">
        <v>2.02</v>
      </c>
      <c r="J470">
        <v>3.94</v>
      </c>
      <c r="K470" t="str">
        <f t="shared" si="7"/>
        <v>Dec 2022</v>
      </c>
    </row>
    <row r="471" spans="1:11" x14ac:dyDescent="0.25">
      <c r="A471" s="6">
        <v>43986</v>
      </c>
      <c r="B471" t="s">
        <v>10</v>
      </c>
      <c r="C471" t="s">
        <v>18</v>
      </c>
      <c r="D471" t="s">
        <v>14</v>
      </c>
      <c r="E471">
        <v>483</v>
      </c>
      <c r="F471" s="3">
        <v>19847032.449999999</v>
      </c>
      <c r="G471">
        <v>4923721.63</v>
      </c>
      <c r="H471">
        <v>14923310.82</v>
      </c>
      <c r="I471">
        <v>4.95</v>
      </c>
      <c r="J471">
        <v>4.8499999999999996</v>
      </c>
      <c r="K471" t="str">
        <f t="shared" si="7"/>
        <v>Jun 2020</v>
      </c>
    </row>
    <row r="472" spans="1:11" x14ac:dyDescent="0.25">
      <c r="A472" s="6">
        <v>44831</v>
      </c>
      <c r="B472" t="s">
        <v>10</v>
      </c>
      <c r="C472" t="s">
        <v>13</v>
      </c>
      <c r="D472" t="s">
        <v>17</v>
      </c>
      <c r="E472">
        <v>413</v>
      </c>
      <c r="F472" s="3">
        <v>24887208.949999999</v>
      </c>
      <c r="G472">
        <v>8173963.54</v>
      </c>
      <c r="H472">
        <v>16713245.41</v>
      </c>
      <c r="I472">
        <v>2.72</v>
      </c>
      <c r="J472">
        <v>4.74</v>
      </c>
      <c r="K472" t="str">
        <f t="shared" si="7"/>
        <v>Sep 2022</v>
      </c>
    </row>
    <row r="473" spans="1:11" x14ac:dyDescent="0.25">
      <c r="A473" s="6">
        <v>45330</v>
      </c>
      <c r="B473" t="s">
        <v>10</v>
      </c>
      <c r="C473" t="s">
        <v>13</v>
      </c>
      <c r="D473" t="s">
        <v>12</v>
      </c>
      <c r="E473">
        <v>335</v>
      </c>
      <c r="F473" s="3">
        <v>14926557.35</v>
      </c>
      <c r="G473">
        <v>3845039.32</v>
      </c>
      <c r="H473">
        <v>11081518.029999999</v>
      </c>
      <c r="I473">
        <v>4.22</v>
      </c>
      <c r="J473">
        <v>3.65</v>
      </c>
      <c r="K473" t="str">
        <f t="shared" si="7"/>
        <v>Feb 2024</v>
      </c>
    </row>
    <row r="474" spans="1:11" x14ac:dyDescent="0.25">
      <c r="A474" s="6">
        <v>44036</v>
      </c>
      <c r="B474" t="s">
        <v>10</v>
      </c>
      <c r="C474" t="s">
        <v>13</v>
      </c>
      <c r="D474" t="s">
        <v>14</v>
      </c>
      <c r="E474">
        <v>212</v>
      </c>
      <c r="F474" s="3">
        <v>9075393.4000000004</v>
      </c>
      <c r="G474">
        <v>2998616.32</v>
      </c>
      <c r="H474">
        <v>6076777.0800000001</v>
      </c>
      <c r="I474">
        <v>2.5299999999999998</v>
      </c>
      <c r="J474">
        <v>4.62</v>
      </c>
      <c r="K474" t="str">
        <f t="shared" si="7"/>
        <v>Jul 2020</v>
      </c>
    </row>
    <row r="475" spans="1:11" x14ac:dyDescent="0.25">
      <c r="A475" s="6">
        <v>44537</v>
      </c>
      <c r="B475" t="s">
        <v>10</v>
      </c>
      <c r="C475" t="s">
        <v>16</v>
      </c>
      <c r="D475" t="s">
        <v>17</v>
      </c>
      <c r="E475">
        <v>490</v>
      </c>
      <c r="F475" s="3">
        <v>28886872</v>
      </c>
      <c r="G475">
        <v>8219760.9800000004</v>
      </c>
      <c r="H475">
        <v>20667111.010000002</v>
      </c>
      <c r="I475">
        <v>3.82</v>
      </c>
      <c r="J475">
        <v>4.71</v>
      </c>
      <c r="K475" t="str">
        <f t="shared" si="7"/>
        <v>Dec 2021</v>
      </c>
    </row>
    <row r="476" spans="1:11" x14ac:dyDescent="0.25">
      <c r="A476" s="6">
        <v>44319</v>
      </c>
      <c r="B476" t="s">
        <v>10</v>
      </c>
      <c r="C476" t="s">
        <v>16</v>
      </c>
      <c r="D476" t="s">
        <v>14</v>
      </c>
      <c r="E476">
        <v>399</v>
      </c>
      <c r="F476" s="3">
        <v>35451457.859999999</v>
      </c>
      <c r="G476">
        <v>9684330.4900000002</v>
      </c>
      <c r="H476">
        <v>25767127.379999999</v>
      </c>
      <c r="I476">
        <v>1.07</v>
      </c>
      <c r="J476">
        <v>4.51</v>
      </c>
      <c r="K476" t="str">
        <f t="shared" si="7"/>
        <v>May 2021</v>
      </c>
    </row>
    <row r="477" spans="1:11" x14ac:dyDescent="0.25">
      <c r="A477" s="6">
        <v>45421</v>
      </c>
      <c r="B477" t="s">
        <v>10</v>
      </c>
      <c r="C477" t="s">
        <v>16</v>
      </c>
      <c r="D477" t="s">
        <v>17</v>
      </c>
      <c r="E477">
        <v>115</v>
      </c>
      <c r="F477" s="3">
        <v>6016866.4000000004</v>
      </c>
      <c r="G477">
        <v>2402153.12</v>
      </c>
      <c r="H477">
        <v>3614713.28</v>
      </c>
      <c r="I477">
        <v>3.57</v>
      </c>
      <c r="J477">
        <v>3.75</v>
      </c>
      <c r="K477" t="str">
        <f t="shared" si="7"/>
        <v>May 2024</v>
      </c>
    </row>
    <row r="478" spans="1:11" x14ac:dyDescent="0.25">
      <c r="A478" s="6">
        <v>45546</v>
      </c>
      <c r="B478" t="s">
        <v>10</v>
      </c>
      <c r="C478" t="s">
        <v>13</v>
      </c>
      <c r="D478" t="s">
        <v>12</v>
      </c>
      <c r="E478">
        <v>197</v>
      </c>
      <c r="F478" s="3">
        <v>9356490.5</v>
      </c>
      <c r="G478">
        <v>2176242.73</v>
      </c>
      <c r="H478">
        <v>7180247.7699999996</v>
      </c>
      <c r="I478">
        <v>1.76</v>
      </c>
      <c r="J478">
        <v>4.46</v>
      </c>
      <c r="K478" t="str">
        <f t="shared" si="7"/>
        <v>Sep 2024</v>
      </c>
    </row>
    <row r="479" spans="1:11" x14ac:dyDescent="0.25">
      <c r="A479" s="6">
        <v>44074</v>
      </c>
      <c r="B479" t="s">
        <v>10</v>
      </c>
      <c r="C479" t="s">
        <v>18</v>
      </c>
      <c r="D479" t="s">
        <v>17</v>
      </c>
      <c r="E479">
        <v>53</v>
      </c>
      <c r="F479" s="3">
        <v>4380516.6900000004</v>
      </c>
      <c r="G479">
        <v>1563380.24</v>
      </c>
      <c r="H479">
        <v>2817136.45</v>
      </c>
      <c r="I479">
        <v>2.12</v>
      </c>
      <c r="J479">
        <v>3.6</v>
      </c>
      <c r="K479" t="str">
        <f t="shared" si="7"/>
        <v>Aug 2020</v>
      </c>
    </row>
    <row r="480" spans="1:11" x14ac:dyDescent="0.25">
      <c r="A480" s="6">
        <v>45125</v>
      </c>
      <c r="B480" t="s">
        <v>10</v>
      </c>
      <c r="C480" t="s">
        <v>18</v>
      </c>
      <c r="D480" t="s">
        <v>17</v>
      </c>
      <c r="E480">
        <v>362</v>
      </c>
      <c r="F480" s="3">
        <v>18721572.850000001</v>
      </c>
      <c r="G480">
        <v>5042982.1900000004</v>
      </c>
      <c r="H480">
        <v>13678590.66</v>
      </c>
      <c r="I480">
        <v>4.72</v>
      </c>
      <c r="J480">
        <v>4.8099999999999996</v>
      </c>
      <c r="K480" t="str">
        <f t="shared" si="7"/>
        <v>Jul 2023</v>
      </c>
    </row>
    <row r="481" spans="1:11" x14ac:dyDescent="0.25">
      <c r="A481" s="6">
        <v>44399</v>
      </c>
      <c r="B481" t="s">
        <v>10</v>
      </c>
      <c r="C481" t="s">
        <v>15</v>
      </c>
      <c r="D481" t="s">
        <v>14</v>
      </c>
      <c r="E481">
        <v>88</v>
      </c>
      <c r="F481" s="3">
        <v>6987796.79</v>
      </c>
      <c r="G481">
        <v>2712531.5</v>
      </c>
      <c r="H481">
        <v>4275265.29</v>
      </c>
      <c r="I481">
        <v>4.54</v>
      </c>
      <c r="J481">
        <v>4.4800000000000004</v>
      </c>
      <c r="K481" t="str">
        <f t="shared" si="7"/>
        <v>Jul 2021</v>
      </c>
    </row>
    <row r="482" spans="1:11" x14ac:dyDescent="0.25">
      <c r="A482" s="6">
        <v>44387</v>
      </c>
      <c r="B482" t="s">
        <v>10</v>
      </c>
      <c r="C482" t="s">
        <v>11</v>
      </c>
      <c r="D482" t="s">
        <v>17</v>
      </c>
      <c r="E482">
        <v>183</v>
      </c>
      <c r="F482" s="3">
        <v>13155920.720000001</v>
      </c>
      <c r="G482">
        <v>3787745.79</v>
      </c>
      <c r="H482">
        <v>9368174.9299999997</v>
      </c>
      <c r="I482">
        <v>1</v>
      </c>
      <c r="J482">
        <v>4.17</v>
      </c>
      <c r="K482" t="str">
        <f t="shared" si="7"/>
        <v>Jul 2021</v>
      </c>
    </row>
    <row r="483" spans="1:11" x14ac:dyDescent="0.25">
      <c r="A483" s="6">
        <v>45336</v>
      </c>
      <c r="B483" t="s">
        <v>10</v>
      </c>
      <c r="C483" t="s">
        <v>11</v>
      </c>
      <c r="D483" t="s">
        <v>12</v>
      </c>
      <c r="E483">
        <v>87</v>
      </c>
      <c r="F483" s="3">
        <v>4129904.88</v>
      </c>
      <c r="G483">
        <v>1336757.75</v>
      </c>
      <c r="H483">
        <v>2793147.13</v>
      </c>
      <c r="I483">
        <v>1.08</v>
      </c>
      <c r="J483">
        <v>4.12</v>
      </c>
      <c r="K483" t="str">
        <f t="shared" si="7"/>
        <v>Feb 2024</v>
      </c>
    </row>
    <row r="484" spans="1:11" x14ac:dyDescent="0.25">
      <c r="A484" s="6">
        <v>44232</v>
      </c>
      <c r="B484" t="s">
        <v>10</v>
      </c>
      <c r="C484" t="s">
        <v>18</v>
      </c>
      <c r="D484" t="s">
        <v>12</v>
      </c>
      <c r="E484">
        <v>383</v>
      </c>
      <c r="F484" s="3">
        <v>23496610.879999999</v>
      </c>
      <c r="G484">
        <v>9314056.1300000008</v>
      </c>
      <c r="H484">
        <v>14182554.74</v>
      </c>
      <c r="I484">
        <v>2.4</v>
      </c>
      <c r="J484">
        <v>3.54</v>
      </c>
      <c r="K484" t="str">
        <f t="shared" si="7"/>
        <v>Feb 2021</v>
      </c>
    </row>
    <row r="485" spans="1:11" x14ac:dyDescent="0.25">
      <c r="A485" s="6">
        <v>44663</v>
      </c>
      <c r="B485" t="s">
        <v>10</v>
      </c>
      <c r="C485" t="s">
        <v>11</v>
      </c>
      <c r="D485" t="s">
        <v>12</v>
      </c>
      <c r="E485">
        <v>151</v>
      </c>
      <c r="F485" s="3">
        <v>7610710.0199999996</v>
      </c>
      <c r="G485">
        <v>1737766.09</v>
      </c>
      <c r="H485">
        <v>5872943.9299999997</v>
      </c>
      <c r="I485">
        <v>1.81</v>
      </c>
      <c r="J485">
        <v>4.87</v>
      </c>
      <c r="K485" t="str">
        <f t="shared" si="7"/>
        <v>Apr 2022</v>
      </c>
    </row>
    <row r="486" spans="1:11" x14ac:dyDescent="0.25">
      <c r="A486" s="6">
        <v>45491</v>
      </c>
      <c r="B486" t="s">
        <v>10</v>
      </c>
      <c r="C486" t="s">
        <v>13</v>
      </c>
      <c r="D486" t="s">
        <v>14</v>
      </c>
      <c r="E486">
        <v>475</v>
      </c>
      <c r="F486" s="3">
        <v>34894614.18</v>
      </c>
      <c r="G486">
        <v>8099312.7599999998</v>
      </c>
      <c r="H486">
        <v>26795301.420000002</v>
      </c>
      <c r="I486">
        <v>4.92</v>
      </c>
      <c r="J486">
        <v>4.43</v>
      </c>
      <c r="K486" t="str">
        <f t="shared" si="7"/>
        <v>Jul 2024</v>
      </c>
    </row>
    <row r="487" spans="1:11" x14ac:dyDescent="0.25">
      <c r="A487" s="6">
        <v>45385</v>
      </c>
      <c r="B487" t="s">
        <v>10</v>
      </c>
      <c r="C487" t="s">
        <v>13</v>
      </c>
      <c r="D487" t="s">
        <v>14</v>
      </c>
      <c r="E487">
        <v>122</v>
      </c>
      <c r="F487" s="3">
        <v>6314879.8499999996</v>
      </c>
      <c r="G487">
        <v>1478446.41</v>
      </c>
      <c r="H487">
        <v>4836433.4400000004</v>
      </c>
      <c r="I487">
        <v>1.77</v>
      </c>
      <c r="J487">
        <v>4.8099999999999996</v>
      </c>
      <c r="K487" t="str">
        <f t="shared" si="7"/>
        <v>Apr 2024</v>
      </c>
    </row>
    <row r="488" spans="1:11" x14ac:dyDescent="0.25">
      <c r="A488" s="6">
        <v>43886</v>
      </c>
      <c r="B488" t="s">
        <v>10</v>
      </c>
      <c r="C488" t="s">
        <v>15</v>
      </c>
      <c r="D488" t="s">
        <v>14</v>
      </c>
      <c r="E488">
        <v>447</v>
      </c>
      <c r="F488" s="3">
        <v>21015425.649999999</v>
      </c>
      <c r="G488">
        <v>7900760.9299999997</v>
      </c>
      <c r="H488">
        <v>13114664.720000001</v>
      </c>
      <c r="I488">
        <v>0.81</v>
      </c>
      <c r="J488">
        <v>3.89</v>
      </c>
      <c r="K488" t="str">
        <f t="shared" si="7"/>
        <v>Feb 2020</v>
      </c>
    </row>
    <row r="489" spans="1:11" x14ac:dyDescent="0.25">
      <c r="A489" s="6">
        <v>44865</v>
      </c>
      <c r="B489" t="s">
        <v>10</v>
      </c>
      <c r="C489" t="s">
        <v>15</v>
      </c>
      <c r="D489" t="s">
        <v>17</v>
      </c>
      <c r="E489">
        <v>314</v>
      </c>
      <c r="F489" s="3">
        <v>11204217.710000001</v>
      </c>
      <c r="G489">
        <v>3431251.41</v>
      </c>
      <c r="H489">
        <v>7772966.29</v>
      </c>
      <c r="I489">
        <v>1.86</v>
      </c>
      <c r="J489">
        <v>4.4000000000000004</v>
      </c>
      <c r="K489" t="str">
        <f t="shared" si="7"/>
        <v>Oct 2022</v>
      </c>
    </row>
    <row r="490" spans="1:11" x14ac:dyDescent="0.25">
      <c r="A490" s="6">
        <v>45138</v>
      </c>
      <c r="B490" t="s">
        <v>10</v>
      </c>
      <c r="C490" t="s">
        <v>15</v>
      </c>
      <c r="D490" t="s">
        <v>12</v>
      </c>
      <c r="E490">
        <v>276</v>
      </c>
      <c r="F490" s="3">
        <v>13096015.68</v>
      </c>
      <c r="G490">
        <v>3325743.27</v>
      </c>
      <c r="H490">
        <v>9770272.4100000001</v>
      </c>
      <c r="I490">
        <v>3.19</v>
      </c>
      <c r="J490">
        <v>3.6</v>
      </c>
      <c r="K490" t="str">
        <f t="shared" si="7"/>
        <v>Jul 2023</v>
      </c>
    </row>
    <row r="491" spans="1:11" x14ac:dyDescent="0.25">
      <c r="A491" s="6">
        <v>44257</v>
      </c>
      <c r="B491" t="s">
        <v>10</v>
      </c>
      <c r="C491" t="s">
        <v>15</v>
      </c>
      <c r="D491" t="s">
        <v>17</v>
      </c>
      <c r="E491">
        <v>313</v>
      </c>
      <c r="F491" s="3">
        <v>26057061.25</v>
      </c>
      <c r="G491">
        <v>8700932.1799999997</v>
      </c>
      <c r="H491">
        <v>17356129.07</v>
      </c>
      <c r="I491">
        <v>2.0299999999999998</v>
      </c>
      <c r="J491">
        <v>4.9800000000000004</v>
      </c>
      <c r="K491" t="str">
        <f t="shared" si="7"/>
        <v>Mar 2021</v>
      </c>
    </row>
    <row r="492" spans="1:11" x14ac:dyDescent="0.25">
      <c r="A492" s="6">
        <v>44939</v>
      </c>
      <c r="B492" t="s">
        <v>10</v>
      </c>
      <c r="C492" t="s">
        <v>13</v>
      </c>
      <c r="D492" t="s">
        <v>12</v>
      </c>
      <c r="E492">
        <v>304</v>
      </c>
      <c r="F492" s="3">
        <v>11960364.390000001</v>
      </c>
      <c r="G492">
        <v>4211219.9800000004</v>
      </c>
      <c r="H492">
        <v>7749144.4199999999</v>
      </c>
      <c r="I492">
        <v>4.08</v>
      </c>
      <c r="J492">
        <v>3.55</v>
      </c>
      <c r="K492" t="str">
        <f t="shared" si="7"/>
        <v>Jan 2023</v>
      </c>
    </row>
    <row r="493" spans="1:11" x14ac:dyDescent="0.25">
      <c r="A493" s="6">
        <v>45419</v>
      </c>
      <c r="B493" t="s">
        <v>10</v>
      </c>
      <c r="C493" t="s">
        <v>16</v>
      </c>
      <c r="D493" t="s">
        <v>14</v>
      </c>
      <c r="E493">
        <v>84</v>
      </c>
      <c r="F493" s="3">
        <v>4177128.24</v>
      </c>
      <c r="G493">
        <v>1011566.08</v>
      </c>
      <c r="H493">
        <v>3165562.16</v>
      </c>
      <c r="I493">
        <v>3.08</v>
      </c>
      <c r="J493">
        <v>4.49</v>
      </c>
      <c r="K493" t="str">
        <f t="shared" si="7"/>
        <v>May 2024</v>
      </c>
    </row>
    <row r="494" spans="1:11" x14ac:dyDescent="0.25">
      <c r="A494" s="6">
        <v>44791</v>
      </c>
      <c r="B494" t="s">
        <v>10</v>
      </c>
      <c r="C494" t="s">
        <v>16</v>
      </c>
      <c r="D494" t="s">
        <v>14</v>
      </c>
      <c r="E494">
        <v>353</v>
      </c>
      <c r="F494" s="3">
        <v>28496116.780000001</v>
      </c>
      <c r="G494">
        <v>7984734.4100000001</v>
      </c>
      <c r="H494">
        <v>20511382.370000001</v>
      </c>
      <c r="I494">
        <v>1.02</v>
      </c>
      <c r="J494">
        <v>3.64</v>
      </c>
      <c r="K494" t="str">
        <f t="shared" si="7"/>
        <v>Aug 2022</v>
      </c>
    </row>
    <row r="495" spans="1:11" x14ac:dyDescent="0.25">
      <c r="A495" s="6">
        <v>44776</v>
      </c>
      <c r="B495" t="s">
        <v>10</v>
      </c>
      <c r="C495" t="s">
        <v>11</v>
      </c>
      <c r="D495" t="s">
        <v>14</v>
      </c>
      <c r="E495">
        <v>494</v>
      </c>
      <c r="F495" s="3">
        <v>18176983.059999999</v>
      </c>
      <c r="G495">
        <v>4113264.02</v>
      </c>
      <c r="H495">
        <v>14063719.039999999</v>
      </c>
      <c r="I495">
        <v>0.79</v>
      </c>
      <c r="J495">
        <v>4.93</v>
      </c>
      <c r="K495" t="str">
        <f t="shared" si="7"/>
        <v>Aug 2022</v>
      </c>
    </row>
    <row r="496" spans="1:11" x14ac:dyDescent="0.25">
      <c r="A496" s="6">
        <v>44753</v>
      </c>
      <c r="B496" t="s">
        <v>10</v>
      </c>
      <c r="C496" t="s">
        <v>13</v>
      </c>
      <c r="D496" t="s">
        <v>17</v>
      </c>
      <c r="E496">
        <v>57</v>
      </c>
      <c r="F496" s="3">
        <v>3617194.31</v>
      </c>
      <c r="G496">
        <v>1135489.81</v>
      </c>
      <c r="H496">
        <v>2481704.5</v>
      </c>
      <c r="I496">
        <v>1.93</v>
      </c>
      <c r="J496">
        <v>4.1500000000000004</v>
      </c>
      <c r="K496" t="str">
        <f t="shared" si="7"/>
        <v>Jul 2022</v>
      </c>
    </row>
    <row r="497" spans="1:11" x14ac:dyDescent="0.25">
      <c r="A497" s="6">
        <v>45543</v>
      </c>
      <c r="B497" t="s">
        <v>10</v>
      </c>
      <c r="C497" t="s">
        <v>13</v>
      </c>
      <c r="D497" t="s">
        <v>14</v>
      </c>
      <c r="E497">
        <v>96</v>
      </c>
      <c r="F497" s="3">
        <v>4086125.53</v>
      </c>
      <c r="G497">
        <v>1355927.07</v>
      </c>
      <c r="H497">
        <v>2730198.47</v>
      </c>
      <c r="I497">
        <v>1.24</v>
      </c>
      <c r="J497">
        <v>3.76</v>
      </c>
      <c r="K497" t="str">
        <f t="shared" si="7"/>
        <v>Sep 2024</v>
      </c>
    </row>
    <row r="498" spans="1:11" x14ac:dyDescent="0.25">
      <c r="A498" s="6">
        <v>45244</v>
      </c>
      <c r="B498" t="s">
        <v>10</v>
      </c>
      <c r="C498" t="s">
        <v>15</v>
      </c>
      <c r="D498" t="s">
        <v>17</v>
      </c>
      <c r="E498">
        <v>70</v>
      </c>
      <c r="F498" s="3">
        <v>4880534.08</v>
      </c>
      <c r="G498">
        <v>1374654</v>
      </c>
      <c r="H498">
        <v>3505880.08</v>
      </c>
      <c r="I498">
        <v>3.66</v>
      </c>
      <c r="J498">
        <v>3.86</v>
      </c>
      <c r="K498" t="str">
        <f t="shared" si="7"/>
        <v>Nov 2023</v>
      </c>
    </row>
    <row r="499" spans="1:11" x14ac:dyDescent="0.25">
      <c r="A499" s="6">
        <v>45049</v>
      </c>
      <c r="B499" t="s">
        <v>10</v>
      </c>
      <c r="C499" t="s">
        <v>11</v>
      </c>
      <c r="D499" t="s">
        <v>12</v>
      </c>
      <c r="E499">
        <v>397</v>
      </c>
      <c r="F499" s="3">
        <v>16170748.57</v>
      </c>
      <c r="G499">
        <v>5224732.2300000004</v>
      </c>
      <c r="H499">
        <v>10946016.34</v>
      </c>
      <c r="I499">
        <v>2.69</v>
      </c>
      <c r="J499">
        <v>4.4800000000000004</v>
      </c>
      <c r="K499" t="str">
        <f t="shared" si="7"/>
        <v>May 2023</v>
      </c>
    </row>
    <row r="500" spans="1:11" x14ac:dyDescent="0.25">
      <c r="A500" s="6">
        <v>45206</v>
      </c>
      <c r="B500" t="s">
        <v>10</v>
      </c>
      <c r="C500" t="s">
        <v>18</v>
      </c>
      <c r="D500" t="s">
        <v>17</v>
      </c>
      <c r="E500">
        <v>243</v>
      </c>
      <c r="F500" s="3">
        <v>12134516.539999999</v>
      </c>
      <c r="G500">
        <v>3706131</v>
      </c>
      <c r="H500">
        <v>8428385.5399999991</v>
      </c>
      <c r="I500">
        <v>4.93</v>
      </c>
      <c r="J500">
        <v>3.9</v>
      </c>
      <c r="K500" t="str">
        <f t="shared" si="7"/>
        <v>Oct 2023</v>
      </c>
    </row>
    <row r="501" spans="1:11" x14ac:dyDescent="0.25">
      <c r="A501" s="6">
        <v>45148</v>
      </c>
      <c r="B501" t="s">
        <v>10</v>
      </c>
      <c r="C501" t="s">
        <v>11</v>
      </c>
      <c r="D501" t="s">
        <v>17</v>
      </c>
      <c r="E501">
        <v>471</v>
      </c>
      <c r="F501" s="3">
        <v>18322499.059999999</v>
      </c>
      <c r="G501">
        <v>6396781.7199999997</v>
      </c>
      <c r="H501">
        <v>11925717.34</v>
      </c>
      <c r="I501">
        <v>2.13</v>
      </c>
      <c r="J501">
        <v>4.21</v>
      </c>
      <c r="K501" t="str">
        <f t="shared" si="7"/>
        <v>Aug 2023</v>
      </c>
    </row>
    <row r="502" spans="1:11" x14ac:dyDescent="0.25">
      <c r="A502" s="6">
        <v>43925</v>
      </c>
      <c r="B502" t="s">
        <v>10</v>
      </c>
      <c r="C502" t="s">
        <v>18</v>
      </c>
      <c r="D502" t="s">
        <v>17</v>
      </c>
      <c r="E502">
        <v>267</v>
      </c>
      <c r="F502" s="3">
        <v>22669877.719999999</v>
      </c>
      <c r="G502">
        <v>7984980.8300000001</v>
      </c>
      <c r="H502">
        <v>14684896.890000001</v>
      </c>
      <c r="I502">
        <v>2.61</v>
      </c>
      <c r="J502">
        <v>4.18</v>
      </c>
      <c r="K502" t="str">
        <f t="shared" si="7"/>
        <v>Apr 2020</v>
      </c>
    </row>
    <row r="503" spans="1:11" x14ac:dyDescent="0.25">
      <c r="A503" s="6">
        <v>43875</v>
      </c>
      <c r="B503" t="s">
        <v>10</v>
      </c>
      <c r="C503" t="s">
        <v>15</v>
      </c>
      <c r="D503" t="s">
        <v>12</v>
      </c>
      <c r="E503">
        <v>158</v>
      </c>
      <c r="F503" s="3">
        <v>9718936.7899999991</v>
      </c>
      <c r="G503">
        <v>3506402.46</v>
      </c>
      <c r="H503">
        <v>6212534.3300000001</v>
      </c>
      <c r="I503">
        <v>3.25</v>
      </c>
      <c r="J503">
        <v>3.92</v>
      </c>
      <c r="K503" t="str">
        <f t="shared" si="7"/>
        <v>Feb 2020</v>
      </c>
    </row>
    <row r="504" spans="1:11" x14ac:dyDescent="0.25">
      <c r="A504" s="6">
        <v>44723</v>
      </c>
      <c r="B504" t="s">
        <v>10</v>
      </c>
      <c r="C504" t="s">
        <v>11</v>
      </c>
      <c r="D504" t="s">
        <v>12</v>
      </c>
      <c r="E504">
        <v>361</v>
      </c>
      <c r="F504" s="3">
        <v>24366673.050000001</v>
      </c>
      <c r="G504">
        <v>7129652.04</v>
      </c>
      <c r="H504">
        <v>17237021.010000002</v>
      </c>
      <c r="I504">
        <v>4.34</v>
      </c>
      <c r="J504">
        <v>3.57</v>
      </c>
      <c r="K504" t="str">
        <f t="shared" si="7"/>
        <v>Jun 2022</v>
      </c>
    </row>
    <row r="505" spans="1:11" x14ac:dyDescent="0.25">
      <c r="A505" s="6">
        <v>44615</v>
      </c>
      <c r="B505" t="s">
        <v>10</v>
      </c>
      <c r="C505" t="s">
        <v>16</v>
      </c>
      <c r="D505" t="s">
        <v>12</v>
      </c>
      <c r="E505">
        <v>185</v>
      </c>
      <c r="F505" s="3">
        <v>6848639.8600000003</v>
      </c>
      <c r="G505">
        <v>2591490.0499999998</v>
      </c>
      <c r="H505">
        <v>4257149.82</v>
      </c>
      <c r="I505">
        <v>2.02</v>
      </c>
      <c r="J505">
        <v>4.7</v>
      </c>
      <c r="K505" t="str">
        <f t="shared" si="7"/>
        <v>Feb 2022</v>
      </c>
    </row>
    <row r="506" spans="1:11" x14ac:dyDescent="0.25">
      <c r="A506" s="6">
        <v>45326</v>
      </c>
      <c r="B506" t="s">
        <v>10</v>
      </c>
      <c r="C506" t="s">
        <v>13</v>
      </c>
      <c r="D506" t="s">
        <v>14</v>
      </c>
      <c r="E506">
        <v>482</v>
      </c>
      <c r="F506" s="3">
        <v>22662695.710000001</v>
      </c>
      <c r="G506">
        <v>7266581.04</v>
      </c>
      <c r="H506">
        <v>15396114.67</v>
      </c>
      <c r="I506">
        <v>0.7</v>
      </c>
      <c r="J506">
        <v>3.92</v>
      </c>
      <c r="K506" t="str">
        <f t="shared" si="7"/>
        <v>Feb 2024</v>
      </c>
    </row>
    <row r="507" spans="1:11" x14ac:dyDescent="0.25">
      <c r="A507" s="6">
        <v>44403</v>
      </c>
      <c r="B507" t="s">
        <v>10</v>
      </c>
      <c r="C507" t="s">
        <v>18</v>
      </c>
      <c r="D507" t="s">
        <v>14</v>
      </c>
      <c r="E507">
        <v>393</v>
      </c>
      <c r="F507" s="3">
        <v>15637510.15</v>
      </c>
      <c r="G507">
        <v>4325127.28</v>
      </c>
      <c r="H507">
        <v>11312382.869999999</v>
      </c>
      <c r="I507">
        <v>1.01</v>
      </c>
      <c r="J507">
        <v>4.0199999999999996</v>
      </c>
      <c r="K507" t="str">
        <f t="shared" si="7"/>
        <v>Jul 2021</v>
      </c>
    </row>
    <row r="508" spans="1:11" x14ac:dyDescent="0.25">
      <c r="A508" s="6">
        <v>45263</v>
      </c>
      <c r="B508" t="s">
        <v>10</v>
      </c>
      <c r="C508" t="s">
        <v>11</v>
      </c>
      <c r="D508" t="s">
        <v>17</v>
      </c>
      <c r="E508">
        <v>472</v>
      </c>
      <c r="F508" s="3">
        <v>31441277.23</v>
      </c>
      <c r="G508">
        <v>12389949.529999999</v>
      </c>
      <c r="H508">
        <v>19051327.699999999</v>
      </c>
      <c r="I508">
        <v>3.54</v>
      </c>
      <c r="J508">
        <v>3.57</v>
      </c>
      <c r="K508" t="str">
        <f t="shared" si="7"/>
        <v>Dec 2023</v>
      </c>
    </row>
    <row r="509" spans="1:11" x14ac:dyDescent="0.25">
      <c r="A509" s="6">
        <v>44745</v>
      </c>
      <c r="B509" t="s">
        <v>10</v>
      </c>
      <c r="C509" t="s">
        <v>18</v>
      </c>
      <c r="D509" t="s">
        <v>17</v>
      </c>
      <c r="E509">
        <v>444</v>
      </c>
      <c r="F509" s="3">
        <v>18750964.309999999</v>
      </c>
      <c r="G509">
        <v>6470089.5199999996</v>
      </c>
      <c r="H509">
        <v>12280874.789999999</v>
      </c>
      <c r="I509">
        <v>2.2799999999999998</v>
      </c>
      <c r="J509">
        <v>4.13</v>
      </c>
      <c r="K509" t="str">
        <f t="shared" si="7"/>
        <v>Jul 2022</v>
      </c>
    </row>
    <row r="510" spans="1:11" x14ac:dyDescent="0.25">
      <c r="A510" s="6">
        <v>44293</v>
      </c>
      <c r="B510" t="s">
        <v>10</v>
      </c>
      <c r="C510" t="s">
        <v>16</v>
      </c>
      <c r="D510" t="s">
        <v>14</v>
      </c>
      <c r="E510">
        <v>381</v>
      </c>
      <c r="F510" s="3">
        <v>31822728.039999999</v>
      </c>
      <c r="G510">
        <v>8458843.8599999994</v>
      </c>
      <c r="H510">
        <v>23363884.18</v>
      </c>
      <c r="I510">
        <v>1.66</v>
      </c>
      <c r="J510">
        <v>4.51</v>
      </c>
      <c r="K510" t="str">
        <f t="shared" si="7"/>
        <v>Apr 2021</v>
      </c>
    </row>
    <row r="511" spans="1:11" x14ac:dyDescent="0.25">
      <c r="A511" s="6">
        <v>44636</v>
      </c>
      <c r="B511" t="s">
        <v>10</v>
      </c>
      <c r="C511" t="s">
        <v>15</v>
      </c>
      <c r="D511" t="s">
        <v>14</v>
      </c>
      <c r="E511">
        <v>466</v>
      </c>
      <c r="F511" s="3">
        <v>37423747.549999997</v>
      </c>
      <c r="G511">
        <v>7821110.3200000003</v>
      </c>
      <c r="H511">
        <v>29602637.219999999</v>
      </c>
      <c r="I511">
        <v>4.2</v>
      </c>
      <c r="J511">
        <v>3.5</v>
      </c>
      <c r="K511" t="str">
        <f t="shared" si="7"/>
        <v>Mar 2022</v>
      </c>
    </row>
    <row r="512" spans="1:11" x14ac:dyDescent="0.25">
      <c r="A512" s="6">
        <v>45323</v>
      </c>
      <c r="B512" t="s">
        <v>10</v>
      </c>
      <c r="C512" t="s">
        <v>11</v>
      </c>
      <c r="D512" t="s">
        <v>14</v>
      </c>
      <c r="E512">
        <v>396</v>
      </c>
      <c r="F512" s="3">
        <v>13905821.699999999</v>
      </c>
      <c r="G512">
        <v>3566642.68</v>
      </c>
      <c r="H512">
        <v>10339179.029999999</v>
      </c>
      <c r="I512">
        <v>4.2300000000000004</v>
      </c>
      <c r="J512">
        <v>3.56</v>
      </c>
      <c r="K512" t="str">
        <f t="shared" si="7"/>
        <v>Feb 2024</v>
      </c>
    </row>
    <row r="513" spans="1:11" x14ac:dyDescent="0.25">
      <c r="A513" s="6">
        <v>44751</v>
      </c>
      <c r="B513" t="s">
        <v>10</v>
      </c>
      <c r="C513" t="s">
        <v>11</v>
      </c>
      <c r="D513" t="s">
        <v>14</v>
      </c>
      <c r="E513">
        <v>389</v>
      </c>
      <c r="F513" s="3">
        <v>28304591.199999999</v>
      </c>
      <c r="G513">
        <v>10673731.32</v>
      </c>
      <c r="H513">
        <v>17630859.879999999</v>
      </c>
      <c r="I513">
        <v>2.23</v>
      </c>
      <c r="J513">
        <v>4.18</v>
      </c>
      <c r="K513" t="str">
        <f t="shared" si="7"/>
        <v>Jul 2022</v>
      </c>
    </row>
    <row r="514" spans="1:11" x14ac:dyDescent="0.25">
      <c r="A514" s="6">
        <v>44104</v>
      </c>
      <c r="B514" t="s">
        <v>10</v>
      </c>
      <c r="C514" t="s">
        <v>16</v>
      </c>
      <c r="D514" t="s">
        <v>12</v>
      </c>
      <c r="E514">
        <v>131</v>
      </c>
      <c r="F514" s="3">
        <v>5249911.93</v>
      </c>
      <c r="G514">
        <v>1473837.68</v>
      </c>
      <c r="H514">
        <v>3776074.25</v>
      </c>
      <c r="I514">
        <v>2.97</v>
      </c>
      <c r="J514">
        <v>4.8499999999999996</v>
      </c>
      <c r="K514" t="str">
        <f t="shared" ref="K514:K577" si="8">TEXT(A514,"mmm yyyy")</f>
        <v>Sep 2020</v>
      </c>
    </row>
    <row r="515" spans="1:11" x14ac:dyDescent="0.25">
      <c r="A515" s="6">
        <v>45317</v>
      </c>
      <c r="B515" t="s">
        <v>10</v>
      </c>
      <c r="C515" t="s">
        <v>18</v>
      </c>
      <c r="D515" t="s">
        <v>12</v>
      </c>
      <c r="E515">
        <v>381</v>
      </c>
      <c r="F515" s="3">
        <v>15015172.199999999</v>
      </c>
      <c r="G515">
        <v>4940678.47</v>
      </c>
      <c r="H515">
        <v>10074493.720000001</v>
      </c>
      <c r="I515">
        <v>4.74</v>
      </c>
      <c r="J515">
        <v>4.5</v>
      </c>
      <c r="K515" t="str">
        <f t="shared" si="8"/>
        <v>Jan 2024</v>
      </c>
    </row>
    <row r="516" spans="1:11" x14ac:dyDescent="0.25">
      <c r="A516" s="6">
        <v>45330</v>
      </c>
      <c r="B516" t="s">
        <v>10</v>
      </c>
      <c r="C516" t="s">
        <v>18</v>
      </c>
      <c r="D516" t="s">
        <v>12</v>
      </c>
      <c r="E516">
        <v>154</v>
      </c>
      <c r="F516" s="3">
        <v>10865432.26</v>
      </c>
      <c r="G516">
        <v>2416387.25</v>
      </c>
      <c r="H516">
        <v>8449045.0199999996</v>
      </c>
      <c r="I516">
        <v>3.19</v>
      </c>
      <c r="J516">
        <v>4.25</v>
      </c>
      <c r="K516" t="str">
        <f t="shared" si="8"/>
        <v>Feb 2024</v>
      </c>
    </row>
    <row r="517" spans="1:11" x14ac:dyDescent="0.25">
      <c r="A517" s="6">
        <v>44427</v>
      </c>
      <c r="B517" t="s">
        <v>10</v>
      </c>
      <c r="C517" t="s">
        <v>18</v>
      </c>
      <c r="D517" t="s">
        <v>14</v>
      </c>
      <c r="E517">
        <v>100</v>
      </c>
      <c r="F517" s="3">
        <v>8523078.2100000009</v>
      </c>
      <c r="G517">
        <v>2365028.9700000002</v>
      </c>
      <c r="H517">
        <v>6158049.2400000002</v>
      </c>
      <c r="I517">
        <v>4.43</v>
      </c>
      <c r="J517">
        <v>4.59</v>
      </c>
      <c r="K517" t="str">
        <f t="shared" si="8"/>
        <v>Aug 2021</v>
      </c>
    </row>
    <row r="518" spans="1:11" x14ac:dyDescent="0.25">
      <c r="A518" s="6">
        <v>43873</v>
      </c>
      <c r="B518" t="s">
        <v>10</v>
      </c>
      <c r="C518" t="s">
        <v>15</v>
      </c>
      <c r="D518" t="s">
        <v>17</v>
      </c>
      <c r="E518">
        <v>204</v>
      </c>
      <c r="F518" s="3">
        <v>15453809.630000001</v>
      </c>
      <c r="G518">
        <v>4543446.2300000004</v>
      </c>
      <c r="H518">
        <v>10910363.4</v>
      </c>
      <c r="I518">
        <v>4.2300000000000004</v>
      </c>
      <c r="J518">
        <v>4.99</v>
      </c>
      <c r="K518" t="str">
        <f t="shared" si="8"/>
        <v>Feb 2020</v>
      </c>
    </row>
    <row r="519" spans="1:11" x14ac:dyDescent="0.25">
      <c r="A519" s="6">
        <v>44065</v>
      </c>
      <c r="B519" t="s">
        <v>10</v>
      </c>
      <c r="C519" t="s">
        <v>16</v>
      </c>
      <c r="D519" t="s">
        <v>17</v>
      </c>
      <c r="E519">
        <v>307</v>
      </c>
      <c r="F519" s="3">
        <v>10942666.119999999</v>
      </c>
      <c r="G519">
        <v>3453430.45</v>
      </c>
      <c r="H519">
        <v>7489235.6699999999</v>
      </c>
      <c r="I519">
        <v>1.83</v>
      </c>
      <c r="J519">
        <v>4.2300000000000004</v>
      </c>
      <c r="K519" t="str">
        <f t="shared" si="8"/>
        <v>Aug 2020</v>
      </c>
    </row>
    <row r="520" spans="1:11" x14ac:dyDescent="0.25">
      <c r="A520" s="6">
        <v>43986</v>
      </c>
      <c r="B520" t="s">
        <v>10</v>
      </c>
      <c r="C520" t="s">
        <v>18</v>
      </c>
      <c r="D520" t="s">
        <v>17</v>
      </c>
      <c r="E520">
        <v>350</v>
      </c>
      <c r="F520" s="3">
        <v>19937848.41</v>
      </c>
      <c r="G520">
        <v>4345914.08</v>
      </c>
      <c r="H520">
        <v>15591934.33</v>
      </c>
      <c r="I520">
        <v>4.1399999999999997</v>
      </c>
      <c r="J520">
        <v>3.82</v>
      </c>
      <c r="K520" t="str">
        <f t="shared" si="8"/>
        <v>Jun 2020</v>
      </c>
    </row>
    <row r="521" spans="1:11" x14ac:dyDescent="0.25">
      <c r="A521" s="6">
        <v>45387</v>
      </c>
      <c r="B521" t="s">
        <v>10</v>
      </c>
      <c r="C521" t="s">
        <v>15</v>
      </c>
      <c r="D521" t="s">
        <v>14</v>
      </c>
      <c r="E521">
        <v>458</v>
      </c>
      <c r="F521" s="3">
        <v>34397880.149999999</v>
      </c>
      <c r="G521">
        <v>9271662.0700000003</v>
      </c>
      <c r="H521">
        <v>25126218.079999998</v>
      </c>
      <c r="I521">
        <v>4.3099999999999996</v>
      </c>
      <c r="J521">
        <v>4.54</v>
      </c>
      <c r="K521" t="str">
        <f t="shared" si="8"/>
        <v>Apr 2024</v>
      </c>
    </row>
    <row r="522" spans="1:11" x14ac:dyDescent="0.25">
      <c r="A522" s="6">
        <v>44821</v>
      </c>
      <c r="B522" t="s">
        <v>10</v>
      </c>
      <c r="C522" t="s">
        <v>18</v>
      </c>
      <c r="D522" t="s">
        <v>14</v>
      </c>
      <c r="E522">
        <v>195</v>
      </c>
      <c r="F522" s="3">
        <v>11156804.59</v>
      </c>
      <c r="G522">
        <v>4289535.55</v>
      </c>
      <c r="H522">
        <v>6867269.04</v>
      </c>
      <c r="I522">
        <v>2.94</v>
      </c>
      <c r="J522">
        <v>4.79</v>
      </c>
      <c r="K522" t="str">
        <f t="shared" si="8"/>
        <v>Sep 2022</v>
      </c>
    </row>
    <row r="523" spans="1:11" x14ac:dyDescent="0.25">
      <c r="A523" s="6">
        <v>44895</v>
      </c>
      <c r="B523" t="s">
        <v>10</v>
      </c>
      <c r="C523" t="s">
        <v>16</v>
      </c>
      <c r="D523" t="s">
        <v>14</v>
      </c>
      <c r="E523">
        <v>79</v>
      </c>
      <c r="F523" s="3">
        <v>4704692.8</v>
      </c>
      <c r="G523">
        <v>1130650.27</v>
      </c>
      <c r="H523">
        <v>3574042.53</v>
      </c>
      <c r="I523">
        <v>4.2</v>
      </c>
      <c r="J523">
        <v>4.79</v>
      </c>
      <c r="K523" t="str">
        <f t="shared" si="8"/>
        <v>Nov 2022</v>
      </c>
    </row>
    <row r="524" spans="1:11" x14ac:dyDescent="0.25">
      <c r="A524" s="6">
        <v>43852</v>
      </c>
      <c r="B524" t="s">
        <v>10</v>
      </c>
      <c r="C524" t="s">
        <v>15</v>
      </c>
      <c r="D524" t="s">
        <v>12</v>
      </c>
      <c r="E524">
        <v>384</v>
      </c>
      <c r="F524" s="3">
        <v>29477493.66</v>
      </c>
      <c r="G524">
        <v>11208088.18</v>
      </c>
      <c r="H524">
        <v>18269405.489999998</v>
      </c>
      <c r="I524">
        <v>4.5</v>
      </c>
      <c r="J524">
        <v>3.52</v>
      </c>
      <c r="K524" t="str">
        <f t="shared" si="8"/>
        <v>Jan 2020</v>
      </c>
    </row>
    <row r="525" spans="1:11" x14ac:dyDescent="0.25">
      <c r="A525" s="6">
        <v>45189</v>
      </c>
      <c r="B525" t="s">
        <v>10</v>
      </c>
      <c r="C525" t="s">
        <v>11</v>
      </c>
      <c r="D525" t="s">
        <v>12</v>
      </c>
      <c r="E525">
        <v>362</v>
      </c>
      <c r="F525" s="3">
        <v>13215938.369999999</v>
      </c>
      <c r="G525">
        <v>4247670.72</v>
      </c>
      <c r="H525">
        <v>8968267.6500000004</v>
      </c>
      <c r="I525">
        <v>2.87</v>
      </c>
      <c r="J525">
        <v>4.2699999999999996</v>
      </c>
      <c r="K525" t="str">
        <f t="shared" si="8"/>
        <v>Sep 2023</v>
      </c>
    </row>
    <row r="526" spans="1:11" x14ac:dyDescent="0.25">
      <c r="A526" s="6">
        <v>44403</v>
      </c>
      <c r="B526" t="s">
        <v>10</v>
      </c>
      <c r="C526" t="s">
        <v>18</v>
      </c>
      <c r="D526" t="s">
        <v>14</v>
      </c>
      <c r="E526">
        <v>205</v>
      </c>
      <c r="F526" s="3">
        <v>12029218.289999999</v>
      </c>
      <c r="G526">
        <v>4468628.0999999996</v>
      </c>
      <c r="H526">
        <v>7560590.1900000004</v>
      </c>
      <c r="I526">
        <v>4.51</v>
      </c>
      <c r="J526">
        <v>4.0199999999999996</v>
      </c>
      <c r="K526" t="str">
        <f t="shared" si="8"/>
        <v>Jul 2021</v>
      </c>
    </row>
    <row r="527" spans="1:11" x14ac:dyDescent="0.25">
      <c r="A527" s="6">
        <v>44266</v>
      </c>
      <c r="B527" t="s">
        <v>10</v>
      </c>
      <c r="C527" t="s">
        <v>18</v>
      </c>
      <c r="D527" t="s">
        <v>12</v>
      </c>
      <c r="E527">
        <v>197</v>
      </c>
      <c r="F527" s="3">
        <v>10576395.24</v>
      </c>
      <c r="G527">
        <v>3136452.47</v>
      </c>
      <c r="H527">
        <v>7439942.7699999996</v>
      </c>
      <c r="I527">
        <v>2.21</v>
      </c>
      <c r="J527">
        <v>3.51</v>
      </c>
      <c r="K527" t="str">
        <f t="shared" si="8"/>
        <v>Mar 2021</v>
      </c>
    </row>
    <row r="528" spans="1:11" x14ac:dyDescent="0.25">
      <c r="A528" s="6">
        <v>43842</v>
      </c>
      <c r="B528" t="s">
        <v>10</v>
      </c>
      <c r="C528" t="s">
        <v>16</v>
      </c>
      <c r="D528" t="s">
        <v>12</v>
      </c>
      <c r="E528">
        <v>175</v>
      </c>
      <c r="F528" s="3">
        <v>11861392.609999999</v>
      </c>
      <c r="G528">
        <v>4504340.32</v>
      </c>
      <c r="H528">
        <v>7357052.2800000003</v>
      </c>
      <c r="I528">
        <v>4.3099999999999996</v>
      </c>
      <c r="J528">
        <v>4.3</v>
      </c>
      <c r="K528" t="str">
        <f t="shared" si="8"/>
        <v>Jan 2020</v>
      </c>
    </row>
    <row r="529" spans="1:11" x14ac:dyDescent="0.25">
      <c r="A529" s="6">
        <v>43941</v>
      </c>
      <c r="B529" t="s">
        <v>10</v>
      </c>
      <c r="C529" t="s">
        <v>16</v>
      </c>
      <c r="D529" t="s">
        <v>17</v>
      </c>
      <c r="E529">
        <v>225</v>
      </c>
      <c r="F529" s="3">
        <v>10571420.359999999</v>
      </c>
      <c r="G529">
        <v>2139579.44</v>
      </c>
      <c r="H529">
        <v>8431840.9199999999</v>
      </c>
      <c r="I529">
        <v>2.54</v>
      </c>
      <c r="J529">
        <v>4.53</v>
      </c>
      <c r="K529" t="str">
        <f t="shared" si="8"/>
        <v>Apr 2020</v>
      </c>
    </row>
    <row r="530" spans="1:11" x14ac:dyDescent="0.25">
      <c r="A530" s="6">
        <v>45470</v>
      </c>
      <c r="B530" t="s">
        <v>10</v>
      </c>
      <c r="C530" t="s">
        <v>18</v>
      </c>
      <c r="D530" t="s">
        <v>12</v>
      </c>
      <c r="E530">
        <v>414</v>
      </c>
      <c r="F530" s="3">
        <v>36623015.090000004</v>
      </c>
      <c r="G530">
        <v>12975631.32</v>
      </c>
      <c r="H530">
        <v>23647383.77</v>
      </c>
      <c r="I530">
        <v>4.9000000000000004</v>
      </c>
      <c r="J530">
        <v>4.3</v>
      </c>
      <c r="K530" t="str">
        <f t="shared" si="8"/>
        <v>Jun 2024</v>
      </c>
    </row>
    <row r="531" spans="1:11" x14ac:dyDescent="0.25">
      <c r="A531" s="6">
        <v>45060</v>
      </c>
      <c r="B531" t="s">
        <v>10</v>
      </c>
      <c r="C531" t="s">
        <v>13</v>
      </c>
      <c r="D531" t="s">
        <v>12</v>
      </c>
      <c r="E531">
        <v>94</v>
      </c>
      <c r="F531" s="3">
        <v>5276348.71</v>
      </c>
      <c r="G531">
        <v>2069388.17</v>
      </c>
      <c r="H531">
        <v>3206960.54</v>
      </c>
      <c r="I531">
        <v>0.64</v>
      </c>
      <c r="J531">
        <v>4.08</v>
      </c>
      <c r="K531" t="str">
        <f t="shared" si="8"/>
        <v>May 2023</v>
      </c>
    </row>
    <row r="532" spans="1:11" x14ac:dyDescent="0.25">
      <c r="A532" s="6">
        <v>45559</v>
      </c>
      <c r="B532" t="s">
        <v>10</v>
      </c>
      <c r="C532" t="s">
        <v>13</v>
      </c>
      <c r="D532" t="s">
        <v>14</v>
      </c>
      <c r="E532">
        <v>283</v>
      </c>
      <c r="F532" s="3">
        <v>16059934.380000001</v>
      </c>
      <c r="G532">
        <v>5417959.3499999996</v>
      </c>
      <c r="H532">
        <v>10641975.029999999</v>
      </c>
      <c r="I532">
        <v>1.1599999999999999</v>
      </c>
      <c r="J532">
        <v>4.2300000000000004</v>
      </c>
      <c r="K532" t="str">
        <f t="shared" si="8"/>
        <v>Sep 2024</v>
      </c>
    </row>
    <row r="533" spans="1:11" x14ac:dyDescent="0.25">
      <c r="A533" s="6">
        <v>45654</v>
      </c>
      <c r="B533" t="s">
        <v>10</v>
      </c>
      <c r="C533" t="s">
        <v>11</v>
      </c>
      <c r="D533" t="s">
        <v>17</v>
      </c>
      <c r="E533">
        <v>475</v>
      </c>
      <c r="F533" s="3">
        <v>40139673.159999996</v>
      </c>
      <c r="G533">
        <v>15123513.279999999</v>
      </c>
      <c r="H533">
        <v>25016159.870000001</v>
      </c>
      <c r="I533">
        <v>4.8</v>
      </c>
      <c r="J533">
        <v>3.97</v>
      </c>
      <c r="K533" t="str">
        <f t="shared" si="8"/>
        <v>Dec 2024</v>
      </c>
    </row>
    <row r="534" spans="1:11" x14ac:dyDescent="0.25">
      <c r="A534" s="6">
        <v>43837</v>
      </c>
      <c r="B534" t="s">
        <v>10</v>
      </c>
      <c r="C534" t="s">
        <v>18</v>
      </c>
      <c r="D534" t="s">
        <v>14</v>
      </c>
      <c r="E534">
        <v>136</v>
      </c>
      <c r="F534" s="3">
        <v>8082075.29</v>
      </c>
      <c r="G534">
        <v>1624726.71</v>
      </c>
      <c r="H534">
        <v>6457348.5899999999</v>
      </c>
      <c r="I534">
        <v>2.95</v>
      </c>
      <c r="J534">
        <v>3.63</v>
      </c>
      <c r="K534" t="str">
        <f t="shared" si="8"/>
        <v>Jan 2020</v>
      </c>
    </row>
    <row r="535" spans="1:11" x14ac:dyDescent="0.25">
      <c r="A535" s="6">
        <v>45351</v>
      </c>
      <c r="B535" t="s">
        <v>10</v>
      </c>
      <c r="C535" t="s">
        <v>16</v>
      </c>
      <c r="D535" t="s">
        <v>14</v>
      </c>
      <c r="E535">
        <v>108</v>
      </c>
      <c r="F535" s="3">
        <v>9489144.7799999993</v>
      </c>
      <c r="G535">
        <v>3056487.9</v>
      </c>
      <c r="H535">
        <v>6432656.8899999997</v>
      </c>
      <c r="I535">
        <v>2.23</v>
      </c>
      <c r="J535">
        <v>4.01</v>
      </c>
      <c r="K535" t="str">
        <f t="shared" si="8"/>
        <v>Feb 2024</v>
      </c>
    </row>
    <row r="536" spans="1:11" x14ac:dyDescent="0.25">
      <c r="A536" s="6">
        <v>44940</v>
      </c>
      <c r="B536" t="s">
        <v>10</v>
      </c>
      <c r="C536" t="s">
        <v>11</v>
      </c>
      <c r="D536" t="s">
        <v>14</v>
      </c>
      <c r="E536">
        <v>117</v>
      </c>
      <c r="F536" s="3">
        <v>10402001.369999999</v>
      </c>
      <c r="G536">
        <v>3166622.09</v>
      </c>
      <c r="H536">
        <v>7235379.2699999996</v>
      </c>
      <c r="I536">
        <v>2.9</v>
      </c>
      <c r="J536">
        <v>3.75</v>
      </c>
      <c r="K536" t="str">
        <f t="shared" si="8"/>
        <v>Jan 2023</v>
      </c>
    </row>
    <row r="537" spans="1:11" x14ac:dyDescent="0.25">
      <c r="A537" s="6">
        <v>45314</v>
      </c>
      <c r="B537" t="s">
        <v>10</v>
      </c>
      <c r="C537" t="s">
        <v>15</v>
      </c>
      <c r="D537" t="s">
        <v>17</v>
      </c>
      <c r="E537">
        <v>358</v>
      </c>
      <c r="F537" s="3">
        <v>28944567.75</v>
      </c>
      <c r="G537">
        <v>9028150.1999999993</v>
      </c>
      <c r="H537">
        <v>19916417.550000001</v>
      </c>
      <c r="I537">
        <v>1.86</v>
      </c>
      <c r="J537">
        <v>3.89</v>
      </c>
      <c r="K537" t="str">
        <f t="shared" si="8"/>
        <v>Jan 2024</v>
      </c>
    </row>
    <row r="538" spans="1:11" x14ac:dyDescent="0.25">
      <c r="A538" s="6">
        <v>44840</v>
      </c>
      <c r="B538" t="s">
        <v>10</v>
      </c>
      <c r="C538" t="s">
        <v>13</v>
      </c>
      <c r="D538" t="s">
        <v>12</v>
      </c>
      <c r="E538">
        <v>100</v>
      </c>
      <c r="F538" s="3">
        <v>4474440.09</v>
      </c>
      <c r="G538">
        <v>1335668.3600000001</v>
      </c>
      <c r="H538">
        <v>3138771.73</v>
      </c>
      <c r="I538">
        <v>3.55</v>
      </c>
      <c r="J538">
        <v>3.85</v>
      </c>
      <c r="K538" t="str">
        <f t="shared" si="8"/>
        <v>Oct 2022</v>
      </c>
    </row>
    <row r="539" spans="1:11" x14ac:dyDescent="0.25">
      <c r="A539" s="6">
        <v>45588</v>
      </c>
      <c r="B539" t="s">
        <v>10</v>
      </c>
      <c r="C539" t="s">
        <v>15</v>
      </c>
      <c r="D539" t="s">
        <v>12</v>
      </c>
      <c r="E539">
        <v>188</v>
      </c>
      <c r="F539" s="3">
        <v>12346709.26</v>
      </c>
      <c r="G539">
        <v>4081137.98</v>
      </c>
      <c r="H539">
        <v>8265571.29</v>
      </c>
      <c r="I539">
        <v>3.11</v>
      </c>
      <c r="J539">
        <v>3.71</v>
      </c>
      <c r="K539" t="str">
        <f t="shared" si="8"/>
        <v>Oct 2024</v>
      </c>
    </row>
    <row r="540" spans="1:11" x14ac:dyDescent="0.25">
      <c r="A540" s="6">
        <v>44328</v>
      </c>
      <c r="B540" t="s">
        <v>10</v>
      </c>
      <c r="C540" t="s">
        <v>15</v>
      </c>
      <c r="D540" t="s">
        <v>14</v>
      </c>
      <c r="E540">
        <v>446</v>
      </c>
      <c r="F540" s="3">
        <v>30971527.899999999</v>
      </c>
      <c r="G540">
        <v>9360228.5899999999</v>
      </c>
      <c r="H540">
        <v>21611299.309999999</v>
      </c>
      <c r="I540">
        <v>2.31</v>
      </c>
      <c r="J540">
        <v>4.99</v>
      </c>
      <c r="K540" t="str">
        <f t="shared" si="8"/>
        <v>May 2021</v>
      </c>
    </row>
    <row r="541" spans="1:11" x14ac:dyDescent="0.25">
      <c r="A541" s="6">
        <v>45415</v>
      </c>
      <c r="B541" t="s">
        <v>10</v>
      </c>
      <c r="C541" t="s">
        <v>13</v>
      </c>
      <c r="D541" t="s">
        <v>12</v>
      </c>
      <c r="E541">
        <v>301</v>
      </c>
      <c r="F541" s="3">
        <v>15509601.779999999</v>
      </c>
      <c r="G541">
        <v>5193163.3499999996</v>
      </c>
      <c r="H541">
        <v>10316438.43</v>
      </c>
      <c r="I541">
        <v>4.07</v>
      </c>
      <c r="J541">
        <v>4.1900000000000004</v>
      </c>
      <c r="K541" t="str">
        <f t="shared" si="8"/>
        <v>May 2024</v>
      </c>
    </row>
    <row r="542" spans="1:11" x14ac:dyDescent="0.25">
      <c r="A542" s="6">
        <v>44879</v>
      </c>
      <c r="B542" t="s">
        <v>10</v>
      </c>
      <c r="C542" t="s">
        <v>16</v>
      </c>
      <c r="D542" t="s">
        <v>12</v>
      </c>
      <c r="E542">
        <v>390</v>
      </c>
      <c r="F542" s="3">
        <v>16824259.960000001</v>
      </c>
      <c r="G542">
        <v>3860973.23</v>
      </c>
      <c r="H542">
        <v>12963286.73</v>
      </c>
      <c r="I542">
        <v>3.7</v>
      </c>
      <c r="J542">
        <v>4.8600000000000003</v>
      </c>
      <c r="K542" t="str">
        <f t="shared" si="8"/>
        <v>Nov 2022</v>
      </c>
    </row>
    <row r="543" spans="1:11" x14ac:dyDescent="0.25">
      <c r="A543" s="6">
        <v>44697</v>
      </c>
      <c r="B543" t="s">
        <v>10</v>
      </c>
      <c r="C543" t="s">
        <v>15</v>
      </c>
      <c r="D543" t="s">
        <v>14</v>
      </c>
      <c r="E543">
        <v>113</v>
      </c>
      <c r="F543" s="3">
        <v>7640585.1200000001</v>
      </c>
      <c r="G543">
        <v>2140707.6800000002</v>
      </c>
      <c r="H543">
        <v>5499877.4400000004</v>
      </c>
      <c r="I543">
        <v>2.09</v>
      </c>
      <c r="J543">
        <v>4.1900000000000004</v>
      </c>
      <c r="K543" t="str">
        <f t="shared" si="8"/>
        <v>May 2022</v>
      </c>
    </row>
    <row r="544" spans="1:11" x14ac:dyDescent="0.25">
      <c r="A544" s="6">
        <v>44191</v>
      </c>
      <c r="B544" t="s">
        <v>10</v>
      </c>
      <c r="C544" t="s">
        <v>11</v>
      </c>
      <c r="D544" t="s">
        <v>14</v>
      </c>
      <c r="E544">
        <v>295</v>
      </c>
      <c r="F544" s="3">
        <v>12444834.279999999</v>
      </c>
      <c r="G544">
        <v>3010381.03</v>
      </c>
      <c r="H544">
        <v>9434453.2400000002</v>
      </c>
      <c r="I544">
        <v>1.06</v>
      </c>
      <c r="J544">
        <v>4.6900000000000004</v>
      </c>
      <c r="K544" t="str">
        <f t="shared" si="8"/>
        <v>Dec 2020</v>
      </c>
    </row>
    <row r="545" spans="1:11" x14ac:dyDescent="0.25">
      <c r="A545" s="6">
        <v>43925</v>
      </c>
      <c r="B545" t="s">
        <v>10</v>
      </c>
      <c r="C545" t="s">
        <v>11</v>
      </c>
      <c r="D545" t="s">
        <v>17</v>
      </c>
      <c r="E545">
        <v>69</v>
      </c>
      <c r="F545" s="3">
        <v>4186437.98</v>
      </c>
      <c r="G545">
        <v>1645721.21</v>
      </c>
      <c r="H545">
        <v>2540716.77</v>
      </c>
      <c r="I545">
        <v>4.8600000000000003</v>
      </c>
      <c r="J545">
        <v>4.92</v>
      </c>
      <c r="K545" t="str">
        <f t="shared" si="8"/>
        <v>Apr 2020</v>
      </c>
    </row>
    <row r="546" spans="1:11" x14ac:dyDescent="0.25">
      <c r="A546" s="6">
        <v>45380</v>
      </c>
      <c r="B546" t="s">
        <v>10</v>
      </c>
      <c r="C546" t="s">
        <v>18</v>
      </c>
      <c r="D546" t="s">
        <v>17</v>
      </c>
      <c r="E546">
        <v>203</v>
      </c>
      <c r="F546" s="3">
        <v>18057724.079999998</v>
      </c>
      <c r="G546">
        <v>5477242.0099999998</v>
      </c>
      <c r="H546">
        <v>12580482.07</v>
      </c>
      <c r="I546">
        <v>4.3899999999999997</v>
      </c>
      <c r="J546">
        <v>4.38</v>
      </c>
      <c r="K546" t="str">
        <f t="shared" si="8"/>
        <v>Mar 2024</v>
      </c>
    </row>
    <row r="547" spans="1:11" x14ac:dyDescent="0.25">
      <c r="A547" s="6">
        <v>43943</v>
      </c>
      <c r="B547" t="s">
        <v>10</v>
      </c>
      <c r="C547" t="s">
        <v>13</v>
      </c>
      <c r="D547" t="s">
        <v>14</v>
      </c>
      <c r="E547">
        <v>299</v>
      </c>
      <c r="F547" s="3">
        <v>18546371.93</v>
      </c>
      <c r="G547">
        <v>5480660.0899999999</v>
      </c>
      <c r="H547">
        <v>13065711.84</v>
      </c>
      <c r="I547">
        <v>3.03</v>
      </c>
      <c r="J547">
        <v>4.16</v>
      </c>
      <c r="K547" t="str">
        <f t="shared" si="8"/>
        <v>Apr 2020</v>
      </c>
    </row>
    <row r="548" spans="1:11" x14ac:dyDescent="0.25">
      <c r="A548" s="6">
        <v>44327</v>
      </c>
      <c r="B548" t="s">
        <v>10</v>
      </c>
      <c r="C548" t="s">
        <v>15</v>
      </c>
      <c r="D548" t="s">
        <v>14</v>
      </c>
      <c r="E548">
        <v>460</v>
      </c>
      <c r="F548" s="3">
        <v>29035269.190000001</v>
      </c>
      <c r="G548">
        <v>8755147.1099999994</v>
      </c>
      <c r="H548">
        <v>20280122.079999998</v>
      </c>
      <c r="I548">
        <v>3.1</v>
      </c>
      <c r="J548">
        <v>4.8</v>
      </c>
      <c r="K548" t="str">
        <f t="shared" si="8"/>
        <v>May 2021</v>
      </c>
    </row>
    <row r="549" spans="1:11" x14ac:dyDescent="0.25">
      <c r="A549" s="6">
        <v>43950</v>
      </c>
      <c r="B549" t="s">
        <v>10</v>
      </c>
      <c r="C549" t="s">
        <v>18</v>
      </c>
      <c r="D549" t="s">
        <v>17</v>
      </c>
      <c r="E549">
        <v>268</v>
      </c>
      <c r="F549" s="3">
        <v>15387791.23</v>
      </c>
      <c r="G549">
        <v>3608378.81</v>
      </c>
      <c r="H549">
        <v>11779412.42</v>
      </c>
      <c r="I549">
        <v>3.94</v>
      </c>
      <c r="J549">
        <v>4.3600000000000003</v>
      </c>
      <c r="K549" t="str">
        <f t="shared" si="8"/>
        <v>Apr 2020</v>
      </c>
    </row>
    <row r="550" spans="1:11" x14ac:dyDescent="0.25">
      <c r="A550" s="6">
        <v>45157</v>
      </c>
      <c r="B550" t="s">
        <v>10</v>
      </c>
      <c r="C550" t="s">
        <v>13</v>
      </c>
      <c r="D550" t="s">
        <v>12</v>
      </c>
      <c r="E550">
        <v>414</v>
      </c>
      <c r="F550" s="3">
        <v>25339526.649999999</v>
      </c>
      <c r="G550">
        <v>5087553.8499999996</v>
      </c>
      <c r="H550">
        <v>20251972.789999999</v>
      </c>
      <c r="I550">
        <v>0.77</v>
      </c>
      <c r="J550">
        <v>3.5</v>
      </c>
      <c r="K550" t="str">
        <f t="shared" si="8"/>
        <v>Aug 2023</v>
      </c>
    </row>
    <row r="551" spans="1:11" x14ac:dyDescent="0.25">
      <c r="A551" s="6">
        <v>43923</v>
      </c>
      <c r="B551" t="s">
        <v>10</v>
      </c>
      <c r="C551" t="s">
        <v>16</v>
      </c>
      <c r="D551" t="s">
        <v>12</v>
      </c>
      <c r="E551">
        <v>386</v>
      </c>
      <c r="F551" s="3">
        <v>31491148.77</v>
      </c>
      <c r="G551">
        <v>6971572.21</v>
      </c>
      <c r="H551">
        <v>24519576.57</v>
      </c>
      <c r="I551">
        <v>0.78</v>
      </c>
      <c r="J551">
        <v>4.83</v>
      </c>
      <c r="K551" t="str">
        <f t="shared" si="8"/>
        <v>Apr 2020</v>
      </c>
    </row>
    <row r="552" spans="1:11" x14ac:dyDescent="0.25">
      <c r="A552" s="6">
        <v>44012</v>
      </c>
      <c r="B552" t="s">
        <v>10</v>
      </c>
      <c r="C552" t="s">
        <v>15</v>
      </c>
      <c r="D552" t="s">
        <v>14</v>
      </c>
      <c r="E552">
        <v>492</v>
      </c>
      <c r="F552" s="3">
        <v>18053178.739999998</v>
      </c>
      <c r="G552">
        <v>3713419.56</v>
      </c>
      <c r="H552">
        <v>14339759.18</v>
      </c>
      <c r="I552">
        <v>1.49</v>
      </c>
      <c r="J552">
        <v>4.5999999999999996</v>
      </c>
      <c r="K552" t="str">
        <f t="shared" si="8"/>
        <v>Jun 2020</v>
      </c>
    </row>
    <row r="553" spans="1:11" x14ac:dyDescent="0.25">
      <c r="A553" s="6">
        <v>43980</v>
      </c>
      <c r="B553" t="s">
        <v>10</v>
      </c>
      <c r="C553" t="s">
        <v>18</v>
      </c>
      <c r="D553" t="s">
        <v>12</v>
      </c>
      <c r="E553">
        <v>163</v>
      </c>
      <c r="F553" s="3">
        <v>9979901.6899999995</v>
      </c>
      <c r="G553">
        <v>2619281</v>
      </c>
      <c r="H553">
        <v>7360620.6900000004</v>
      </c>
      <c r="I553">
        <v>3.75</v>
      </c>
      <c r="J553">
        <v>4.54</v>
      </c>
      <c r="K553" t="str">
        <f t="shared" si="8"/>
        <v>May 2020</v>
      </c>
    </row>
    <row r="554" spans="1:11" x14ac:dyDescent="0.25">
      <c r="A554" s="6">
        <v>44016</v>
      </c>
      <c r="B554" t="s">
        <v>10</v>
      </c>
      <c r="C554" t="s">
        <v>16</v>
      </c>
      <c r="D554" t="s">
        <v>12</v>
      </c>
      <c r="E554">
        <v>347</v>
      </c>
      <c r="F554" s="3">
        <v>24217104.34</v>
      </c>
      <c r="G554">
        <v>6565400.9500000002</v>
      </c>
      <c r="H554">
        <v>17651703.390000001</v>
      </c>
      <c r="I554">
        <v>4.1900000000000004</v>
      </c>
      <c r="J554">
        <v>4</v>
      </c>
      <c r="K554" t="str">
        <f t="shared" si="8"/>
        <v>Jul 2020</v>
      </c>
    </row>
    <row r="555" spans="1:11" x14ac:dyDescent="0.25">
      <c r="A555" s="6">
        <v>43894</v>
      </c>
      <c r="B555" t="s">
        <v>10</v>
      </c>
      <c r="C555" t="s">
        <v>11</v>
      </c>
      <c r="D555" t="s">
        <v>12</v>
      </c>
      <c r="E555">
        <v>84</v>
      </c>
      <c r="F555" s="3">
        <v>3913456.93</v>
      </c>
      <c r="G555">
        <v>815996.46</v>
      </c>
      <c r="H555">
        <v>3097460.48</v>
      </c>
      <c r="I555">
        <v>0.54</v>
      </c>
      <c r="J555">
        <v>5</v>
      </c>
      <c r="K555" t="str">
        <f t="shared" si="8"/>
        <v>Mar 2020</v>
      </c>
    </row>
    <row r="556" spans="1:11" x14ac:dyDescent="0.25">
      <c r="A556" s="6">
        <v>45602</v>
      </c>
      <c r="B556" t="s">
        <v>10</v>
      </c>
      <c r="C556" t="s">
        <v>15</v>
      </c>
      <c r="D556" t="s">
        <v>17</v>
      </c>
      <c r="E556">
        <v>313</v>
      </c>
      <c r="F556" s="3">
        <v>28077876.359999999</v>
      </c>
      <c r="G556">
        <v>10726803.630000001</v>
      </c>
      <c r="H556">
        <v>17351072.73</v>
      </c>
      <c r="I556">
        <v>0.51</v>
      </c>
      <c r="J556">
        <v>3.57</v>
      </c>
      <c r="K556" t="str">
        <f t="shared" si="8"/>
        <v>Nov 2024</v>
      </c>
    </row>
    <row r="557" spans="1:11" x14ac:dyDescent="0.25">
      <c r="A557" s="6">
        <v>44010</v>
      </c>
      <c r="B557" t="s">
        <v>10</v>
      </c>
      <c r="C557" t="s">
        <v>16</v>
      </c>
      <c r="D557" t="s">
        <v>12</v>
      </c>
      <c r="E557">
        <v>341</v>
      </c>
      <c r="F557" s="3">
        <v>27579381.920000002</v>
      </c>
      <c r="G557">
        <v>6947377.96</v>
      </c>
      <c r="H557">
        <v>20632003.960000001</v>
      </c>
      <c r="I557">
        <v>1.1399999999999999</v>
      </c>
      <c r="J557">
        <v>4.63</v>
      </c>
      <c r="K557" t="str">
        <f t="shared" si="8"/>
        <v>Jun 2020</v>
      </c>
    </row>
    <row r="558" spans="1:11" x14ac:dyDescent="0.25">
      <c r="A558" s="6">
        <v>43958</v>
      </c>
      <c r="B558" t="s">
        <v>10</v>
      </c>
      <c r="C558" t="s">
        <v>15</v>
      </c>
      <c r="D558" t="s">
        <v>17</v>
      </c>
      <c r="E558">
        <v>438</v>
      </c>
      <c r="F558" s="3">
        <v>35130212.659999996</v>
      </c>
      <c r="G558">
        <v>8366729.6900000004</v>
      </c>
      <c r="H558">
        <v>26763482.969999999</v>
      </c>
      <c r="I558">
        <v>4.4800000000000004</v>
      </c>
      <c r="J558">
        <v>4.55</v>
      </c>
      <c r="K558" t="str">
        <f t="shared" si="8"/>
        <v>May 2020</v>
      </c>
    </row>
    <row r="559" spans="1:11" x14ac:dyDescent="0.25">
      <c r="A559" s="6">
        <v>45427</v>
      </c>
      <c r="B559" t="s">
        <v>10</v>
      </c>
      <c r="C559" t="s">
        <v>16</v>
      </c>
      <c r="D559" t="s">
        <v>12</v>
      </c>
      <c r="E559">
        <v>240</v>
      </c>
      <c r="F559" s="3">
        <v>9569582.2200000007</v>
      </c>
      <c r="G559">
        <v>2894554.01</v>
      </c>
      <c r="H559">
        <v>6675028.2199999997</v>
      </c>
      <c r="I559">
        <v>0.85</v>
      </c>
      <c r="J559">
        <v>4.1100000000000003</v>
      </c>
      <c r="K559" t="str">
        <f t="shared" si="8"/>
        <v>May 2024</v>
      </c>
    </row>
    <row r="560" spans="1:11" x14ac:dyDescent="0.25">
      <c r="A560" s="6">
        <v>44521</v>
      </c>
      <c r="B560" t="s">
        <v>10</v>
      </c>
      <c r="C560" t="s">
        <v>15</v>
      </c>
      <c r="D560" t="s">
        <v>17</v>
      </c>
      <c r="E560">
        <v>463</v>
      </c>
      <c r="F560" s="3">
        <v>16828852.989999998</v>
      </c>
      <c r="G560">
        <v>5701153.1299999999</v>
      </c>
      <c r="H560">
        <v>11127699.85</v>
      </c>
      <c r="I560">
        <v>2.97</v>
      </c>
      <c r="J560">
        <v>4.45</v>
      </c>
      <c r="K560" t="str">
        <f t="shared" si="8"/>
        <v>Nov 2021</v>
      </c>
    </row>
    <row r="561" spans="1:11" x14ac:dyDescent="0.25">
      <c r="A561" s="6">
        <v>44919</v>
      </c>
      <c r="B561" t="s">
        <v>10</v>
      </c>
      <c r="C561" t="s">
        <v>18</v>
      </c>
      <c r="D561" t="s">
        <v>17</v>
      </c>
      <c r="E561">
        <v>222</v>
      </c>
      <c r="F561" s="3">
        <v>16289604.130000001</v>
      </c>
      <c r="G561">
        <v>6496004.9900000002</v>
      </c>
      <c r="H561">
        <v>9793599.1400000006</v>
      </c>
      <c r="I561">
        <v>0.95</v>
      </c>
      <c r="J561">
        <v>4.8</v>
      </c>
      <c r="K561" t="str">
        <f t="shared" si="8"/>
        <v>Dec 2022</v>
      </c>
    </row>
    <row r="562" spans="1:11" x14ac:dyDescent="0.25">
      <c r="A562" s="6">
        <v>43995</v>
      </c>
      <c r="B562" t="s">
        <v>10</v>
      </c>
      <c r="C562" t="s">
        <v>15</v>
      </c>
      <c r="D562" t="s">
        <v>14</v>
      </c>
      <c r="E562">
        <v>115</v>
      </c>
      <c r="F562" s="3">
        <v>4511152.63</v>
      </c>
      <c r="G562">
        <v>1352782.55</v>
      </c>
      <c r="H562">
        <v>3158370.07</v>
      </c>
      <c r="I562">
        <v>4.08</v>
      </c>
      <c r="J562">
        <v>4.5599999999999996</v>
      </c>
      <c r="K562" t="str">
        <f t="shared" si="8"/>
        <v>Jun 2020</v>
      </c>
    </row>
    <row r="563" spans="1:11" x14ac:dyDescent="0.25">
      <c r="A563" s="6">
        <v>44408</v>
      </c>
      <c r="B563" t="s">
        <v>10</v>
      </c>
      <c r="C563" t="s">
        <v>15</v>
      </c>
      <c r="D563" t="s">
        <v>17</v>
      </c>
      <c r="E563">
        <v>237</v>
      </c>
      <c r="F563" s="3">
        <v>10187636.550000001</v>
      </c>
      <c r="G563">
        <v>2628185.9900000002</v>
      </c>
      <c r="H563">
        <v>7559450.5599999996</v>
      </c>
      <c r="I563">
        <v>3.5</v>
      </c>
      <c r="J563">
        <v>3.82</v>
      </c>
      <c r="K563" t="str">
        <f t="shared" si="8"/>
        <v>Jul 2021</v>
      </c>
    </row>
    <row r="564" spans="1:11" x14ac:dyDescent="0.25">
      <c r="A564" s="6">
        <v>45028</v>
      </c>
      <c r="B564" t="s">
        <v>10</v>
      </c>
      <c r="C564" t="s">
        <v>16</v>
      </c>
      <c r="D564" t="s">
        <v>17</v>
      </c>
      <c r="E564">
        <v>339</v>
      </c>
      <c r="F564" s="3">
        <v>17104328.879999999</v>
      </c>
      <c r="G564">
        <v>4093124.93</v>
      </c>
      <c r="H564">
        <v>13011203.949999999</v>
      </c>
      <c r="I564">
        <v>4.68</v>
      </c>
      <c r="J564">
        <v>4.1100000000000003</v>
      </c>
      <c r="K564" t="str">
        <f t="shared" si="8"/>
        <v>Apr 2023</v>
      </c>
    </row>
    <row r="565" spans="1:11" x14ac:dyDescent="0.25">
      <c r="A565" s="6">
        <v>45194</v>
      </c>
      <c r="B565" t="s">
        <v>10</v>
      </c>
      <c r="C565" t="s">
        <v>16</v>
      </c>
      <c r="D565" t="s">
        <v>12</v>
      </c>
      <c r="E565">
        <v>76</v>
      </c>
      <c r="F565" s="3">
        <v>2752072.53</v>
      </c>
      <c r="G565">
        <v>779795.63</v>
      </c>
      <c r="H565">
        <v>1972276.9</v>
      </c>
      <c r="I565">
        <v>4.29</v>
      </c>
      <c r="J565">
        <v>4.32</v>
      </c>
      <c r="K565" t="str">
        <f t="shared" si="8"/>
        <v>Sep 2023</v>
      </c>
    </row>
    <row r="566" spans="1:11" x14ac:dyDescent="0.25">
      <c r="A566" s="6">
        <v>45140</v>
      </c>
      <c r="B566" t="s">
        <v>10</v>
      </c>
      <c r="C566" t="s">
        <v>11</v>
      </c>
      <c r="D566" t="s">
        <v>17</v>
      </c>
      <c r="E566">
        <v>207</v>
      </c>
      <c r="F566" s="3">
        <v>18390700</v>
      </c>
      <c r="G566">
        <v>5136547.9000000004</v>
      </c>
      <c r="H566">
        <v>13254152.09</v>
      </c>
      <c r="I566">
        <v>2.11</v>
      </c>
      <c r="J566">
        <v>4.47</v>
      </c>
      <c r="K566" t="str">
        <f t="shared" si="8"/>
        <v>Aug 2023</v>
      </c>
    </row>
    <row r="567" spans="1:11" x14ac:dyDescent="0.25">
      <c r="A567" s="6">
        <v>44766</v>
      </c>
      <c r="B567" t="s">
        <v>10</v>
      </c>
      <c r="C567" t="s">
        <v>15</v>
      </c>
      <c r="D567" t="s">
        <v>14</v>
      </c>
      <c r="E567">
        <v>263</v>
      </c>
      <c r="F567" s="3">
        <v>11922146.859999999</v>
      </c>
      <c r="G567">
        <v>3052566.86</v>
      </c>
      <c r="H567">
        <v>8869580</v>
      </c>
      <c r="I567">
        <v>4.4000000000000004</v>
      </c>
      <c r="J567">
        <v>4.18</v>
      </c>
      <c r="K567" t="str">
        <f t="shared" si="8"/>
        <v>Jul 2022</v>
      </c>
    </row>
    <row r="568" spans="1:11" x14ac:dyDescent="0.25">
      <c r="A568" s="6">
        <v>43944</v>
      </c>
      <c r="B568" t="s">
        <v>10</v>
      </c>
      <c r="C568" t="s">
        <v>16</v>
      </c>
      <c r="D568" t="s">
        <v>14</v>
      </c>
      <c r="E568">
        <v>103</v>
      </c>
      <c r="F568" s="3">
        <v>4011609.94</v>
      </c>
      <c r="G568">
        <v>1056965.17</v>
      </c>
      <c r="H568">
        <v>2954644.77</v>
      </c>
      <c r="I568">
        <v>1.59</v>
      </c>
      <c r="J568">
        <v>4.57</v>
      </c>
      <c r="K568" t="str">
        <f t="shared" si="8"/>
        <v>Apr 2020</v>
      </c>
    </row>
    <row r="569" spans="1:11" x14ac:dyDescent="0.25">
      <c r="A569" s="6">
        <v>44415</v>
      </c>
      <c r="B569" t="s">
        <v>10</v>
      </c>
      <c r="C569" t="s">
        <v>18</v>
      </c>
      <c r="D569" t="s">
        <v>12</v>
      </c>
      <c r="E569">
        <v>102</v>
      </c>
      <c r="F569" s="3">
        <v>8080207.2300000004</v>
      </c>
      <c r="G569">
        <v>2339218.4300000002</v>
      </c>
      <c r="H569">
        <v>5740988.7999999998</v>
      </c>
      <c r="I569">
        <v>2.84</v>
      </c>
      <c r="J569">
        <v>3.71</v>
      </c>
      <c r="K569" t="str">
        <f t="shared" si="8"/>
        <v>Aug 2021</v>
      </c>
    </row>
    <row r="570" spans="1:11" x14ac:dyDescent="0.25">
      <c r="A570" s="6">
        <v>44332</v>
      </c>
      <c r="B570" t="s">
        <v>10</v>
      </c>
      <c r="C570" t="s">
        <v>18</v>
      </c>
      <c r="D570" t="s">
        <v>17</v>
      </c>
      <c r="E570">
        <v>313</v>
      </c>
      <c r="F570" s="3">
        <v>15627312.48</v>
      </c>
      <c r="G570">
        <v>4698522.08</v>
      </c>
      <c r="H570">
        <v>10928790.41</v>
      </c>
      <c r="I570">
        <v>1.78</v>
      </c>
      <c r="J570">
        <v>3.7</v>
      </c>
      <c r="K570" t="str">
        <f t="shared" si="8"/>
        <v>May 2021</v>
      </c>
    </row>
    <row r="571" spans="1:11" x14ac:dyDescent="0.25">
      <c r="A571" s="6">
        <v>44289</v>
      </c>
      <c r="B571" t="s">
        <v>10</v>
      </c>
      <c r="C571" t="s">
        <v>15</v>
      </c>
      <c r="D571" t="s">
        <v>14</v>
      </c>
      <c r="E571">
        <v>403</v>
      </c>
      <c r="F571" s="3">
        <v>30101958.219999999</v>
      </c>
      <c r="G571">
        <v>10405963.710000001</v>
      </c>
      <c r="H571">
        <v>19695994.5</v>
      </c>
      <c r="I571">
        <v>2.31</v>
      </c>
      <c r="J571">
        <v>3.65</v>
      </c>
      <c r="K571" t="str">
        <f t="shared" si="8"/>
        <v>Apr 2021</v>
      </c>
    </row>
    <row r="572" spans="1:11" x14ac:dyDescent="0.25">
      <c r="A572" s="6">
        <v>43863</v>
      </c>
      <c r="B572" t="s">
        <v>10</v>
      </c>
      <c r="C572" t="s">
        <v>13</v>
      </c>
      <c r="D572" t="s">
        <v>17</v>
      </c>
      <c r="E572">
        <v>290</v>
      </c>
      <c r="F572" s="3">
        <v>18302509.77</v>
      </c>
      <c r="G572">
        <v>7149502.4100000001</v>
      </c>
      <c r="H572">
        <v>11153007.369999999</v>
      </c>
      <c r="I572">
        <v>1.74</v>
      </c>
      <c r="J572">
        <v>4.5599999999999996</v>
      </c>
      <c r="K572" t="str">
        <f t="shared" si="8"/>
        <v>Feb 2020</v>
      </c>
    </row>
    <row r="573" spans="1:11" x14ac:dyDescent="0.25">
      <c r="A573" s="6">
        <v>43970</v>
      </c>
      <c r="B573" t="s">
        <v>10</v>
      </c>
      <c r="C573" t="s">
        <v>16</v>
      </c>
      <c r="D573" t="s">
        <v>14</v>
      </c>
      <c r="E573">
        <v>392</v>
      </c>
      <c r="F573" s="3">
        <v>26295226.120000001</v>
      </c>
      <c r="G573">
        <v>8062284.6200000001</v>
      </c>
      <c r="H573">
        <v>18232941.5</v>
      </c>
      <c r="I573">
        <v>2.0299999999999998</v>
      </c>
      <c r="J573">
        <v>4.91</v>
      </c>
      <c r="K573" t="str">
        <f t="shared" si="8"/>
        <v>May 2020</v>
      </c>
    </row>
    <row r="574" spans="1:11" x14ac:dyDescent="0.25">
      <c r="A574" s="6">
        <v>44464</v>
      </c>
      <c r="B574" t="s">
        <v>10</v>
      </c>
      <c r="C574" t="s">
        <v>13</v>
      </c>
      <c r="D574" t="s">
        <v>17</v>
      </c>
      <c r="E574">
        <v>369</v>
      </c>
      <c r="F574" s="3">
        <v>19333702.690000001</v>
      </c>
      <c r="G574">
        <v>7339489.6500000004</v>
      </c>
      <c r="H574">
        <v>11994213.039999999</v>
      </c>
      <c r="I574">
        <v>2.12</v>
      </c>
      <c r="J574">
        <v>3.91</v>
      </c>
      <c r="K574" t="str">
        <f t="shared" si="8"/>
        <v>Sep 2021</v>
      </c>
    </row>
    <row r="575" spans="1:11" x14ac:dyDescent="0.25">
      <c r="A575" s="6">
        <v>45314</v>
      </c>
      <c r="B575" t="s">
        <v>10</v>
      </c>
      <c r="C575" t="s">
        <v>11</v>
      </c>
      <c r="D575" t="s">
        <v>17</v>
      </c>
      <c r="E575">
        <v>460</v>
      </c>
      <c r="F575" s="3">
        <v>38023663.939999998</v>
      </c>
      <c r="G575">
        <v>10861009.68</v>
      </c>
      <c r="H575">
        <v>27162654.260000002</v>
      </c>
      <c r="I575">
        <v>4.58</v>
      </c>
      <c r="J575">
        <v>4.91</v>
      </c>
      <c r="K575" t="str">
        <f t="shared" si="8"/>
        <v>Jan 2024</v>
      </c>
    </row>
    <row r="576" spans="1:11" x14ac:dyDescent="0.25">
      <c r="A576" s="6">
        <v>44302</v>
      </c>
      <c r="B576" t="s">
        <v>10</v>
      </c>
      <c r="C576" t="s">
        <v>16</v>
      </c>
      <c r="D576" t="s">
        <v>12</v>
      </c>
      <c r="E576">
        <v>132</v>
      </c>
      <c r="F576" s="3">
        <v>11226187.220000001</v>
      </c>
      <c r="G576">
        <v>3643306.27</v>
      </c>
      <c r="H576">
        <v>7582880.96</v>
      </c>
      <c r="I576">
        <v>4.84</v>
      </c>
      <c r="J576">
        <v>3.63</v>
      </c>
      <c r="K576" t="str">
        <f t="shared" si="8"/>
        <v>Apr 2021</v>
      </c>
    </row>
    <row r="577" spans="1:11" x14ac:dyDescent="0.25">
      <c r="A577" s="6">
        <v>44301</v>
      </c>
      <c r="B577" t="s">
        <v>10</v>
      </c>
      <c r="C577" t="s">
        <v>18</v>
      </c>
      <c r="D577" t="s">
        <v>14</v>
      </c>
      <c r="E577">
        <v>235</v>
      </c>
      <c r="F577" s="3">
        <v>8771620.8599999994</v>
      </c>
      <c r="G577">
        <v>2518105.9500000002</v>
      </c>
      <c r="H577">
        <v>6253514.9100000001</v>
      </c>
      <c r="I577">
        <v>4.6900000000000004</v>
      </c>
      <c r="J577">
        <v>4.7699999999999996</v>
      </c>
      <c r="K577" t="str">
        <f t="shared" si="8"/>
        <v>Apr 2021</v>
      </c>
    </row>
    <row r="578" spans="1:11" x14ac:dyDescent="0.25">
      <c r="A578" s="6">
        <v>45319</v>
      </c>
      <c r="B578" t="s">
        <v>10</v>
      </c>
      <c r="C578" t="s">
        <v>13</v>
      </c>
      <c r="D578" t="s">
        <v>12</v>
      </c>
      <c r="E578">
        <v>488</v>
      </c>
      <c r="F578" s="3">
        <v>17197110.16</v>
      </c>
      <c r="G578">
        <v>6304621.9299999997</v>
      </c>
      <c r="H578">
        <v>10892488.23</v>
      </c>
      <c r="I578">
        <v>3.71</v>
      </c>
      <c r="J578">
        <v>4.5</v>
      </c>
      <c r="K578" t="str">
        <f t="shared" ref="K578:K641" si="9">TEXT(A578,"mmm yyyy")</f>
        <v>Jan 2024</v>
      </c>
    </row>
    <row r="579" spans="1:11" x14ac:dyDescent="0.25">
      <c r="A579" s="6">
        <v>45252</v>
      </c>
      <c r="B579" t="s">
        <v>10</v>
      </c>
      <c r="C579" t="s">
        <v>18</v>
      </c>
      <c r="D579" t="s">
        <v>17</v>
      </c>
      <c r="E579">
        <v>466</v>
      </c>
      <c r="F579" s="3">
        <v>23446402.030000001</v>
      </c>
      <c r="G579">
        <v>8770827.0199999996</v>
      </c>
      <c r="H579">
        <v>14675575.01</v>
      </c>
      <c r="I579">
        <v>3.54</v>
      </c>
      <c r="J579">
        <v>4.92</v>
      </c>
      <c r="K579" t="str">
        <f t="shared" si="9"/>
        <v>Nov 2023</v>
      </c>
    </row>
    <row r="580" spans="1:11" x14ac:dyDescent="0.25">
      <c r="A580" s="6">
        <v>43942</v>
      </c>
      <c r="B580" t="s">
        <v>10</v>
      </c>
      <c r="C580" t="s">
        <v>15</v>
      </c>
      <c r="D580" t="s">
        <v>17</v>
      </c>
      <c r="E580">
        <v>250</v>
      </c>
      <c r="F580" s="3">
        <v>10198767.68</v>
      </c>
      <c r="G580">
        <v>2484779.08</v>
      </c>
      <c r="H580">
        <v>7713988.5999999996</v>
      </c>
      <c r="I580">
        <v>3.4</v>
      </c>
      <c r="J580">
        <v>3.57</v>
      </c>
      <c r="K580" t="str">
        <f t="shared" si="9"/>
        <v>Apr 2020</v>
      </c>
    </row>
    <row r="581" spans="1:11" x14ac:dyDescent="0.25">
      <c r="A581" s="6">
        <v>44414</v>
      </c>
      <c r="B581" t="s">
        <v>10</v>
      </c>
      <c r="C581" t="s">
        <v>15</v>
      </c>
      <c r="D581" t="s">
        <v>14</v>
      </c>
      <c r="E581">
        <v>150</v>
      </c>
      <c r="F581" s="3">
        <v>9363209.0999999996</v>
      </c>
      <c r="G581">
        <v>3024091.6</v>
      </c>
      <c r="H581">
        <v>6339117.5</v>
      </c>
      <c r="I581">
        <v>4.4000000000000004</v>
      </c>
      <c r="J581">
        <v>4.21</v>
      </c>
      <c r="K581" t="str">
        <f t="shared" si="9"/>
        <v>Aug 2021</v>
      </c>
    </row>
    <row r="582" spans="1:11" x14ac:dyDescent="0.25">
      <c r="A582" s="6">
        <v>44788</v>
      </c>
      <c r="B582" t="s">
        <v>10</v>
      </c>
      <c r="C582" t="s">
        <v>13</v>
      </c>
      <c r="D582" t="s">
        <v>17</v>
      </c>
      <c r="E582">
        <v>195</v>
      </c>
      <c r="F582" s="3">
        <v>13629198.960000001</v>
      </c>
      <c r="G582">
        <v>3350655.1</v>
      </c>
      <c r="H582">
        <v>10278543.85</v>
      </c>
      <c r="I582">
        <v>0.51</v>
      </c>
      <c r="J582">
        <v>4.79</v>
      </c>
      <c r="K582" t="str">
        <f t="shared" si="9"/>
        <v>Aug 2022</v>
      </c>
    </row>
    <row r="583" spans="1:11" x14ac:dyDescent="0.25">
      <c r="A583" s="6">
        <v>45481</v>
      </c>
      <c r="B583" t="s">
        <v>10</v>
      </c>
      <c r="C583" t="s">
        <v>18</v>
      </c>
      <c r="D583" t="s">
        <v>17</v>
      </c>
      <c r="E583">
        <v>62</v>
      </c>
      <c r="F583" s="3">
        <v>3590280.11</v>
      </c>
      <c r="G583">
        <v>845740.83</v>
      </c>
      <c r="H583">
        <v>2744539.29</v>
      </c>
      <c r="I583">
        <v>4.33</v>
      </c>
      <c r="J583">
        <v>3.82</v>
      </c>
      <c r="K583" t="str">
        <f t="shared" si="9"/>
        <v>Jul 2024</v>
      </c>
    </row>
    <row r="584" spans="1:11" x14ac:dyDescent="0.25">
      <c r="A584" s="6">
        <v>45171</v>
      </c>
      <c r="B584" t="s">
        <v>10</v>
      </c>
      <c r="C584" t="s">
        <v>16</v>
      </c>
      <c r="D584" t="s">
        <v>17</v>
      </c>
      <c r="E584">
        <v>378</v>
      </c>
      <c r="F584" s="3">
        <v>31312376.440000001</v>
      </c>
      <c r="G584">
        <v>7950235.1699999999</v>
      </c>
      <c r="H584">
        <v>23362141.27</v>
      </c>
      <c r="I584">
        <v>3.41</v>
      </c>
      <c r="J584">
        <v>4.6900000000000004</v>
      </c>
      <c r="K584" t="str">
        <f t="shared" si="9"/>
        <v>Sep 2023</v>
      </c>
    </row>
    <row r="585" spans="1:11" x14ac:dyDescent="0.25">
      <c r="A585" s="6">
        <v>45506</v>
      </c>
      <c r="B585" t="s">
        <v>10</v>
      </c>
      <c r="C585" t="s">
        <v>16</v>
      </c>
      <c r="D585" t="s">
        <v>14</v>
      </c>
      <c r="E585">
        <v>392</v>
      </c>
      <c r="F585" s="3">
        <v>26823135.760000002</v>
      </c>
      <c r="G585">
        <v>9145071.9800000004</v>
      </c>
      <c r="H585">
        <v>17678063.780000001</v>
      </c>
      <c r="I585">
        <v>1.1100000000000001</v>
      </c>
      <c r="J585">
        <v>4.4800000000000004</v>
      </c>
      <c r="K585" t="str">
        <f t="shared" si="9"/>
        <v>Aug 2024</v>
      </c>
    </row>
    <row r="586" spans="1:11" x14ac:dyDescent="0.25">
      <c r="A586" s="6">
        <v>45159</v>
      </c>
      <c r="B586" t="s">
        <v>10</v>
      </c>
      <c r="C586" t="s">
        <v>13</v>
      </c>
      <c r="D586" t="s">
        <v>17</v>
      </c>
      <c r="E586">
        <v>323</v>
      </c>
      <c r="F586" s="3">
        <v>24399520.219999999</v>
      </c>
      <c r="G586">
        <v>5003893.57</v>
      </c>
      <c r="H586">
        <v>19395626.649999999</v>
      </c>
      <c r="I586">
        <v>0.73</v>
      </c>
      <c r="J586">
        <v>4.5199999999999996</v>
      </c>
      <c r="K586" t="str">
        <f t="shared" si="9"/>
        <v>Aug 2023</v>
      </c>
    </row>
    <row r="587" spans="1:11" x14ac:dyDescent="0.25">
      <c r="A587" s="6">
        <v>45499</v>
      </c>
      <c r="B587" t="s">
        <v>10</v>
      </c>
      <c r="C587" t="s">
        <v>18</v>
      </c>
      <c r="D587" t="s">
        <v>17</v>
      </c>
      <c r="E587">
        <v>359</v>
      </c>
      <c r="F587" s="3">
        <v>16498505.6</v>
      </c>
      <c r="G587">
        <v>3661958.8</v>
      </c>
      <c r="H587">
        <v>12836546.800000001</v>
      </c>
      <c r="I587">
        <v>1.79</v>
      </c>
      <c r="J587">
        <v>4.05</v>
      </c>
      <c r="K587" t="str">
        <f t="shared" si="9"/>
        <v>Jul 2024</v>
      </c>
    </row>
    <row r="588" spans="1:11" x14ac:dyDescent="0.25">
      <c r="A588" s="6">
        <v>44068</v>
      </c>
      <c r="B588" t="s">
        <v>10</v>
      </c>
      <c r="C588" t="s">
        <v>15</v>
      </c>
      <c r="D588" t="s">
        <v>17</v>
      </c>
      <c r="E588">
        <v>362</v>
      </c>
      <c r="F588" s="3">
        <v>29062090.75</v>
      </c>
      <c r="G588">
        <v>7079436.1699999999</v>
      </c>
      <c r="H588">
        <v>21982654.57</v>
      </c>
      <c r="I588">
        <v>2.95</v>
      </c>
      <c r="J588">
        <v>3.65</v>
      </c>
      <c r="K588" t="str">
        <f t="shared" si="9"/>
        <v>Aug 2020</v>
      </c>
    </row>
    <row r="589" spans="1:11" x14ac:dyDescent="0.25">
      <c r="A589" s="6">
        <v>44084</v>
      </c>
      <c r="B589" t="s">
        <v>10</v>
      </c>
      <c r="C589" t="s">
        <v>16</v>
      </c>
      <c r="D589" t="s">
        <v>12</v>
      </c>
      <c r="E589">
        <v>123</v>
      </c>
      <c r="F589" s="3">
        <v>4404400.7699999996</v>
      </c>
      <c r="G589">
        <v>1427823.89</v>
      </c>
      <c r="H589">
        <v>2976576.89</v>
      </c>
      <c r="I589">
        <v>2.02</v>
      </c>
      <c r="J589">
        <v>3.53</v>
      </c>
      <c r="K589" t="str">
        <f t="shared" si="9"/>
        <v>Sep 2020</v>
      </c>
    </row>
    <row r="590" spans="1:11" x14ac:dyDescent="0.25">
      <c r="A590" s="6">
        <v>43863</v>
      </c>
      <c r="B590" t="s">
        <v>10</v>
      </c>
      <c r="C590" t="s">
        <v>15</v>
      </c>
      <c r="D590" t="s">
        <v>14</v>
      </c>
      <c r="E590">
        <v>405</v>
      </c>
      <c r="F590" s="3">
        <v>35310543.670000002</v>
      </c>
      <c r="G590">
        <v>13902313.15</v>
      </c>
      <c r="H590">
        <v>21408230.52</v>
      </c>
      <c r="I590">
        <v>3.81</v>
      </c>
      <c r="J590">
        <v>4</v>
      </c>
      <c r="K590" t="str">
        <f t="shared" si="9"/>
        <v>Feb 2020</v>
      </c>
    </row>
    <row r="591" spans="1:11" x14ac:dyDescent="0.25">
      <c r="A591" s="6">
        <v>44920</v>
      </c>
      <c r="B591" t="s">
        <v>10</v>
      </c>
      <c r="C591" t="s">
        <v>13</v>
      </c>
      <c r="D591" t="s">
        <v>17</v>
      </c>
      <c r="E591">
        <v>317</v>
      </c>
      <c r="F591" s="3">
        <v>21471120.75</v>
      </c>
      <c r="G591">
        <v>8545833.1899999995</v>
      </c>
      <c r="H591">
        <v>12925287.560000001</v>
      </c>
      <c r="I591">
        <v>2.59</v>
      </c>
      <c r="J591">
        <v>4.95</v>
      </c>
      <c r="K591" t="str">
        <f t="shared" si="9"/>
        <v>Dec 2022</v>
      </c>
    </row>
    <row r="592" spans="1:11" x14ac:dyDescent="0.25">
      <c r="A592" s="6">
        <v>43960</v>
      </c>
      <c r="B592" t="s">
        <v>10</v>
      </c>
      <c r="C592" t="s">
        <v>15</v>
      </c>
      <c r="D592" t="s">
        <v>12</v>
      </c>
      <c r="E592">
        <v>237</v>
      </c>
      <c r="F592" s="3">
        <v>13478336.199999999</v>
      </c>
      <c r="G592">
        <v>3336403</v>
      </c>
      <c r="H592">
        <v>10141933.199999999</v>
      </c>
      <c r="I592">
        <v>2.5499999999999998</v>
      </c>
      <c r="J592">
        <v>3.9</v>
      </c>
      <c r="K592" t="str">
        <f t="shared" si="9"/>
        <v>May 2020</v>
      </c>
    </row>
    <row r="593" spans="1:11" x14ac:dyDescent="0.25">
      <c r="A593" s="6">
        <v>44689</v>
      </c>
      <c r="B593" t="s">
        <v>10</v>
      </c>
      <c r="C593" t="s">
        <v>13</v>
      </c>
      <c r="D593" t="s">
        <v>12</v>
      </c>
      <c r="E593">
        <v>153</v>
      </c>
      <c r="F593" s="3">
        <v>6461726.2199999997</v>
      </c>
      <c r="G593">
        <v>1476983.18</v>
      </c>
      <c r="H593">
        <v>4984743.04</v>
      </c>
      <c r="I593">
        <v>3.09</v>
      </c>
      <c r="J593">
        <v>3.61</v>
      </c>
      <c r="K593" t="str">
        <f t="shared" si="9"/>
        <v>May 2022</v>
      </c>
    </row>
    <row r="594" spans="1:11" x14ac:dyDescent="0.25">
      <c r="A594" s="6">
        <v>44020</v>
      </c>
      <c r="B594" t="s">
        <v>10</v>
      </c>
      <c r="C594" t="s">
        <v>13</v>
      </c>
      <c r="D594" t="s">
        <v>17</v>
      </c>
      <c r="E594">
        <v>224</v>
      </c>
      <c r="F594" s="3">
        <v>17784156.219999999</v>
      </c>
      <c r="G594">
        <v>6686105.6600000001</v>
      </c>
      <c r="H594">
        <v>11098050.560000001</v>
      </c>
      <c r="I594">
        <v>1.7</v>
      </c>
      <c r="J594">
        <v>3.53</v>
      </c>
      <c r="K594" t="str">
        <f t="shared" si="9"/>
        <v>Jul 2020</v>
      </c>
    </row>
    <row r="595" spans="1:11" x14ac:dyDescent="0.25">
      <c r="A595" s="6">
        <v>45592</v>
      </c>
      <c r="B595" t="s">
        <v>10</v>
      </c>
      <c r="C595" t="s">
        <v>11</v>
      </c>
      <c r="D595" t="s">
        <v>17</v>
      </c>
      <c r="E595">
        <v>202</v>
      </c>
      <c r="F595" s="3">
        <v>15659606.220000001</v>
      </c>
      <c r="G595">
        <v>4641630.91</v>
      </c>
      <c r="H595">
        <v>11017975.310000001</v>
      </c>
      <c r="I595">
        <v>2.0699999999999998</v>
      </c>
      <c r="J595">
        <v>4.0599999999999996</v>
      </c>
      <c r="K595" t="str">
        <f t="shared" si="9"/>
        <v>Oct 2024</v>
      </c>
    </row>
    <row r="596" spans="1:11" x14ac:dyDescent="0.25">
      <c r="A596" s="6">
        <v>45300</v>
      </c>
      <c r="B596" t="s">
        <v>10</v>
      </c>
      <c r="C596" t="s">
        <v>16</v>
      </c>
      <c r="D596" t="s">
        <v>14</v>
      </c>
      <c r="E596">
        <v>65</v>
      </c>
      <c r="F596" s="3">
        <v>4305930.7300000004</v>
      </c>
      <c r="G596">
        <v>1151399.55</v>
      </c>
      <c r="H596">
        <v>3154531.18</v>
      </c>
      <c r="I596">
        <v>2.97</v>
      </c>
      <c r="J596">
        <v>4.82</v>
      </c>
      <c r="K596" t="str">
        <f t="shared" si="9"/>
        <v>Jan 2024</v>
      </c>
    </row>
    <row r="597" spans="1:11" x14ac:dyDescent="0.25">
      <c r="A597" s="6">
        <v>44300</v>
      </c>
      <c r="B597" t="s">
        <v>10</v>
      </c>
      <c r="C597" t="s">
        <v>18</v>
      </c>
      <c r="D597" t="s">
        <v>12</v>
      </c>
      <c r="E597">
        <v>356</v>
      </c>
      <c r="F597" s="3">
        <v>12921989.41</v>
      </c>
      <c r="G597">
        <v>2846557.64</v>
      </c>
      <c r="H597">
        <v>10075431.77</v>
      </c>
      <c r="I597">
        <v>4.0199999999999996</v>
      </c>
      <c r="J597">
        <v>4.67</v>
      </c>
      <c r="K597" t="str">
        <f t="shared" si="9"/>
        <v>Apr 2021</v>
      </c>
    </row>
    <row r="598" spans="1:11" x14ac:dyDescent="0.25">
      <c r="A598" s="6">
        <v>44734</v>
      </c>
      <c r="B598" t="s">
        <v>10</v>
      </c>
      <c r="C598" t="s">
        <v>16</v>
      </c>
      <c r="D598" t="s">
        <v>14</v>
      </c>
      <c r="E598">
        <v>94</v>
      </c>
      <c r="F598" s="3">
        <v>5347687.3600000003</v>
      </c>
      <c r="G598">
        <v>1815095.22</v>
      </c>
      <c r="H598">
        <v>3532592.14</v>
      </c>
      <c r="I598">
        <v>0.8</v>
      </c>
      <c r="J598">
        <v>3.84</v>
      </c>
      <c r="K598" t="str">
        <f t="shared" si="9"/>
        <v>Jun 2022</v>
      </c>
    </row>
    <row r="599" spans="1:11" x14ac:dyDescent="0.25">
      <c r="A599" s="6">
        <v>45430</v>
      </c>
      <c r="B599" t="s">
        <v>10</v>
      </c>
      <c r="C599" t="s">
        <v>13</v>
      </c>
      <c r="D599" t="s">
        <v>12</v>
      </c>
      <c r="E599">
        <v>147</v>
      </c>
      <c r="F599" s="3">
        <v>10022614.25</v>
      </c>
      <c r="G599">
        <v>3060102.82</v>
      </c>
      <c r="H599">
        <v>6962511.4299999997</v>
      </c>
      <c r="I599">
        <v>0.77</v>
      </c>
      <c r="J599">
        <v>4.51</v>
      </c>
      <c r="K599" t="str">
        <f t="shared" si="9"/>
        <v>May 2024</v>
      </c>
    </row>
    <row r="600" spans="1:11" x14ac:dyDescent="0.25">
      <c r="A600" s="6">
        <v>45243</v>
      </c>
      <c r="B600" t="s">
        <v>10</v>
      </c>
      <c r="C600" t="s">
        <v>15</v>
      </c>
      <c r="D600" t="s">
        <v>17</v>
      </c>
      <c r="E600">
        <v>53</v>
      </c>
      <c r="F600" s="3">
        <v>4646957.2699999996</v>
      </c>
      <c r="G600">
        <v>982622.98</v>
      </c>
      <c r="H600">
        <v>3664334.29</v>
      </c>
      <c r="I600">
        <v>4.03</v>
      </c>
      <c r="J600">
        <v>4.99</v>
      </c>
      <c r="K600" t="str">
        <f t="shared" si="9"/>
        <v>Nov 2023</v>
      </c>
    </row>
    <row r="601" spans="1:11" x14ac:dyDescent="0.25">
      <c r="A601" s="6">
        <v>44555</v>
      </c>
      <c r="B601" t="s">
        <v>10</v>
      </c>
      <c r="C601" t="s">
        <v>11</v>
      </c>
      <c r="D601" t="s">
        <v>17</v>
      </c>
      <c r="E601">
        <v>483</v>
      </c>
      <c r="F601" s="3">
        <v>34028564.560000002</v>
      </c>
      <c r="G601">
        <v>9791423.1099999994</v>
      </c>
      <c r="H601">
        <v>24237141.449999999</v>
      </c>
      <c r="I601">
        <v>4</v>
      </c>
      <c r="J601">
        <v>3.81</v>
      </c>
      <c r="K601" t="str">
        <f t="shared" si="9"/>
        <v>Dec 2021</v>
      </c>
    </row>
    <row r="602" spans="1:11" x14ac:dyDescent="0.25">
      <c r="A602" s="6">
        <v>44967</v>
      </c>
      <c r="B602" t="s">
        <v>10</v>
      </c>
      <c r="C602" t="s">
        <v>11</v>
      </c>
      <c r="D602" t="s">
        <v>14</v>
      </c>
      <c r="E602">
        <v>139</v>
      </c>
      <c r="F602" s="3">
        <v>6362143.9299999997</v>
      </c>
      <c r="G602">
        <v>2365695.85</v>
      </c>
      <c r="H602">
        <v>3996448.08</v>
      </c>
      <c r="I602">
        <v>3.3</v>
      </c>
      <c r="J602">
        <v>4.67</v>
      </c>
      <c r="K602" t="str">
        <f t="shared" si="9"/>
        <v>Feb 2023</v>
      </c>
    </row>
    <row r="603" spans="1:11" x14ac:dyDescent="0.25">
      <c r="A603" s="6">
        <v>45427</v>
      </c>
      <c r="B603" t="s">
        <v>10</v>
      </c>
      <c r="C603" t="s">
        <v>11</v>
      </c>
      <c r="D603" t="s">
        <v>17</v>
      </c>
      <c r="E603">
        <v>350</v>
      </c>
      <c r="F603" s="3">
        <v>17567568.510000002</v>
      </c>
      <c r="G603">
        <v>3577975</v>
      </c>
      <c r="H603">
        <v>13989593.51</v>
      </c>
      <c r="I603">
        <v>2.87</v>
      </c>
      <c r="J603">
        <v>4.8600000000000003</v>
      </c>
      <c r="K603" t="str">
        <f t="shared" si="9"/>
        <v>May 2024</v>
      </c>
    </row>
    <row r="604" spans="1:11" x14ac:dyDescent="0.25">
      <c r="A604" s="6">
        <v>44039</v>
      </c>
      <c r="B604" t="s">
        <v>10</v>
      </c>
      <c r="C604" t="s">
        <v>18</v>
      </c>
      <c r="D604" t="s">
        <v>12</v>
      </c>
      <c r="E604">
        <v>400</v>
      </c>
      <c r="F604" s="3">
        <v>28830866.5</v>
      </c>
      <c r="G604">
        <v>10033689.449999999</v>
      </c>
      <c r="H604">
        <v>18797177.050000001</v>
      </c>
      <c r="I604">
        <v>2.0499999999999998</v>
      </c>
      <c r="J604">
        <v>4.88</v>
      </c>
      <c r="K604" t="str">
        <f t="shared" si="9"/>
        <v>Jul 2020</v>
      </c>
    </row>
    <row r="605" spans="1:11" x14ac:dyDescent="0.25">
      <c r="A605" s="6">
        <v>45342</v>
      </c>
      <c r="B605" t="s">
        <v>10</v>
      </c>
      <c r="C605" t="s">
        <v>15</v>
      </c>
      <c r="D605" t="s">
        <v>14</v>
      </c>
      <c r="E605">
        <v>265</v>
      </c>
      <c r="F605" s="3">
        <v>19841600.550000001</v>
      </c>
      <c r="G605">
        <v>5798457.7199999997</v>
      </c>
      <c r="H605">
        <v>14043142.83</v>
      </c>
      <c r="I605">
        <v>0.77</v>
      </c>
      <c r="J605">
        <v>4.53</v>
      </c>
      <c r="K605" t="str">
        <f t="shared" si="9"/>
        <v>Feb 2024</v>
      </c>
    </row>
    <row r="606" spans="1:11" x14ac:dyDescent="0.25">
      <c r="A606" s="6">
        <v>43979</v>
      </c>
      <c r="B606" t="s">
        <v>10</v>
      </c>
      <c r="C606" t="s">
        <v>16</v>
      </c>
      <c r="D606" t="s">
        <v>14</v>
      </c>
      <c r="E606">
        <v>331</v>
      </c>
      <c r="F606" s="3">
        <v>14266651.92</v>
      </c>
      <c r="G606">
        <v>5684286.1200000001</v>
      </c>
      <c r="H606">
        <v>8582365.8000000007</v>
      </c>
      <c r="I606">
        <v>3.34</v>
      </c>
      <c r="J606">
        <v>4.17</v>
      </c>
      <c r="K606" t="str">
        <f t="shared" si="9"/>
        <v>May 2020</v>
      </c>
    </row>
    <row r="607" spans="1:11" x14ac:dyDescent="0.25">
      <c r="A607" s="6">
        <v>45296</v>
      </c>
      <c r="B607" t="s">
        <v>10</v>
      </c>
      <c r="C607" t="s">
        <v>18</v>
      </c>
      <c r="D607" t="s">
        <v>12</v>
      </c>
      <c r="E607">
        <v>103</v>
      </c>
      <c r="F607" s="3">
        <v>5959612.9900000002</v>
      </c>
      <c r="G607">
        <v>2023983.86</v>
      </c>
      <c r="H607">
        <v>3935629.13</v>
      </c>
      <c r="I607">
        <v>3.92</v>
      </c>
      <c r="J607">
        <v>4.03</v>
      </c>
      <c r="K607" t="str">
        <f t="shared" si="9"/>
        <v>Jan 2024</v>
      </c>
    </row>
    <row r="608" spans="1:11" x14ac:dyDescent="0.25">
      <c r="A608" s="6">
        <v>44760</v>
      </c>
      <c r="B608" t="s">
        <v>10</v>
      </c>
      <c r="C608" t="s">
        <v>13</v>
      </c>
      <c r="D608" t="s">
        <v>14</v>
      </c>
      <c r="E608">
        <v>171</v>
      </c>
      <c r="F608" s="3">
        <v>12376829.23</v>
      </c>
      <c r="G608">
        <v>4762011.74</v>
      </c>
      <c r="H608">
        <v>7614817.4900000002</v>
      </c>
      <c r="I608">
        <v>1.74</v>
      </c>
      <c r="J608">
        <v>4.71</v>
      </c>
      <c r="K608" t="str">
        <f t="shared" si="9"/>
        <v>Jul 2022</v>
      </c>
    </row>
    <row r="609" spans="1:11" x14ac:dyDescent="0.25">
      <c r="A609" s="6">
        <v>44274</v>
      </c>
      <c r="B609" t="s">
        <v>10</v>
      </c>
      <c r="C609" t="s">
        <v>16</v>
      </c>
      <c r="D609" t="s">
        <v>14</v>
      </c>
      <c r="E609">
        <v>259</v>
      </c>
      <c r="F609" s="3">
        <v>16855015.59</v>
      </c>
      <c r="G609">
        <v>6134187.6200000001</v>
      </c>
      <c r="H609">
        <v>10720827.960000001</v>
      </c>
      <c r="I609">
        <v>2.56</v>
      </c>
      <c r="J609">
        <v>4.34</v>
      </c>
      <c r="K609" t="str">
        <f t="shared" si="9"/>
        <v>Mar 2021</v>
      </c>
    </row>
    <row r="610" spans="1:11" x14ac:dyDescent="0.25">
      <c r="A610" s="6">
        <v>44909</v>
      </c>
      <c r="B610" t="s">
        <v>10</v>
      </c>
      <c r="C610" t="s">
        <v>16</v>
      </c>
      <c r="D610" t="s">
        <v>14</v>
      </c>
      <c r="E610">
        <v>55</v>
      </c>
      <c r="F610" s="3">
        <v>3272763.46</v>
      </c>
      <c r="G610">
        <v>1172182.47</v>
      </c>
      <c r="H610">
        <v>2100580.98</v>
      </c>
      <c r="I610">
        <v>0.72</v>
      </c>
      <c r="J610">
        <v>4.7699999999999996</v>
      </c>
      <c r="K610" t="str">
        <f t="shared" si="9"/>
        <v>Dec 2022</v>
      </c>
    </row>
    <row r="611" spans="1:11" x14ac:dyDescent="0.25">
      <c r="A611" s="6">
        <v>43870</v>
      </c>
      <c r="B611" t="s">
        <v>10</v>
      </c>
      <c r="C611" t="s">
        <v>16</v>
      </c>
      <c r="D611" t="s">
        <v>17</v>
      </c>
      <c r="E611">
        <v>289</v>
      </c>
      <c r="F611" s="3">
        <v>25930228.870000001</v>
      </c>
      <c r="G611">
        <v>7637838.8300000001</v>
      </c>
      <c r="H611">
        <v>18292390.030000001</v>
      </c>
      <c r="I611">
        <v>2.2599999999999998</v>
      </c>
      <c r="J611">
        <v>4.49</v>
      </c>
      <c r="K611" t="str">
        <f t="shared" si="9"/>
        <v>Feb 2020</v>
      </c>
    </row>
    <row r="612" spans="1:11" x14ac:dyDescent="0.25">
      <c r="A612" s="6">
        <v>44552</v>
      </c>
      <c r="B612" t="s">
        <v>10</v>
      </c>
      <c r="C612" t="s">
        <v>18</v>
      </c>
      <c r="D612" t="s">
        <v>12</v>
      </c>
      <c r="E612">
        <v>218</v>
      </c>
      <c r="F612" s="3">
        <v>9991139.1999999993</v>
      </c>
      <c r="G612">
        <v>2095282.14</v>
      </c>
      <c r="H612">
        <v>7895857.0499999998</v>
      </c>
      <c r="I612">
        <v>4.9800000000000004</v>
      </c>
      <c r="J612">
        <v>4.57</v>
      </c>
      <c r="K612" t="str">
        <f t="shared" si="9"/>
        <v>Dec 2021</v>
      </c>
    </row>
    <row r="613" spans="1:11" x14ac:dyDescent="0.25">
      <c r="A613" s="6">
        <v>44715</v>
      </c>
      <c r="B613" t="s">
        <v>10</v>
      </c>
      <c r="C613" t="s">
        <v>16</v>
      </c>
      <c r="D613" t="s">
        <v>14</v>
      </c>
      <c r="E613">
        <v>139</v>
      </c>
      <c r="F613" s="3">
        <v>8859816.1300000008</v>
      </c>
      <c r="G613">
        <v>3155658.34</v>
      </c>
      <c r="H613">
        <v>5704157.7999999998</v>
      </c>
      <c r="I613">
        <v>2.57</v>
      </c>
      <c r="J613">
        <v>4.88</v>
      </c>
      <c r="K613" t="str">
        <f t="shared" si="9"/>
        <v>Jun 2022</v>
      </c>
    </row>
    <row r="614" spans="1:11" x14ac:dyDescent="0.25">
      <c r="A614" s="6">
        <v>45202</v>
      </c>
      <c r="B614" t="s">
        <v>10</v>
      </c>
      <c r="C614" t="s">
        <v>16</v>
      </c>
      <c r="D614" t="s">
        <v>12</v>
      </c>
      <c r="E614">
        <v>360</v>
      </c>
      <c r="F614" s="3">
        <v>16836349.370000001</v>
      </c>
      <c r="G614">
        <v>6690665.6799999997</v>
      </c>
      <c r="H614">
        <v>10145683.689999999</v>
      </c>
      <c r="I614">
        <v>0.56000000000000005</v>
      </c>
      <c r="J614">
        <v>4.74</v>
      </c>
      <c r="K614" t="str">
        <f t="shared" si="9"/>
        <v>Oct 2023</v>
      </c>
    </row>
    <row r="615" spans="1:11" x14ac:dyDescent="0.25">
      <c r="A615" s="6">
        <v>44559</v>
      </c>
      <c r="B615" t="s">
        <v>10</v>
      </c>
      <c r="C615" t="s">
        <v>16</v>
      </c>
      <c r="D615" t="s">
        <v>14</v>
      </c>
      <c r="E615">
        <v>334</v>
      </c>
      <c r="F615" s="3">
        <v>28368100.84</v>
      </c>
      <c r="G615">
        <v>5993035.9500000002</v>
      </c>
      <c r="H615">
        <v>22375064.890000001</v>
      </c>
      <c r="I615">
        <v>4.82</v>
      </c>
      <c r="J615">
        <v>4.28</v>
      </c>
      <c r="K615" t="str">
        <f t="shared" si="9"/>
        <v>Dec 2021</v>
      </c>
    </row>
    <row r="616" spans="1:11" x14ac:dyDescent="0.25">
      <c r="A616" s="6">
        <v>43934</v>
      </c>
      <c r="B616" t="s">
        <v>10</v>
      </c>
      <c r="C616" t="s">
        <v>13</v>
      </c>
      <c r="D616" t="s">
        <v>17</v>
      </c>
      <c r="E616">
        <v>499</v>
      </c>
      <c r="F616" s="3">
        <v>44005760.840000004</v>
      </c>
      <c r="G616">
        <v>14145266.550000001</v>
      </c>
      <c r="H616">
        <v>29860494.300000001</v>
      </c>
      <c r="I616">
        <v>4.34</v>
      </c>
      <c r="J616">
        <v>4.66</v>
      </c>
      <c r="K616" t="str">
        <f t="shared" si="9"/>
        <v>Apr 2020</v>
      </c>
    </row>
    <row r="617" spans="1:11" x14ac:dyDescent="0.25">
      <c r="A617" s="6">
        <v>44867</v>
      </c>
      <c r="B617" t="s">
        <v>10</v>
      </c>
      <c r="C617" t="s">
        <v>15</v>
      </c>
      <c r="D617" t="s">
        <v>14</v>
      </c>
      <c r="E617">
        <v>143</v>
      </c>
      <c r="F617" s="3">
        <v>10043438.42</v>
      </c>
      <c r="G617">
        <v>2678383.2000000002</v>
      </c>
      <c r="H617">
        <v>7365055.2199999997</v>
      </c>
      <c r="I617">
        <v>1.23</v>
      </c>
      <c r="J617">
        <v>4.3499999999999996</v>
      </c>
      <c r="K617" t="str">
        <f t="shared" si="9"/>
        <v>Nov 2022</v>
      </c>
    </row>
    <row r="618" spans="1:11" x14ac:dyDescent="0.25">
      <c r="A618" s="6">
        <v>44846</v>
      </c>
      <c r="B618" t="s">
        <v>10</v>
      </c>
      <c r="C618" t="s">
        <v>15</v>
      </c>
      <c r="D618" t="s">
        <v>12</v>
      </c>
      <c r="E618">
        <v>391</v>
      </c>
      <c r="F618" s="3">
        <v>32076226.210000001</v>
      </c>
      <c r="G618">
        <v>8961685.0600000005</v>
      </c>
      <c r="H618">
        <v>23114541.149999999</v>
      </c>
      <c r="I618">
        <v>4.26</v>
      </c>
      <c r="J618">
        <v>4.68</v>
      </c>
      <c r="K618" t="str">
        <f t="shared" si="9"/>
        <v>Oct 2022</v>
      </c>
    </row>
    <row r="619" spans="1:11" x14ac:dyDescent="0.25">
      <c r="A619" s="6">
        <v>44992</v>
      </c>
      <c r="B619" t="s">
        <v>10</v>
      </c>
      <c r="C619" t="s">
        <v>15</v>
      </c>
      <c r="D619" t="s">
        <v>12</v>
      </c>
      <c r="E619">
        <v>205</v>
      </c>
      <c r="F619" s="3">
        <v>9753330.6899999995</v>
      </c>
      <c r="G619">
        <v>2663900.5099999998</v>
      </c>
      <c r="H619">
        <v>7089430.1799999997</v>
      </c>
      <c r="I619">
        <v>1.5</v>
      </c>
      <c r="J619">
        <v>3.98</v>
      </c>
      <c r="K619" t="str">
        <f t="shared" si="9"/>
        <v>Mar 2023</v>
      </c>
    </row>
    <row r="620" spans="1:11" x14ac:dyDescent="0.25">
      <c r="A620" s="6">
        <v>43947</v>
      </c>
      <c r="B620" t="s">
        <v>10</v>
      </c>
      <c r="C620" t="s">
        <v>18</v>
      </c>
      <c r="D620" t="s">
        <v>14</v>
      </c>
      <c r="E620">
        <v>371</v>
      </c>
      <c r="F620" s="3">
        <v>23487119.210000001</v>
      </c>
      <c r="G620">
        <v>5598035.3600000003</v>
      </c>
      <c r="H620">
        <v>17889083.84</v>
      </c>
      <c r="I620">
        <v>1.64</v>
      </c>
      <c r="J620">
        <v>3.87</v>
      </c>
      <c r="K620" t="str">
        <f t="shared" si="9"/>
        <v>Apr 2020</v>
      </c>
    </row>
    <row r="621" spans="1:11" x14ac:dyDescent="0.25">
      <c r="A621" s="6">
        <v>44174</v>
      </c>
      <c r="B621" t="s">
        <v>10</v>
      </c>
      <c r="C621" t="s">
        <v>18</v>
      </c>
      <c r="D621" t="s">
        <v>17</v>
      </c>
      <c r="E621">
        <v>398</v>
      </c>
      <c r="F621" s="3">
        <v>24456685.309999999</v>
      </c>
      <c r="G621">
        <v>6542486.0899999999</v>
      </c>
      <c r="H621">
        <v>17914199.219999999</v>
      </c>
      <c r="I621">
        <v>1.03</v>
      </c>
      <c r="J621">
        <v>3.93</v>
      </c>
      <c r="K621" t="str">
        <f t="shared" si="9"/>
        <v>Dec 2020</v>
      </c>
    </row>
    <row r="622" spans="1:11" x14ac:dyDescent="0.25">
      <c r="A622" s="6">
        <v>45252</v>
      </c>
      <c r="B622" t="s">
        <v>10</v>
      </c>
      <c r="C622" t="s">
        <v>16</v>
      </c>
      <c r="D622" t="s">
        <v>17</v>
      </c>
      <c r="E622">
        <v>297</v>
      </c>
      <c r="F622" s="3">
        <v>26568060.949999999</v>
      </c>
      <c r="G622">
        <v>5553537.7599999998</v>
      </c>
      <c r="H622">
        <v>21014523.190000001</v>
      </c>
      <c r="I622">
        <v>2.73</v>
      </c>
      <c r="J622">
        <v>4.2699999999999996</v>
      </c>
      <c r="K622" t="str">
        <f t="shared" si="9"/>
        <v>Nov 2023</v>
      </c>
    </row>
    <row r="623" spans="1:11" x14ac:dyDescent="0.25">
      <c r="A623" s="6">
        <v>44555</v>
      </c>
      <c r="B623" t="s">
        <v>10</v>
      </c>
      <c r="C623" t="s">
        <v>15</v>
      </c>
      <c r="D623" t="s">
        <v>17</v>
      </c>
      <c r="E623">
        <v>376</v>
      </c>
      <c r="F623" s="3">
        <v>20847253.690000001</v>
      </c>
      <c r="G623">
        <v>6702566.4000000004</v>
      </c>
      <c r="H623">
        <v>14144687.289999999</v>
      </c>
      <c r="I623">
        <v>3.89</v>
      </c>
      <c r="J623">
        <v>4.88</v>
      </c>
      <c r="K623" t="str">
        <f t="shared" si="9"/>
        <v>Dec 2021</v>
      </c>
    </row>
    <row r="624" spans="1:11" x14ac:dyDescent="0.25">
      <c r="A624" s="6">
        <v>44056</v>
      </c>
      <c r="B624" t="s">
        <v>10</v>
      </c>
      <c r="C624" t="s">
        <v>16</v>
      </c>
      <c r="D624" t="s">
        <v>12</v>
      </c>
      <c r="E624">
        <v>162</v>
      </c>
      <c r="F624" s="3">
        <v>9629295.2599999998</v>
      </c>
      <c r="G624">
        <v>3321051.61</v>
      </c>
      <c r="H624">
        <v>6308243.6500000004</v>
      </c>
      <c r="I624">
        <v>3.3</v>
      </c>
      <c r="J624">
        <v>4.99</v>
      </c>
      <c r="K624" t="str">
        <f t="shared" si="9"/>
        <v>Aug 2020</v>
      </c>
    </row>
    <row r="625" spans="1:11" x14ac:dyDescent="0.25">
      <c r="A625" s="6">
        <v>45137</v>
      </c>
      <c r="B625" t="s">
        <v>10</v>
      </c>
      <c r="C625" t="s">
        <v>18</v>
      </c>
      <c r="D625" t="s">
        <v>17</v>
      </c>
      <c r="E625">
        <v>398</v>
      </c>
      <c r="F625" s="3">
        <v>26277580.489999998</v>
      </c>
      <c r="G625">
        <v>8626517.3200000003</v>
      </c>
      <c r="H625">
        <v>17651063.170000002</v>
      </c>
      <c r="I625">
        <v>3.45</v>
      </c>
      <c r="J625">
        <v>3.86</v>
      </c>
      <c r="K625" t="str">
        <f t="shared" si="9"/>
        <v>Jul 2023</v>
      </c>
    </row>
    <row r="626" spans="1:11" x14ac:dyDescent="0.25">
      <c r="A626" s="6">
        <v>44802</v>
      </c>
      <c r="B626" t="s">
        <v>10</v>
      </c>
      <c r="C626" t="s">
        <v>18</v>
      </c>
      <c r="D626" t="s">
        <v>12</v>
      </c>
      <c r="E626">
        <v>107</v>
      </c>
      <c r="F626" s="3">
        <v>8908237.7799999993</v>
      </c>
      <c r="G626">
        <v>1827307.19</v>
      </c>
      <c r="H626">
        <v>7080930.5800000001</v>
      </c>
      <c r="I626">
        <v>0.62</v>
      </c>
      <c r="J626">
        <v>4.76</v>
      </c>
      <c r="K626" t="str">
        <f t="shared" si="9"/>
        <v>Aug 2022</v>
      </c>
    </row>
    <row r="627" spans="1:11" x14ac:dyDescent="0.25">
      <c r="A627" s="6">
        <v>45385</v>
      </c>
      <c r="B627" t="s">
        <v>10</v>
      </c>
      <c r="C627" t="s">
        <v>13</v>
      </c>
      <c r="D627" t="s">
        <v>17</v>
      </c>
      <c r="E627">
        <v>90</v>
      </c>
      <c r="F627" s="3">
        <v>3342703.32</v>
      </c>
      <c r="G627">
        <v>1313001.28</v>
      </c>
      <c r="H627">
        <v>2029702.04</v>
      </c>
      <c r="I627">
        <v>1.29</v>
      </c>
      <c r="J627">
        <v>4.8</v>
      </c>
      <c r="K627" t="str">
        <f t="shared" si="9"/>
        <v>Apr 2024</v>
      </c>
    </row>
    <row r="628" spans="1:11" x14ac:dyDescent="0.25">
      <c r="A628" s="6">
        <v>44407</v>
      </c>
      <c r="B628" t="s">
        <v>10</v>
      </c>
      <c r="C628" t="s">
        <v>18</v>
      </c>
      <c r="D628" t="s">
        <v>12</v>
      </c>
      <c r="E628">
        <v>286</v>
      </c>
      <c r="F628" s="3">
        <v>13547523.109999999</v>
      </c>
      <c r="G628">
        <v>4250181.38</v>
      </c>
      <c r="H628">
        <v>9297341.7300000004</v>
      </c>
      <c r="I628">
        <v>3.74</v>
      </c>
      <c r="J628">
        <v>4.34</v>
      </c>
      <c r="K628" t="str">
        <f t="shared" si="9"/>
        <v>Jul 2021</v>
      </c>
    </row>
    <row r="629" spans="1:11" x14ac:dyDescent="0.25">
      <c r="A629" s="6">
        <v>45083</v>
      </c>
      <c r="B629" t="s">
        <v>10</v>
      </c>
      <c r="C629" t="s">
        <v>18</v>
      </c>
      <c r="D629" t="s">
        <v>17</v>
      </c>
      <c r="E629">
        <v>198</v>
      </c>
      <c r="F629" s="3">
        <v>12556845.42</v>
      </c>
      <c r="G629">
        <v>3117170.94</v>
      </c>
      <c r="H629">
        <v>9439674.4700000007</v>
      </c>
      <c r="I629">
        <v>1.77</v>
      </c>
      <c r="J629">
        <v>4.03</v>
      </c>
      <c r="K629" t="str">
        <f t="shared" si="9"/>
        <v>Jun 2023</v>
      </c>
    </row>
    <row r="630" spans="1:11" x14ac:dyDescent="0.25">
      <c r="A630" s="6">
        <v>44598</v>
      </c>
      <c r="B630" t="s">
        <v>10</v>
      </c>
      <c r="C630" t="s">
        <v>13</v>
      </c>
      <c r="D630" t="s">
        <v>14</v>
      </c>
      <c r="E630">
        <v>352</v>
      </c>
      <c r="F630" s="3">
        <v>29816746.59</v>
      </c>
      <c r="G630">
        <v>6882602.2999999998</v>
      </c>
      <c r="H630">
        <v>22934144.289999999</v>
      </c>
      <c r="I630">
        <v>2.2999999999999998</v>
      </c>
      <c r="J630">
        <v>4.6399999999999997</v>
      </c>
      <c r="K630" t="str">
        <f t="shared" si="9"/>
        <v>Feb 2022</v>
      </c>
    </row>
    <row r="631" spans="1:11" x14ac:dyDescent="0.25">
      <c r="A631" s="6">
        <v>44016</v>
      </c>
      <c r="B631" t="s">
        <v>10</v>
      </c>
      <c r="C631" t="s">
        <v>11</v>
      </c>
      <c r="D631" t="s">
        <v>12</v>
      </c>
      <c r="E631">
        <v>328</v>
      </c>
      <c r="F631" s="3">
        <v>20073096.629999999</v>
      </c>
      <c r="G631">
        <v>6031805.5499999998</v>
      </c>
      <c r="H631">
        <v>14041291.08</v>
      </c>
      <c r="I631">
        <v>1.42</v>
      </c>
      <c r="J631">
        <v>4.3899999999999997</v>
      </c>
      <c r="K631" t="str">
        <f t="shared" si="9"/>
        <v>Jul 2020</v>
      </c>
    </row>
    <row r="632" spans="1:11" x14ac:dyDescent="0.25">
      <c r="A632" s="6">
        <v>44557</v>
      </c>
      <c r="B632" t="s">
        <v>10</v>
      </c>
      <c r="C632" t="s">
        <v>18</v>
      </c>
      <c r="D632" t="s">
        <v>17</v>
      </c>
      <c r="E632">
        <v>90</v>
      </c>
      <c r="F632" s="3">
        <v>4613688.6399999997</v>
      </c>
      <c r="G632">
        <v>1297551.5</v>
      </c>
      <c r="H632">
        <v>3316137.13</v>
      </c>
      <c r="I632">
        <v>0.65</v>
      </c>
      <c r="J632">
        <v>4.45</v>
      </c>
      <c r="K632" t="str">
        <f t="shared" si="9"/>
        <v>Dec 2021</v>
      </c>
    </row>
    <row r="633" spans="1:11" x14ac:dyDescent="0.25">
      <c r="A633" s="6">
        <v>44607</v>
      </c>
      <c r="B633" t="s">
        <v>10</v>
      </c>
      <c r="C633" t="s">
        <v>13</v>
      </c>
      <c r="D633" t="s">
        <v>17</v>
      </c>
      <c r="E633">
        <v>373</v>
      </c>
      <c r="F633" s="3">
        <v>19111885.579999998</v>
      </c>
      <c r="G633">
        <v>4282986.67</v>
      </c>
      <c r="H633">
        <v>14828898.91</v>
      </c>
      <c r="I633">
        <v>2.57</v>
      </c>
      <c r="J633">
        <v>3.64</v>
      </c>
      <c r="K633" t="str">
        <f t="shared" si="9"/>
        <v>Feb 2022</v>
      </c>
    </row>
    <row r="634" spans="1:11" x14ac:dyDescent="0.25">
      <c r="A634" s="6">
        <v>44685</v>
      </c>
      <c r="B634" t="s">
        <v>10</v>
      </c>
      <c r="C634" t="s">
        <v>16</v>
      </c>
      <c r="D634" t="s">
        <v>17</v>
      </c>
      <c r="E634">
        <v>332</v>
      </c>
      <c r="F634" s="3">
        <v>26882181.440000001</v>
      </c>
      <c r="G634">
        <v>8966868.6500000004</v>
      </c>
      <c r="H634">
        <v>17915312.789999999</v>
      </c>
      <c r="I634">
        <v>3.62</v>
      </c>
      <c r="J634">
        <v>4.66</v>
      </c>
      <c r="K634" t="str">
        <f t="shared" si="9"/>
        <v>May 2022</v>
      </c>
    </row>
    <row r="635" spans="1:11" x14ac:dyDescent="0.25">
      <c r="A635" s="6">
        <v>45338</v>
      </c>
      <c r="B635" t="s">
        <v>10</v>
      </c>
      <c r="C635" t="s">
        <v>18</v>
      </c>
      <c r="D635" t="s">
        <v>12</v>
      </c>
      <c r="E635">
        <v>53</v>
      </c>
      <c r="F635" s="3">
        <v>2296899.64</v>
      </c>
      <c r="G635">
        <v>516396.75</v>
      </c>
      <c r="H635">
        <v>1780502.89</v>
      </c>
      <c r="I635">
        <v>2.93</v>
      </c>
      <c r="J635">
        <v>3.92</v>
      </c>
      <c r="K635" t="str">
        <f t="shared" si="9"/>
        <v>Feb 2024</v>
      </c>
    </row>
    <row r="636" spans="1:11" x14ac:dyDescent="0.25">
      <c r="A636" s="6">
        <v>44562</v>
      </c>
      <c r="B636" t="s">
        <v>10</v>
      </c>
      <c r="C636" t="s">
        <v>11</v>
      </c>
      <c r="D636" t="s">
        <v>14</v>
      </c>
      <c r="E636">
        <v>328</v>
      </c>
      <c r="F636" s="3">
        <v>28275419.870000001</v>
      </c>
      <c r="G636">
        <v>9094370.5299999993</v>
      </c>
      <c r="H636">
        <v>19181049.34</v>
      </c>
      <c r="I636">
        <v>2.96</v>
      </c>
      <c r="J636">
        <v>4.3</v>
      </c>
      <c r="K636" t="str">
        <f t="shared" si="9"/>
        <v>Jan 2022</v>
      </c>
    </row>
    <row r="637" spans="1:11" x14ac:dyDescent="0.25">
      <c r="A637" s="6">
        <v>44413</v>
      </c>
      <c r="B637" t="s">
        <v>10</v>
      </c>
      <c r="C637" t="s">
        <v>15</v>
      </c>
      <c r="D637" t="s">
        <v>12</v>
      </c>
      <c r="E637">
        <v>298</v>
      </c>
      <c r="F637" s="3">
        <v>11435214.359999999</v>
      </c>
      <c r="G637">
        <v>3745773.12</v>
      </c>
      <c r="H637">
        <v>7689441.2400000002</v>
      </c>
      <c r="I637">
        <v>3.75</v>
      </c>
      <c r="J637">
        <v>3.8</v>
      </c>
      <c r="K637" t="str">
        <f t="shared" si="9"/>
        <v>Aug 2021</v>
      </c>
    </row>
    <row r="638" spans="1:11" x14ac:dyDescent="0.25">
      <c r="A638" s="6">
        <v>44236</v>
      </c>
      <c r="B638" t="s">
        <v>10</v>
      </c>
      <c r="C638" t="s">
        <v>18</v>
      </c>
      <c r="D638" t="s">
        <v>12</v>
      </c>
      <c r="E638">
        <v>152</v>
      </c>
      <c r="F638" s="3">
        <v>7863101.2999999998</v>
      </c>
      <c r="G638">
        <v>2667254.37</v>
      </c>
      <c r="H638">
        <v>5195846.93</v>
      </c>
      <c r="I638">
        <v>1.54</v>
      </c>
      <c r="J638">
        <v>3.5</v>
      </c>
      <c r="K638" t="str">
        <f t="shared" si="9"/>
        <v>Feb 2021</v>
      </c>
    </row>
    <row r="639" spans="1:11" x14ac:dyDescent="0.25">
      <c r="A639" s="6">
        <v>44817</v>
      </c>
      <c r="B639" t="s">
        <v>10</v>
      </c>
      <c r="C639" t="s">
        <v>18</v>
      </c>
      <c r="D639" t="s">
        <v>17</v>
      </c>
      <c r="E639">
        <v>352</v>
      </c>
      <c r="F639" s="3">
        <v>16020058.220000001</v>
      </c>
      <c r="G639">
        <v>5414508.8200000003</v>
      </c>
      <c r="H639">
        <v>10605549.4</v>
      </c>
      <c r="I639">
        <v>3.79</v>
      </c>
      <c r="J639">
        <v>4.46</v>
      </c>
      <c r="K639" t="str">
        <f t="shared" si="9"/>
        <v>Sep 2022</v>
      </c>
    </row>
    <row r="640" spans="1:11" x14ac:dyDescent="0.25">
      <c r="A640" s="6">
        <v>45283</v>
      </c>
      <c r="B640" t="s">
        <v>10</v>
      </c>
      <c r="C640" t="s">
        <v>13</v>
      </c>
      <c r="D640" t="s">
        <v>17</v>
      </c>
      <c r="E640">
        <v>218</v>
      </c>
      <c r="F640" s="3">
        <v>17802620.300000001</v>
      </c>
      <c r="G640">
        <v>5616266.6900000004</v>
      </c>
      <c r="H640">
        <v>12186353.6</v>
      </c>
      <c r="I640">
        <v>1.86</v>
      </c>
      <c r="J640">
        <v>3.99</v>
      </c>
      <c r="K640" t="str">
        <f t="shared" si="9"/>
        <v>Dec 2023</v>
      </c>
    </row>
    <row r="641" spans="1:11" x14ac:dyDescent="0.25">
      <c r="A641" s="6">
        <v>44879</v>
      </c>
      <c r="B641" t="s">
        <v>10</v>
      </c>
      <c r="C641" t="s">
        <v>13</v>
      </c>
      <c r="D641" t="s">
        <v>12</v>
      </c>
      <c r="E641">
        <v>74</v>
      </c>
      <c r="F641" s="3">
        <v>3618951.38</v>
      </c>
      <c r="G641">
        <v>1251115.95</v>
      </c>
      <c r="H641">
        <v>2367835.4300000002</v>
      </c>
      <c r="I641">
        <v>1.06</v>
      </c>
      <c r="J641">
        <v>4.01</v>
      </c>
      <c r="K641" t="str">
        <f t="shared" si="9"/>
        <v>Nov 2022</v>
      </c>
    </row>
    <row r="642" spans="1:11" x14ac:dyDescent="0.25">
      <c r="A642" s="6">
        <v>45197</v>
      </c>
      <c r="B642" t="s">
        <v>10</v>
      </c>
      <c r="C642" t="s">
        <v>11</v>
      </c>
      <c r="D642" t="s">
        <v>12</v>
      </c>
      <c r="E642">
        <v>96</v>
      </c>
      <c r="F642" s="3">
        <v>7619341.7800000003</v>
      </c>
      <c r="G642">
        <v>1546942.16</v>
      </c>
      <c r="H642">
        <v>6072399.6299999999</v>
      </c>
      <c r="I642">
        <v>3.89</v>
      </c>
      <c r="J642">
        <v>4.09</v>
      </c>
      <c r="K642" t="str">
        <f t="shared" ref="K642:K705" si="10">TEXT(A642,"mmm yyyy")</f>
        <v>Sep 2023</v>
      </c>
    </row>
    <row r="643" spans="1:11" x14ac:dyDescent="0.25">
      <c r="A643" s="6">
        <v>44080</v>
      </c>
      <c r="B643" t="s">
        <v>10</v>
      </c>
      <c r="C643" t="s">
        <v>15</v>
      </c>
      <c r="D643" t="s">
        <v>12</v>
      </c>
      <c r="E643">
        <v>198</v>
      </c>
      <c r="F643" s="3">
        <v>8559159.7899999991</v>
      </c>
      <c r="G643">
        <v>2771987.15</v>
      </c>
      <c r="H643">
        <v>5787172.6299999999</v>
      </c>
      <c r="I643">
        <v>2.37</v>
      </c>
      <c r="J643">
        <v>4.63</v>
      </c>
      <c r="K643" t="str">
        <f t="shared" si="10"/>
        <v>Sep 2020</v>
      </c>
    </row>
    <row r="644" spans="1:11" x14ac:dyDescent="0.25">
      <c r="A644" s="6">
        <v>44645</v>
      </c>
      <c r="B644" t="s">
        <v>10</v>
      </c>
      <c r="C644" t="s">
        <v>11</v>
      </c>
      <c r="D644" t="s">
        <v>17</v>
      </c>
      <c r="E644">
        <v>81</v>
      </c>
      <c r="F644" s="3">
        <v>3580416.41</v>
      </c>
      <c r="G644">
        <v>873169.24</v>
      </c>
      <c r="H644">
        <v>2707247.17</v>
      </c>
      <c r="I644">
        <v>3.13</v>
      </c>
      <c r="J644">
        <v>4.93</v>
      </c>
      <c r="K644" t="str">
        <f t="shared" si="10"/>
        <v>Mar 2022</v>
      </c>
    </row>
    <row r="645" spans="1:11" x14ac:dyDescent="0.25">
      <c r="A645" s="6">
        <v>45398</v>
      </c>
      <c r="B645" t="s">
        <v>10</v>
      </c>
      <c r="C645" t="s">
        <v>18</v>
      </c>
      <c r="D645" t="s">
        <v>17</v>
      </c>
      <c r="E645">
        <v>59</v>
      </c>
      <c r="F645" s="3">
        <v>3628659.97</v>
      </c>
      <c r="G645">
        <v>1188959.28</v>
      </c>
      <c r="H645">
        <v>2439700.69</v>
      </c>
      <c r="I645">
        <v>4.7699999999999996</v>
      </c>
      <c r="J645">
        <v>4.45</v>
      </c>
      <c r="K645" t="str">
        <f t="shared" si="10"/>
        <v>Apr 2024</v>
      </c>
    </row>
    <row r="646" spans="1:11" x14ac:dyDescent="0.25">
      <c r="A646" s="6">
        <v>45525</v>
      </c>
      <c r="B646" t="s">
        <v>10</v>
      </c>
      <c r="C646" t="s">
        <v>16</v>
      </c>
      <c r="D646" t="s">
        <v>14</v>
      </c>
      <c r="E646">
        <v>172</v>
      </c>
      <c r="F646" s="3">
        <v>13200189.970000001</v>
      </c>
      <c r="G646">
        <v>5009429.95</v>
      </c>
      <c r="H646">
        <v>8190760.0199999996</v>
      </c>
      <c r="I646">
        <v>2.81</v>
      </c>
      <c r="J646">
        <v>4.26</v>
      </c>
      <c r="K646" t="str">
        <f t="shared" si="10"/>
        <v>Aug 2024</v>
      </c>
    </row>
    <row r="647" spans="1:11" x14ac:dyDescent="0.25">
      <c r="A647" s="6">
        <v>44783</v>
      </c>
      <c r="B647" t="s">
        <v>10</v>
      </c>
      <c r="C647" t="s">
        <v>11</v>
      </c>
      <c r="D647" t="s">
        <v>14</v>
      </c>
      <c r="E647">
        <v>341</v>
      </c>
      <c r="F647" s="3">
        <v>30172737.079999998</v>
      </c>
      <c r="G647">
        <v>9360707.6099999994</v>
      </c>
      <c r="H647">
        <v>20812029.48</v>
      </c>
      <c r="I647">
        <v>1.22</v>
      </c>
      <c r="J647">
        <v>3.77</v>
      </c>
      <c r="K647" t="str">
        <f t="shared" si="10"/>
        <v>Aug 2022</v>
      </c>
    </row>
    <row r="648" spans="1:11" x14ac:dyDescent="0.25">
      <c r="A648" s="6">
        <v>44130</v>
      </c>
      <c r="B648" t="s">
        <v>10</v>
      </c>
      <c r="C648" t="s">
        <v>11</v>
      </c>
      <c r="D648" t="s">
        <v>12</v>
      </c>
      <c r="E648">
        <v>472</v>
      </c>
      <c r="F648" s="3">
        <v>28506151.09</v>
      </c>
      <c r="G648">
        <v>6151658.6399999997</v>
      </c>
      <c r="H648">
        <v>22354492.449999999</v>
      </c>
      <c r="I648">
        <v>3.63</v>
      </c>
      <c r="J648">
        <v>4.59</v>
      </c>
      <c r="K648" t="str">
        <f t="shared" si="10"/>
        <v>Oct 2020</v>
      </c>
    </row>
    <row r="649" spans="1:11" x14ac:dyDescent="0.25">
      <c r="A649" s="6">
        <v>45266</v>
      </c>
      <c r="B649" t="s">
        <v>10</v>
      </c>
      <c r="C649" t="s">
        <v>15</v>
      </c>
      <c r="D649" t="s">
        <v>12</v>
      </c>
      <c r="E649">
        <v>175</v>
      </c>
      <c r="F649" s="3">
        <v>9441814.3100000005</v>
      </c>
      <c r="G649">
        <v>3718454.8</v>
      </c>
      <c r="H649">
        <v>5723359.5099999998</v>
      </c>
      <c r="I649">
        <v>0.73</v>
      </c>
      <c r="J649">
        <v>3.71</v>
      </c>
      <c r="K649" t="str">
        <f t="shared" si="10"/>
        <v>Dec 2023</v>
      </c>
    </row>
    <row r="650" spans="1:11" x14ac:dyDescent="0.25">
      <c r="A650" s="6">
        <v>43957</v>
      </c>
      <c r="B650" t="s">
        <v>10</v>
      </c>
      <c r="C650" t="s">
        <v>13</v>
      </c>
      <c r="D650" t="s">
        <v>14</v>
      </c>
      <c r="E650">
        <v>119</v>
      </c>
      <c r="F650" s="3">
        <v>6361570.4199999999</v>
      </c>
      <c r="G650">
        <v>1299636.43</v>
      </c>
      <c r="H650">
        <v>5061933.99</v>
      </c>
      <c r="I650">
        <v>4.3499999999999996</v>
      </c>
      <c r="J650">
        <v>4.55</v>
      </c>
      <c r="K650" t="str">
        <f t="shared" si="10"/>
        <v>May 2020</v>
      </c>
    </row>
    <row r="651" spans="1:11" x14ac:dyDescent="0.25">
      <c r="A651" s="6">
        <v>44111</v>
      </c>
      <c r="B651" t="s">
        <v>10</v>
      </c>
      <c r="C651" t="s">
        <v>11</v>
      </c>
      <c r="D651" t="s">
        <v>12</v>
      </c>
      <c r="E651">
        <v>125</v>
      </c>
      <c r="F651" s="3">
        <v>8988505.0800000001</v>
      </c>
      <c r="G651">
        <v>2812819.24</v>
      </c>
      <c r="H651">
        <v>6175685.8399999999</v>
      </c>
      <c r="I651">
        <v>2.97</v>
      </c>
      <c r="J651">
        <v>3.97</v>
      </c>
      <c r="K651" t="str">
        <f t="shared" si="10"/>
        <v>Oct 2020</v>
      </c>
    </row>
    <row r="652" spans="1:11" x14ac:dyDescent="0.25">
      <c r="A652" s="6">
        <v>44125</v>
      </c>
      <c r="B652" t="s">
        <v>10</v>
      </c>
      <c r="C652" t="s">
        <v>18</v>
      </c>
      <c r="D652" t="s">
        <v>14</v>
      </c>
      <c r="E652">
        <v>320</v>
      </c>
      <c r="F652" s="3">
        <v>20117438.620000001</v>
      </c>
      <c r="G652">
        <v>6488931.04</v>
      </c>
      <c r="H652">
        <v>13628507.58</v>
      </c>
      <c r="I652">
        <v>4.58</v>
      </c>
      <c r="J652">
        <v>3.52</v>
      </c>
      <c r="K652" t="str">
        <f t="shared" si="10"/>
        <v>Oct 2020</v>
      </c>
    </row>
    <row r="653" spans="1:11" x14ac:dyDescent="0.25">
      <c r="A653" s="6">
        <v>44745</v>
      </c>
      <c r="B653" t="s">
        <v>10</v>
      </c>
      <c r="C653" t="s">
        <v>16</v>
      </c>
      <c r="D653" t="s">
        <v>17</v>
      </c>
      <c r="E653">
        <v>92</v>
      </c>
      <c r="F653" s="3">
        <v>7465326.4800000004</v>
      </c>
      <c r="G653">
        <v>2969082.8</v>
      </c>
      <c r="H653">
        <v>4496243.68</v>
      </c>
      <c r="I653">
        <v>3.67</v>
      </c>
      <c r="J653">
        <v>4.96</v>
      </c>
      <c r="K653" t="str">
        <f t="shared" si="10"/>
        <v>Jul 2022</v>
      </c>
    </row>
    <row r="654" spans="1:11" x14ac:dyDescent="0.25">
      <c r="A654" s="6">
        <v>44793</v>
      </c>
      <c r="B654" t="s">
        <v>10</v>
      </c>
      <c r="C654" t="s">
        <v>18</v>
      </c>
      <c r="D654" t="s">
        <v>14</v>
      </c>
      <c r="E654">
        <v>238</v>
      </c>
      <c r="F654" s="3">
        <v>9606462.5199999996</v>
      </c>
      <c r="G654">
        <v>2768619.71</v>
      </c>
      <c r="H654">
        <v>6837842.8200000003</v>
      </c>
      <c r="I654">
        <v>2.75</v>
      </c>
      <c r="J654">
        <v>4.5599999999999996</v>
      </c>
      <c r="K654" t="str">
        <f t="shared" si="10"/>
        <v>Aug 2022</v>
      </c>
    </row>
    <row r="655" spans="1:11" x14ac:dyDescent="0.25">
      <c r="A655" s="6">
        <v>45529</v>
      </c>
      <c r="B655" t="s">
        <v>10</v>
      </c>
      <c r="C655" t="s">
        <v>15</v>
      </c>
      <c r="D655" t="s">
        <v>17</v>
      </c>
      <c r="E655">
        <v>482</v>
      </c>
      <c r="F655" s="3">
        <v>31204873.370000001</v>
      </c>
      <c r="G655">
        <v>9800851.9499999993</v>
      </c>
      <c r="H655">
        <v>21404021.43</v>
      </c>
      <c r="I655">
        <v>1.89</v>
      </c>
      <c r="J655">
        <v>4.22</v>
      </c>
      <c r="K655" t="str">
        <f t="shared" si="10"/>
        <v>Aug 2024</v>
      </c>
    </row>
    <row r="656" spans="1:11" x14ac:dyDescent="0.25">
      <c r="A656" s="6">
        <v>43932</v>
      </c>
      <c r="B656" t="s">
        <v>10</v>
      </c>
      <c r="C656" t="s">
        <v>15</v>
      </c>
      <c r="D656" t="s">
        <v>14</v>
      </c>
      <c r="E656">
        <v>62</v>
      </c>
      <c r="F656" s="3">
        <v>5448760.4900000002</v>
      </c>
      <c r="G656">
        <v>1400973.57</v>
      </c>
      <c r="H656">
        <v>4047786.92</v>
      </c>
      <c r="I656">
        <v>4.79</v>
      </c>
      <c r="J656">
        <v>3.84</v>
      </c>
      <c r="K656" t="str">
        <f t="shared" si="10"/>
        <v>Apr 2020</v>
      </c>
    </row>
    <row r="657" spans="1:11" x14ac:dyDescent="0.25">
      <c r="A657" s="6">
        <v>44054</v>
      </c>
      <c r="B657" t="s">
        <v>10</v>
      </c>
      <c r="C657" t="s">
        <v>11</v>
      </c>
      <c r="D657" t="s">
        <v>12</v>
      </c>
      <c r="E657">
        <v>92</v>
      </c>
      <c r="F657" s="3">
        <v>7598396.54</v>
      </c>
      <c r="G657">
        <v>2800353.78</v>
      </c>
      <c r="H657">
        <v>4798042.76</v>
      </c>
      <c r="I657">
        <v>1.89</v>
      </c>
      <c r="J657">
        <v>3.94</v>
      </c>
      <c r="K657" t="str">
        <f t="shared" si="10"/>
        <v>Aug 2020</v>
      </c>
    </row>
    <row r="658" spans="1:11" x14ac:dyDescent="0.25">
      <c r="A658" s="6">
        <v>45166</v>
      </c>
      <c r="B658" t="s">
        <v>10</v>
      </c>
      <c r="C658" t="s">
        <v>13</v>
      </c>
      <c r="D658" t="s">
        <v>17</v>
      </c>
      <c r="E658">
        <v>425</v>
      </c>
      <c r="F658" s="3">
        <v>33958602.100000001</v>
      </c>
      <c r="G658">
        <v>10177288.039999999</v>
      </c>
      <c r="H658">
        <v>23781314.059999999</v>
      </c>
      <c r="I658">
        <v>0.82</v>
      </c>
      <c r="J658">
        <v>3.97</v>
      </c>
      <c r="K658" t="str">
        <f t="shared" si="10"/>
        <v>Aug 2023</v>
      </c>
    </row>
    <row r="659" spans="1:11" x14ac:dyDescent="0.25">
      <c r="A659" s="6">
        <v>44290</v>
      </c>
      <c r="B659" t="s">
        <v>10</v>
      </c>
      <c r="C659" t="s">
        <v>15</v>
      </c>
      <c r="D659" t="s">
        <v>12</v>
      </c>
      <c r="E659">
        <v>424</v>
      </c>
      <c r="F659" s="3">
        <v>28173116.329999998</v>
      </c>
      <c r="G659">
        <v>6576561.1100000003</v>
      </c>
      <c r="H659">
        <v>21596555.210000001</v>
      </c>
      <c r="I659">
        <v>4.58</v>
      </c>
      <c r="J659">
        <v>3.52</v>
      </c>
      <c r="K659" t="str">
        <f t="shared" si="10"/>
        <v>Apr 2021</v>
      </c>
    </row>
    <row r="660" spans="1:11" x14ac:dyDescent="0.25">
      <c r="A660" s="6">
        <v>44220</v>
      </c>
      <c r="B660" t="s">
        <v>10</v>
      </c>
      <c r="C660" t="s">
        <v>13</v>
      </c>
      <c r="D660" t="s">
        <v>17</v>
      </c>
      <c r="E660">
        <v>377</v>
      </c>
      <c r="F660" s="3">
        <v>14269815.289999999</v>
      </c>
      <c r="G660">
        <v>4141503.76</v>
      </c>
      <c r="H660">
        <v>10128311.529999999</v>
      </c>
      <c r="I660">
        <v>1.79</v>
      </c>
      <c r="J660">
        <v>3.96</v>
      </c>
      <c r="K660" t="str">
        <f t="shared" si="10"/>
        <v>Jan 2021</v>
      </c>
    </row>
    <row r="661" spans="1:11" x14ac:dyDescent="0.25">
      <c r="A661" s="6">
        <v>45295</v>
      </c>
      <c r="B661" t="s">
        <v>10</v>
      </c>
      <c r="C661" t="s">
        <v>15</v>
      </c>
      <c r="D661" t="s">
        <v>12</v>
      </c>
      <c r="E661">
        <v>332</v>
      </c>
      <c r="F661" s="3">
        <v>19136828.710000001</v>
      </c>
      <c r="G661">
        <v>4076165.83</v>
      </c>
      <c r="H661">
        <v>15060662.880000001</v>
      </c>
      <c r="I661">
        <v>2.44</v>
      </c>
      <c r="J661">
        <v>4.82</v>
      </c>
      <c r="K661" t="str">
        <f t="shared" si="10"/>
        <v>Jan 2024</v>
      </c>
    </row>
    <row r="662" spans="1:11" x14ac:dyDescent="0.25">
      <c r="A662" s="6">
        <v>44411</v>
      </c>
      <c r="B662" t="s">
        <v>10</v>
      </c>
      <c r="C662" t="s">
        <v>13</v>
      </c>
      <c r="D662" t="s">
        <v>17</v>
      </c>
      <c r="E662">
        <v>118</v>
      </c>
      <c r="F662" s="3">
        <v>4573612.2699999996</v>
      </c>
      <c r="G662">
        <v>1112522.18</v>
      </c>
      <c r="H662">
        <v>3461090.09</v>
      </c>
      <c r="I662">
        <v>1.79</v>
      </c>
      <c r="J662">
        <v>4.1500000000000004</v>
      </c>
      <c r="K662" t="str">
        <f t="shared" si="10"/>
        <v>Aug 2021</v>
      </c>
    </row>
    <row r="663" spans="1:11" x14ac:dyDescent="0.25">
      <c r="A663" s="6">
        <v>45559</v>
      </c>
      <c r="B663" t="s">
        <v>10</v>
      </c>
      <c r="C663" t="s">
        <v>18</v>
      </c>
      <c r="D663" t="s">
        <v>12</v>
      </c>
      <c r="E663">
        <v>68</v>
      </c>
      <c r="F663" s="3">
        <v>4914003.1399999997</v>
      </c>
      <c r="G663">
        <v>1894730.43</v>
      </c>
      <c r="H663">
        <v>3019272.71</v>
      </c>
      <c r="I663">
        <v>1.42</v>
      </c>
      <c r="J663">
        <v>4.07</v>
      </c>
      <c r="K663" t="str">
        <f t="shared" si="10"/>
        <v>Sep 2024</v>
      </c>
    </row>
    <row r="664" spans="1:11" x14ac:dyDescent="0.25">
      <c r="A664" s="6">
        <v>44795</v>
      </c>
      <c r="B664" t="s">
        <v>10</v>
      </c>
      <c r="C664" t="s">
        <v>13</v>
      </c>
      <c r="D664" t="s">
        <v>17</v>
      </c>
      <c r="E664">
        <v>338</v>
      </c>
      <c r="F664" s="3">
        <v>23759842.449999999</v>
      </c>
      <c r="G664">
        <v>6313089.2199999997</v>
      </c>
      <c r="H664">
        <v>17446753.219999999</v>
      </c>
      <c r="I664">
        <v>3.35</v>
      </c>
      <c r="J664">
        <v>3.8</v>
      </c>
      <c r="K664" t="str">
        <f t="shared" si="10"/>
        <v>Aug 2022</v>
      </c>
    </row>
    <row r="665" spans="1:11" x14ac:dyDescent="0.25">
      <c r="A665" s="6">
        <v>45113</v>
      </c>
      <c r="B665" t="s">
        <v>10</v>
      </c>
      <c r="C665" t="s">
        <v>15</v>
      </c>
      <c r="D665" t="s">
        <v>12</v>
      </c>
      <c r="E665">
        <v>452</v>
      </c>
      <c r="F665" s="3">
        <v>35341782.649999999</v>
      </c>
      <c r="G665">
        <v>9887904.9000000004</v>
      </c>
      <c r="H665">
        <v>25453877.760000002</v>
      </c>
      <c r="I665">
        <v>4.96</v>
      </c>
      <c r="J665">
        <v>3.99</v>
      </c>
      <c r="K665" t="str">
        <f t="shared" si="10"/>
        <v>Jul 2023</v>
      </c>
    </row>
    <row r="666" spans="1:11" x14ac:dyDescent="0.25">
      <c r="A666" s="6">
        <v>44370</v>
      </c>
      <c r="B666" t="s">
        <v>10</v>
      </c>
      <c r="C666" t="s">
        <v>16</v>
      </c>
      <c r="D666" t="s">
        <v>14</v>
      </c>
      <c r="E666">
        <v>368</v>
      </c>
      <c r="F666" s="3">
        <v>21624063.09</v>
      </c>
      <c r="G666">
        <v>4409714.1399999997</v>
      </c>
      <c r="H666">
        <v>17214348.960000001</v>
      </c>
      <c r="I666">
        <v>0.8</v>
      </c>
      <c r="J666">
        <v>4.28</v>
      </c>
      <c r="K666" t="str">
        <f t="shared" si="10"/>
        <v>Jun 2021</v>
      </c>
    </row>
    <row r="667" spans="1:11" x14ac:dyDescent="0.25">
      <c r="A667" s="6">
        <v>44976</v>
      </c>
      <c r="B667" t="s">
        <v>10</v>
      </c>
      <c r="C667" t="s">
        <v>16</v>
      </c>
      <c r="D667" t="s">
        <v>14</v>
      </c>
      <c r="E667">
        <v>66</v>
      </c>
      <c r="F667" s="3">
        <v>2684330.5499999998</v>
      </c>
      <c r="G667">
        <v>779645.18</v>
      </c>
      <c r="H667">
        <v>1904685.36</v>
      </c>
      <c r="I667">
        <v>4.91</v>
      </c>
      <c r="J667">
        <v>4.33</v>
      </c>
      <c r="K667" t="str">
        <f t="shared" si="10"/>
        <v>Feb 2023</v>
      </c>
    </row>
    <row r="668" spans="1:11" x14ac:dyDescent="0.25">
      <c r="A668" s="6">
        <v>44497</v>
      </c>
      <c r="B668" t="s">
        <v>10</v>
      </c>
      <c r="C668" t="s">
        <v>16</v>
      </c>
      <c r="D668" t="s">
        <v>14</v>
      </c>
      <c r="E668">
        <v>131</v>
      </c>
      <c r="F668" s="3">
        <v>9661314.6500000004</v>
      </c>
      <c r="G668">
        <v>3047702.99</v>
      </c>
      <c r="H668">
        <v>6613611.6699999999</v>
      </c>
      <c r="I668">
        <v>2.06</v>
      </c>
      <c r="J668">
        <v>4.0999999999999996</v>
      </c>
      <c r="K668" t="str">
        <f t="shared" si="10"/>
        <v>Oct 2021</v>
      </c>
    </row>
    <row r="669" spans="1:11" x14ac:dyDescent="0.25">
      <c r="A669" s="6">
        <v>45512</v>
      </c>
      <c r="B669" t="s">
        <v>10</v>
      </c>
      <c r="C669" t="s">
        <v>18</v>
      </c>
      <c r="D669" t="s">
        <v>14</v>
      </c>
      <c r="E669">
        <v>436</v>
      </c>
      <c r="F669" s="3">
        <v>20183883.870000001</v>
      </c>
      <c r="G669">
        <v>6123630.1200000001</v>
      </c>
      <c r="H669">
        <v>14060253.75</v>
      </c>
      <c r="I669">
        <v>1.71</v>
      </c>
      <c r="J669">
        <v>3.93</v>
      </c>
      <c r="K669" t="str">
        <f t="shared" si="10"/>
        <v>Aug 2024</v>
      </c>
    </row>
    <row r="670" spans="1:11" x14ac:dyDescent="0.25">
      <c r="A670" s="6">
        <v>44168</v>
      </c>
      <c r="B670" t="s">
        <v>10</v>
      </c>
      <c r="C670" t="s">
        <v>13</v>
      </c>
      <c r="D670" t="s">
        <v>12</v>
      </c>
      <c r="E670">
        <v>123</v>
      </c>
      <c r="F670" s="3">
        <v>8971353.9199999999</v>
      </c>
      <c r="G670">
        <v>3330270.8</v>
      </c>
      <c r="H670">
        <v>5641083.1200000001</v>
      </c>
      <c r="I670">
        <v>3.18</v>
      </c>
      <c r="J670">
        <v>3.76</v>
      </c>
      <c r="K670" t="str">
        <f t="shared" si="10"/>
        <v>Dec 2020</v>
      </c>
    </row>
    <row r="671" spans="1:11" x14ac:dyDescent="0.25">
      <c r="A671" s="6">
        <v>45277</v>
      </c>
      <c r="B671" t="s">
        <v>10</v>
      </c>
      <c r="C671" t="s">
        <v>18</v>
      </c>
      <c r="D671" t="s">
        <v>17</v>
      </c>
      <c r="E671">
        <v>279</v>
      </c>
      <c r="F671" s="3">
        <v>10813586.84</v>
      </c>
      <c r="G671">
        <v>3394655.79</v>
      </c>
      <c r="H671">
        <v>7418931.0499999998</v>
      </c>
      <c r="I671">
        <v>3.63</v>
      </c>
      <c r="J671">
        <v>4.1900000000000004</v>
      </c>
      <c r="K671" t="str">
        <f t="shared" si="10"/>
        <v>Dec 2023</v>
      </c>
    </row>
    <row r="672" spans="1:11" x14ac:dyDescent="0.25">
      <c r="A672" s="6">
        <v>45159</v>
      </c>
      <c r="B672" t="s">
        <v>10</v>
      </c>
      <c r="C672" t="s">
        <v>13</v>
      </c>
      <c r="D672" t="s">
        <v>12</v>
      </c>
      <c r="E672">
        <v>416</v>
      </c>
      <c r="F672" s="3">
        <v>27221311.890000001</v>
      </c>
      <c r="G672">
        <v>7395312.29</v>
      </c>
      <c r="H672">
        <v>19825999.600000001</v>
      </c>
      <c r="I672">
        <v>3.67</v>
      </c>
      <c r="J672">
        <v>4.0599999999999996</v>
      </c>
      <c r="K672" t="str">
        <f t="shared" si="10"/>
        <v>Aug 2023</v>
      </c>
    </row>
    <row r="673" spans="1:11" x14ac:dyDescent="0.25">
      <c r="A673" s="6">
        <v>45511</v>
      </c>
      <c r="B673" t="s">
        <v>10</v>
      </c>
      <c r="C673" t="s">
        <v>18</v>
      </c>
      <c r="D673" t="s">
        <v>17</v>
      </c>
      <c r="E673">
        <v>332</v>
      </c>
      <c r="F673" s="3">
        <v>23964240.02</v>
      </c>
      <c r="G673">
        <v>6198926.4500000002</v>
      </c>
      <c r="H673">
        <v>17765313.57</v>
      </c>
      <c r="I673">
        <v>3.25</v>
      </c>
      <c r="J673">
        <v>3.97</v>
      </c>
      <c r="K673" t="str">
        <f t="shared" si="10"/>
        <v>Aug 2024</v>
      </c>
    </row>
    <row r="674" spans="1:11" x14ac:dyDescent="0.25">
      <c r="A674" s="6">
        <v>45110</v>
      </c>
      <c r="B674" t="s">
        <v>10</v>
      </c>
      <c r="C674" t="s">
        <v>18</v>
      </c>
      <c r="D674" t="s">
        <v>14</v>
      </c>
      <c r="E674">
        <v>149</v>
      </c>
      <c r="F674" s="3">
        <v>7259852.1900000004</v>
      </c>
      <c r="G674">
        <v>2901010.05</v>
      </c>
      <c r="H674">
        <v>4358842.1399999997</v>
      </c>
      <c r="I674">
        <v>1.28</v>
      </c>
      <c r="J674">
        <v>3.68</v>
      </c>
      <c r="K674" t="str">
        <f t="shared" si="10"/>
        <v>Jul 2023</v>
      </c>
    </row>
    <row r="675" spans="1:11" x14ac:dyDescent="0.25">
      <c r="A675" s="6">
        <v>44911</v>
      </c>
      <c r="B675" t="s">
        <v>10</v>
      </c>
      <c r="C675" t="s">
        <v>13</v>
      </c>
      <c r="D675" t="s">
        <v>17</v>
      </c>
      <c r="E675">
        <v>315</v>
      </c>
      <c r="F675" s="3">
        <v>21632372.460000001</v>
      </c>
      <c r="G675">
        <v>7731042.1299999999</v>
      </c>
      <c r="H675">
        <v>13901330.33</v>
      </c>
      <c r="I675">
        <v>4.7300000000000004</v>
      </c>
      <c r="J675">
        <v>3.51</v>
      </c>
      <c r="K675" t="str">
        <f t="shared" si="10"/>
        <v>Dec 2022</v>
      </c>
    </row>
    <row r="676" spans="1:11" x14ac:dyDescent="0.25">
      <c r="A676" s="6">
        <v>44605</v>
      </c>
      <c r="B676" t="s">
        <v>10</v>
      </c>
      <c r="C676" t="s">
        <v>11</v>
      </c>
      <c r="D676" t="s">
        <v>17</v>
      </c>
      <c r="E676">
        <v>297</v>
      </c>
      <c r="F676" s="3">
        <v>19993215.199999999</v>
      </c>
      <c r="G676">
        <v>5193679.12</v>
      </c>
      <c r="H676">
        <v>14799536.08</v>
      </c>
      <c r="I676">
        <v>3.56</v>
      </c>
      <c r="J676">
        <v>4.1100000000000003</v>
      </c>
      <c r="K676" t="str">
        <f t="shared" si="10"/>
        <v>Feb 2022</v>
      </c>
    </row>
    <row r="677" spans="1:11" x14ac:dyDescent="0.25">
      <c r="A677" s="6">
        <v>45490</v>
      </c>
      <c r="B677" t="s">
        <v>10</v>
      </c>
      <c r="C677" t="s">
        <v>11</v>
      </c>
      <c r="D677" t="s">
        <v>12</v>
      </c>
      <c r="E677">
        <v>418</v>
      </c>
      <c r="F677" s="3">
        <v>23495254.66</v>
      </c>
      <c r="G677">
        <v>4998534.8899999997</v>
      </c>
      <c r="H677">
        <v>18496719.77</v>
      </c>
      <c r="I677">
        <v>2.94</v>
      </c>
      <c r="J677">
        <v>4.91</v>
      </c>
      <c r="K677" t="str">
        <f t="shared" si="10"/>
        <v>Jul 2024</v>
      </c>
    </row>
    <row r="678" spans="1:11" x14ac:dyDescent="0.25">
      <c r="A678" s="6">
        <v>45431</v>
      </c>
      <c r="B678" t="s">
        <v>10</v>
      </c>
      <c r="C678" t="s">
        <v>11</v>
      </c>
      <c r="D678" t="s">
        <v>17</v>
      </c>
      <c r="E678">
        <v>187</v>
      </c>
      <c r="F678" s="3">
        <v>10649078.24</v>
      </c>
      <c r="G678">
        <v>2471008.69</v>
      </c>
      <c r="H678">
        <v>8178069.5499999998</v>
      </c>
      <c r="I678">
        <v>1.35</v>
      </c>
      <c r="J678">
        <v>4.51</v>
      </c>
      <c r="K678" t="str">
        <f t="shared" si="10"/>
        <v>May 2024</v>
      </c>
    </row>
    <row r="679" spans="1:11" x14ac:dyDescent="0.25">
      <c r="A679" s="6">
        <v>44420</v>
      </c>
      <c r="B679" t="s">
        <v>10</v>
      </c>
      <c r="C679" t="s">
        <v>15</v>
      </c>
      <c r="D679" t="s">
        <v>14</v>
      </c>
      <c r="E679">
        <v>225</v>
      </c>
      <c r="F679" s="3">
        <v>16104307.140000001</v>
      </c>
      <c r="G679">
        <v>4837603.76</v>
      </c>
      <c r="H679">
        <v>11266703.369999999</v>
      </c>
      <c r="I679">
        <v>3.84</v>
      </c>
      <c r="J679">
        <v>3.99</v>
      </c>
      <c r="K679" t="str">
        <f t="shared" si="10"/>
        <v>Aug 2021</v>
      </c>
    </row>
    <row r="680" spans="1:11" x14ac:dyDescent="0.25">
      <c r="A680" s="6">
        <v>45510</v>
      </c>
      <c r="B680" t="s">
        <v>10</v>
      </c>
      <c r="C680" t="s">
        <v>18</v>
      </c>
      <c r="D680" t="s">
        <v>14</v>
      </c>
      <c r="E680">
        <v>293</v>
      </c>
      <c r="F680" s="3">
        <v>22315213.800000001</v>
      </c>
      <c r="G680">
        <v>4844415.7300000004</v>
      </c>
      <c r="H680">
        <v>17470798.07</v>
      </c>
      <c r="I680">
        <v>2.4500000000000002</v>
      </c>
      <c r="J680">
        <v>3.89</v>
      </c>
      <c r="K680" t="str">
        <f t="shared" si="10"/>
        <v>Aug 2024</v>
      </c>
    </row>
    <row r="681" spans="1:11" x14ac:dyDescent="0.25">
      <c r="A681" s="6">
        <v>45318</v>
      </c>
      <c r="B681" t="s">
        <v>10</v>
      </c>
      <c r="C681" t="s">
        <v>11</v>
      </c>
      <c r="D681" t="s">
        <v>14</v>
      </c>
      <c r="E681">
        <v>142</v>
      </c>
      <c r="F681" s="3">
        <v>8974393.1400000006</v>
      </c>
      <c r="G681">
        <v>2802909.42</v>
      </c>
      <c r="H681">
        <v>6171483.71</v>
      </c>
      <c r="I681">
        <v>4.9800000000000004</v>
      </c>
      <c r="J681">
        <v>3.84</v>
      </c>
      <c r="K681" t="str">
        <f t="shared" si="10"/>
        <v>Jan 2024</v>
      </c>
    </row>
    <row r="682" spans="1:11" x14ac:dyDescent="0.25">
      <c r="A682" s="6">
        <v>44608</v>
      </c>
      <c r="B682" t="s">
        <v>10</v>
      </c>
      <c r="C682" t="s">
        <v>15</v>
      </c>
      <c r="D682" t="s">
        <v>14</v>
      </c>
      <c r="E682">
        <v>92</v>
      </c>
      <c r="F682" s="3">
        <v>6446702.5300000003</v>
      </c>
      <c r="G682">
        <v>2266632.14</v>
      </c>
      <c r="H682">
        <v>4180070.39</v>
      </c>
      <c r="I682">
        <v>3.71</v>
      </c>
      <c r="J682">
        <v>3.64</v>
      </c>
      <c r="K682" t="str">
        <f t="shared" si="10"/>
        <v>Feb 2022</v>
      </c>
    </row>
    <row r="683" spans="1:11" x14ac:dyDescent="0.25">
      <c r="A683" s="6">
        <v>44572</v>
      </c>
      <c r="B683" t="s">
        <v>10</v>
      </c>
      <c r="C683" t="s">
        <v>16</v>
      </c>
      <c r="D683" t="s">
        <v>17</v>
      </c>
      <c r="E683">
        <v>418</v>
      </c>
      <c r="F683" s="3">
        <v>33444316.329999998</v>
      </c>
      <c r="G683">
        <v>13043159.109999999</v>
      </c>
      <c r="H683">
        <v>20401157.219999999</v>
      </c>
      <c r="I683">
        <v>4.5999999999999996</v>
      </c>
      <c r="J683">
        <v>3.54</v>
      </c>
      <c r="K683" t="str">
        <f t="shared" si="10"/>
        <v>Jan 2022</v>
      </c>
    </row>
    <row r="684" spans="1:11" x14ac:dyDescent="0.25">
      <c r="A684" s="6">
        <v>44019</v>
      </c>
      <c r="B684" t="s">
        <v>10</v>
      </c>
      <c r="C684" t="s">
        <v>16</v>
      </c>
      <c r="D684" t="s">
        <v>14</v>
      </c>
      <c r="E684">
        <v>274</v>
      </c>
      <c r="F684" s="3">
        <v>12821105.699999999</v>
      </c>
      <c r="G684">
        <v>4434034.97</v>
      </c>
      <c r="H684">
        <v>8387070.7300000004</v>
      </c>
      <c r="I684">
        <v>1.61</v>
      </c>
      <c r="J684">
        <v>3.59</v>
      </c>
      <c r="K684" t="str">
        <f t="shared" si="10"/>
        <v>Jul 2020</v>
      </c>
    </row>
    <row r="685" spans="1:11" x14ac:dyDescent="0.25">
      <c r="A685" s="6">
        <v>45185</v>
      </c>
      <c r="B685" t="s">
        <v>10</v>
      </c>
      <c r="C685" t="s">
        <v>16</v>
      </c>
      <c r="D685" t="s">
        <v>17</v>
      </c>
      <c r="E685">
        <v>110</v>
      </c>
      <c r="F685" s="3">
        <v>6419867.7599999998</v>
      </c>
      <c r="G685">
        <v>2291450.61</v>
      </c>
      <c r="H685">
        <v>4128417.15</v>
      </c>
      <c r="I685">
        <v>3.19</v>
      </c>
      <c r="J685">
        <v>4.3899999999999997</v>
      </c>
      <c r="K685" t="str">
        <f t="shared" si="10"/>
        <v>Sep 2023</v>
      </c>
    </row>
    <row r="686" spans="1:11" x14ac:dyDescent="0.25">
      <c r="A686" s="6">
        <v>44538</v>
      </c>
      <c r="B686" t="s">
        <v>10</v>
      </c>
      <c r="C686" t="s">
        <v>13</v>
      </c>
      <c r="D686" t="s">
        <v>17</v>
      </c>
      <c r="E686">
        <v>143</v>
      </c>
      <c r="F686" s="3">
        <v>12488474.439999999</v>
      </c>
      <c r="G686">
        <v>2901093.01</v>
      </c>
      <c r="H686">
        <v>9587381.4299999997</v>
      </c>
      <c r="I686">
        <v>4.12</v>
      </c>
      <c r="J686">
        <v>4.7300000000000004</v>
      </c>
      <c r="K686" t="str">
        <f t="shared" si="10"/>
        <v>Dec 2021</v>
      </c>
    </row>
    <row r="687" spans="1:11" x14ac:dyDescent="0.25">
      <c r="A687" s="6">
        <v>44290</v>
      </c>
      <c r="B687" t="s">
        <v>10</v>
      </c>
      <c r="C687" t="s">
        <v>11</v>
      </c>
      <c r="D687" t="s">
        <v>17</v>
      </c>
      <c r="E687">
        <v>492</v>
      </c>
      <c r="F687" s="3">
        <v>24886226.870000001</v>
      </c>
      <c r="G687">
        <v>6038545.8799999999</v>
      </c>
      <c r="H687">
        <v>18847680.989999998</v>
      </c>
      <c r="I687">
        <v>2.29</v>
      </c>
      <c r="J687">
        <v>4.2699999999999996</v>
      </c>
      <c r="K687" t="str">
        <f t="shared" si="10"/>
        <v>Apr 2021</v>
      </c>
    </row>
    <row r="688" spans="1:11" x14ac:dyDescent="0.25">
      <c r="A688" s="6">
        <v>44450</v>
      </c>
      <c r="B688" t="s">
        <v>10</v>
      </c>
      <c r="C688" t="s">
        <v>18</v>
      </c>
      <c r="D688" t="s">
        <v>17</v>
      </c>
      <c r="E688">
        <v>425</v>
      </c>
      <c r="F688" s="3">
        <v>37961542.969999999</v>
      </c>
      <c r="G688">
        <v>12971491.57</v>
      </c>
      <c r="H688">
        <v>24990051.399999999</v>
      </c>
      <c r="I688">
        <v>3.97</v>
      </c>
      <c r="J688">
        <v>4.1399999999999997</v>
      </c>
      <c r="K688" t="str">
        <f t="shared" si="10"/>
        <v>Sep 2021</v>
      </c>
    </row>
    <row r="689" spans="1:11" x14ac:dyDescent="0.25">
      <c r="A689" s="6">
        <v>44085</v>
      </c>
      <c r="B689" t="s">
        <v>10</v>
      </c>
      <c r="C689" t="s">
        <v>15</v>
      </c>
      <c r="D689" t="s">
        <v>14</v>
      </c>
      <c r="E689">
        <v>439</v>
      </c>
      <c r="F689" s="3">
        <v>34674209.560000002</v>
      </c>
      <c r="G689">
        <v>11556173.48</v>
      </c>
      <c r="H689">
        <v>23118036.079999998</v>
      </c>
      <c r="I689">
        <v>4.3899999999999997</v>
      </c>
      <c r="J689">
        <v>4.87</v>
      </c>
      <c r="K689" t="str">
        <f t="shared" si="10"/>
        <v>Sep 2020</v>
      </c>
    </row>
    <row r="690" spans="1:11" x14ac:dyDescent="0.25">
      <c r="A690" s="6">
        <v>44379</v>
      </c>
      <c r="B690" t="s">
        <v>10</v>
      </c>
      <c r="C690" t="s">
        <v>15</v>
      </c>
      <c r="D690" t="s">
        <v>14</v>
      </c>
      <c r="E690">
        <v>86</v>
      </c>
      <c r="F690" s="3">
        <v>6162370.21</v>
      </c>
      <c r="G690">
        <v>1494514.01</v>
      </c>
      <c r="H690">
        <v>4667856.2</v>
      </c>
      <c r="I690">
        <v>2.54</v>
      </c>
      <c r="J690">
        <v>4.45</v>
      </c>
      <c r="K690" t="str">
        <f t="shared" si="10"/>
        <v>Jul 2021</v>
      </c>
    </row>
    <row r="691" spans="1:11" x14ac:dyDescent="0.25">
      <c r="A691" s="6">
        <v>45415</v>
      </c>
      <c r="B691" t="s">
        <v>10</v>
      </c>
      <c r="C691" t="s">
        <v>16</v>
      </c>
      <c r="D691" t="s">
        <v>14</v>
      </c>
      <c r="E691">
        <v>412</v>
      </c>
      <c r="F691" s="3">
        <v>28876043.59</v>
      </c>
      <c r="G691">
        <v>6735954.3399999999</v>
      </c>
      <c r="H691">
        <v>22140089.25</v>
      </c>
      <c r="I691">
        <v>2.75</v>
      </c>
      <c r="J691">
        <v>4.3</v>
      </c>
      <c r="K691" t="str">
        <f t="shared" si="10"/>
        <v>May 2024</v>
      </c>
    </row>
    <row r="692" spans="1:11" x14ac:dyDescent="0.25">
      <c r="A692" s="6">
        <v>44988</v>
      </c>
      <c r="B692" t="s">
        <v>10</v>
      </c>
      <c r="C692" t="s">
        <v>16</v>
      </c>
      <c r="D692" t="s">
        <v>14</v>
      </c>
      <c r="E692">
        <v>156</v>
      </c>
      <c r="F692" s="3">
        <v>13493287.73</v>
      </c>
      <c r="G692">
        <v>5224583.88</v>
      </c>
      <c r="H692">
        <v>8268703.8499999996</v>
      </c>
      <c r="I692">
        <v>4.21</v>
      </c>
      <c r="J692">
        <v>3.94</v>
      </c>
      <c r="K692" t="str">
        <f t="shared" si="10"/>
        <v>Mar 2023</v>
      </c>
    </row>
    <row r="693" spans="1:11" x14ac:dyDescent="0.25">
      <c r="A693" s="6">
        <v>44010</v>
      </c>
      <c r="B693" t="s">
        <v>10</v>
      </c>
      <c r="C693" t="s">
        <v>13</v>
      </c>
      <c r="D693" t="s">
        <v>17</v>
      </c>
      <c r="E693">
        <v>188</v>
      </c>
      <c r="F693" s="3">
        <v>12772061.439999999</v>
      </c>
      <c r="G693">
        <v>4595135.51</v>
      </c>
      <c r="H693">
        <v>8176925.9199999999</v>
      </c>
      <c r="I693">
        <v>3.16</v>
      </c>
      <c r="J693">
        <v>4.1100000000000003</v>
      </c>
      <c r="K693" t="str">
        <f t="shared" si="10"/>
        <v>Jun 2020</v>
      </c>
    </row>
    <row r="694" spans="1:11" x14ac:dyDescent="0.25">
      <c r="A694" s="6">
        <v>44751</v>
      </c>
      <c r="B694" t="s">
        <v>10</v>
      </c>
      <c r="C694" t="s">
        <v>15</v>
      </c>
      <c r="D694" t="s">
        <v>14</v>
      </c>
      <c r="E694">
        <v>412</v>
      </c>
      <c r="F694" s="3">
        <v>25548229.23</v>
      </c>
      <c r="G694">
        <v>5482084.7199999997</v>
      </c>
      <c r="H694">
        <v>20066144.510000002</v>
      </c>
      <c r="I694">
        <v>0.97</v>
      </c>
      <c r="J694">
        <v>4.6500000000000004</v>
      </c>
      <c r="K694" t="str">
        <f t="shared" si="10"/>
        <v>Jul 2022</v>
      </c>
    </row>
    <row r="695" spans="1:11" x14ac:dyDescent="0.25">
      <c r="A695" s="6">
        <v>44910</v>
      </c>
      <c r="B695" t="s">
        <v>10</v>
      </c>
      <c r="C695" t="s">
        <v>16</v>
      </c>
      <c r="D695" t="s">
        <v>12</v>
      </c>
      <c r="E695">
        <v>471</v>
      </c>
      <c r="F695" s="3">
        <v>33457275.07</v>
      </c>
      <c r="G695">
        <v>11641548.539999999</v>
      </c>
      <c r="H695">
        <v>21815726.530000001</v>
      </c>
      <c r="I695">
        <v>1.22</v>
      </c>
      <c r="J695">
        <v>3.74</v>
      </c>
      <c r="K695" t="str">
        <f t="shared" si="10"/>
        <v>Dec 2022</v>
      </c>
    </row>
    <row r="696" spans="1:11" x14ac:dyDescent="0.25">
      <c r="A696" s="6">
        <v>45029</v>
      </c>
      <c r="B696" t="s">
        <v>10</v>
      </c>
      <c r="C696" t="s">
        <v>11</v>
      </c>
      <c r="D696" t="s">
        <v>17</v>
      </c>
      <c r="E696">
        <v>182</v>
      </c>
      <c r="F696" s="3">
        <v>14243089.050000001</v>
      </c>
      <c r="G696">
        <v>3012324.15</v>
      </c>
      <c r="H696">
        <v>11230764.9</v>
      </c>
      <c r="I696">
        <v>3.86</v>
      </c>
      <c r="J696">
        <v>4.58</v>
      </c>
      <c r="K696" t="str">
        <f t="shared" si="10"/>
        <v>Apr 2023</v>
      </c>
    </row>
    <row r="697" spans="1:11" x14ac:dyDescent="0.25">
      <c r="A697" s="6">
        <v>43864</v>
      </c>
      <c r="B697" t="s">
        <v>10</v>
      </c>
      <c r="C697" t="s">
        <v>15</v>
      </c>
      <c r="D697" t="s">
        <v>17</v>
      </c>
      <c r="E697">
        <v>352</v>
      </c>
      <c r="F697" s="3">
        <v>25584200.239999998</v>
      </c>
      <c r="G697">
        <v>9668617.9100000001</v>
      </c>
      <c r="H697">
        <v>15915582.32</v>
      </c>
      <c r="I697">
        <v>1.8</v>
      </c>
      <c r="J697">
        <v>3.96</v>
      </c>
      <c r="K697" t="str">
        <f t="shared" si="10"/>
        <v>Feb 2020</v>
      </c>
    </row>
    <row r="698" spans="1:11" x14ac:dyDescent="0.25">
      <c r="A698" s="6">
        <v>44892</v>
      </c>
      <c r="B698" t="s">
        <v>10</v>
      </c>
      <c r="C698" t="s">
        <v>18</v>
      </c>
      <c r="D698" t="s">
        <v>14</v>
      </c>
      <c r="E698">
        <v>493</v>
      </c>
      <c r="F698" s="3">
        <v>29275256.010000002</v>
      </c>
      <c r="G698">
        <v>8470033.0700000003</v>
      </c>
      <c r="H698">
        <v>20805222.940000001</v>
      </c>
      <c r="I698">
        <v>1.65</v>
      </c>
      <c r="J698">
        <v>4.6100000000000003</v>
      </c>
      <c r="K698" t="str">
        <f t="shared" si="10"/>
        <v>Nov 2022</v>
      </c>
    </row>
    <row r="699" spans="1:11" x14ac:dyDescent="0.25">
      <c r="A699" s="6">
        <v>45451</v>
      </c>
      <c r="B699" t="s">
        <v>10</v>
      </c>
      <c r="C699" t="s">
        <v>16</v>
      </c>
      <c r="D699" t="s">
        <v>12</v>
      </c>
      <c r="E699">
        <v>427</v>
      </c>
      <c r="F699" s="3">
        <v>34403628.219999999</v>
      </c>
      <c r="G699">
        <v>8330543.75</v>
      </c>
      <c r="H699">
        <v>26073084.469999999</v>
      </c>
      <c r="I699">
        <v>1.89</v>
      </c>
      <c r="J699">
        <v>4.87</v>
      </c>
      <c r="K699" t="str">
        <f t="shared" si="10"/>
        <v>Jun 2024</v>
      </c>
    </row>
    <row r="700" spans="1:11" x14ac:dyDescent="0.25">
      <c r="A700" s="6">
        <v>45417</v>
      </c>
      <c r="B700" t="s">
        <v>10</v>
      </c>
      <c r="C700" t="s">
        <v>13</v>
      </c>
      <c r="D700" t="s">
        <v>12</v>
      </c>
      <c r="E700">
        <v>401</v>
      </c>
      <c r="F700" s="3">
        <v>31378119.800000001</v>
      </c>
      <c r="G700">
        <v>8583694.2899999991</v>
      </c>
      <c r="H700">
        <v>22794425.510000002</v>
      </c>
      <c r="I700">
        <v>2.1800000000000002</v>
      </c>
      <c r="J700">
        <v>3.91</v>
      </c>
      <c r="K700" t="str">
        <f t="shared" si="10"/>
        <v>May 2024</v>
      </c>
    </row>
    <row r="701" spans="1:11" x14ac:dyDescent="0.25">
      <c r="A701" s="6">
        <v>44267</v>
      </c>
      <c r="B701" t="s">
        <v>10</v>
      </c>
      <c r="C701" t="s">
        <v>16</v>
      </c>
      <c r="D701" t="s">
        <v>17</v>
      </c>
      <c r="E701">
        <v>385</v>
      </c>
      <c r="F701" s="3">
        <v>32031064</v>
      </c>
      <c r="G701">
        <v>12155353.4</v>
      </c>
      <c r="H701">
        <v>19875710.59</v>
      </c>
      <c r="I701">
        <v>2.27</v>
      </c>
      <c r="J701">
        <v>4.33</v>
      </c>
      <c r="K701" t="str">
        <f t="shared" si="10"/>
        <v>Mar 2021</v>
      </c>
    </row>
    <row r="702" spans="1:11" x14ac:dyDescent="0.25">
      <c r="A702" s="6">
        <v>43917</v>
      </c>
      <c r="B702" t="s">
        <v>10</v>
      </c>
      <c r="C702" t="s">
        <v>16</v>
      </c>
      <c r="D702" t="s">
        <v>12</v>
      </c>
      <c r="E702">
        <v>84</v>
      </c>
      <c r="F702" s="3">
        <v>4551872.1500000004</v>
      </c>
      <c r="G702">
        <v>1345898.11</v>
      </c>
      <c r="H702">
        <v>3205974.04</v>
      </c>
      <c r="I702">
        <v>4.08</v>
      </c>
      <c r="J702">
        <v>4.83</v>
      </c>
      <c r="K702" t="str">
        <f t="shared" si="10"/>
        <v>Mar 2020</v>
      </c>
    </row>
    <row r="703" spans="1:11" x14ac:dyDescent="0.25">
      <c r="A703" s="6">
        <v>44419</v>
      </c>
      <c r="B703" t="s">
        <v>10</v>
      </c>
      <c r="C703" t="s">
        <v>13</v>
      </c>
      <c r="D703" t="s">
        <v>14</v>
      </c>
      <c r="E703">
        <v>125</v>
      </c>
      <c r="F703" s="3">
        <v>10279004.42</v>
      </c>
      <c r="G703">
        <v>2573131.14</v>
      </c>
      <c r="H703">
        <v>7705873.2800000003</v>
      </c>
      <c r="I703">
        <v>2.48</v>
      </c>
      <c r="J703">
        <v>4.42</v>
      </c>
      <c r="K703" t="str">
        <f t="shared" si="10"/>
        <v>Aug 2021</v>
      </c>
    </row>
    <row r="704" spans="1:11" x14ac:dyDescent="0.25">
      <c r="A704" s="6">
        <v>44522</v>
      </c>
      <c r="B704" t="s">
        <v>10</v>
      </c>
      <c r="C704" t="s">
        <v>16</v>
      </c>
      <c r="D704" t="s">
        <v>12</v>
      </c>
      <c r="E704">
        <v>334</v>
      </c>
      <c r="F704" s="3">
        <v>20125306.219999999</v>
      </c>
      <c r="G704">
        <v>6395445.54</v>
      </c>
      <c r="H704">
        <v>13729860.689999999</v>
      </c>
      <c r="I704">
        <v>3.75</v>
      </c>
      <c r="J704">
        <v>4.08</v>
      </c>
      <c r="K704" t="str">
        <f t="shared" si="10"/>
        <v>Nov 2021</v>
      </c>
    </row>
    <row r="705" spans="1:11" x14ac:dyDescent="0.25">
      <c r="A705" s="6">
        <v>44383</v>
      </c>
      <c r="B705" t="s">
        <v>10</v>
      </c>
      <c r="C705" t="s">
        <v>18</v>
      </c>
      <c r="D705" t="s">
        <v>17</v>
      </c>
      <c r="E705">
        <v>161</v>
      </c>
      <c r="F705" s="3">
        <v>6675916.7599999998</v>
      </c>
      <c r="G705">
        <v>2449681.61</v>
      </c>
      <c r="H705">
        <v>4226235.16</v>
      </c>
      <c r="I705">
        <v>0.51</v>
      </c>
      <c r="J705">
        <v>4.58</v>
      </c>
      <c r="K705" t="str">
        <f t="shared" si="10"/>
        <v>Jul 2021</v>
      </c>
    </row>
    <row r="706" spans="1:11" x14ac:dyDescent="0.25">
      <c r="A706" s="6">
        <v>45130</v>
      </c>
      <c r="B706" t="s">
        <v>10</v>
      </c>
      <c r="C706" t="s">
        <v>11</v>
      </c>
      <c r="D706" t="s">
        <v>12</v>
      </c>
      <c r="E706">
        <v>183</v>
      </c>
      <c r="F706" s="3">
        <v>14350635.029999999</v>
      </c>
      <c r="G706">
        <v>4888438.54</v>
      </c>
      <c r="H706">
        <v>9462196.4900000002</v>
      </c>
      <c r="I706">
        <v>2.94</v>
      </c>
      <c r="J706">
        <v>4.0199999999999996</v>
      </c>
      <c r="K706" t="str">
        <f t="shared" ref="K706:K769" si="11">TEXT(A706,"mmm yyyy")</f>
        <v>Jul 2023</v>
      </c>
    </row>
    <row r="707" spans="1:11" x14ac:dyDescent="0.25">
      <c r="A707" s="6">
        <v>44767</v>
      </c>
      <c r="B707" t="s">
        <v>10</v>
      </c>
      <c r="C707" t="s">
        <v>13</v>
      </c>
      <c r="D707" t="s">
        <v>14</v>
      </c>
      <c r="E707">
        <v>175</v>
      </c>
      <c r="F707" s="3">
        <v>7720326.2000000002</v>
      </c>
      <c r="G707">
        <v>1712591.42</v>
      </c>
      <c r="H707">
        <v>6007734.79</v>
      </c>
      <c r="I707">
        <v>1.59</v>
      </c>
      <c r="J707">
        <v>4.03</v>
      </c>
      <c r="K707" t="str">
        <f t="shared" si="11"/>
        <v>Jul 2022</v>
      </c>
    </row>
    <row r="708" spans="1:11" x14ac:dyDescent="0.25">
      <c r="A708" s="6">
        <v>44198</v>
      </c>
      <c r="B708" t="s">
        <v>10</v>
      </c>
      <c r="C708" t="s">
        <v>15</v>
      </c>
      <c r="D708" t="s">
        <v>12</v>
      </c>
      <c r="E708">
        <v>164</v>
      </c>
      <c r="F708" s="3">
        <v>7745698.9699999997</v>
      </c>
      <c r="G708">
        <v>2293928.14</v>
      </c>
      <c r="H708">
        <v>5451770.8300000001</v>
      </c>
      <c r="I708">
        <v>3.23</v>
      </c>
      <c r="J708">
        <v>3.87</v>
      </c>
      <c r="K708" t="str">
        <f t="shared" si="11"/>
        <v>Jan 2021</v>
      </c>
    </row>
    <row r="709" spans="1:11" x14ac:dyDescent="0.25">
      <c r="A709" s="6">
        <v>44681</v>
      </c>
      <c r="B709" t="s">
        <v>10</v>
      </c>
      <c r="C709" t="s">
        <v>13</v>
      </c>
      <c r="D709" t="s">
        <v>17</v>
      </c>
      <c r="E709">
        <v>296</v>
      </c>
      <c r="F709" s="3">
        <v>14327915.98</v>
      </c>
      <c r="G709">
        <v>4964334.04</v>
      </c>
      <c r="H709">
        <v>9363581.9399999995</v>
      </c>
      <c r="I709">
        <v>2.0099999999999998</v>
      </c>
      <c r="J709">
        <v>4.62</v>
      </c>
      <c r="K709" t="str">
        <f t="shared" si="11"/>
        <v>Apr 2022</v>
      </c>
    </row>
    <row r="710" spans="1:11" x14ac:dyDescent="0.25">
      <c r="A710" s="6">
        <v>45465</v>
      </c>
      <c r="B710" t="s">
        <v>10</v>
      </c>
      <c r="C710" t="s">
        <v>15</v>
      </c>
      <c r="D710" t="s">
        <v>14</v>
      </c>
      <c r="E710">
        <v>201</v>
      </c>
      <c r="F710" s="3">
        <v>13848201.869999999</v>
      </c>
      <c r="G710">
        <v>3996927.73</v>
      </c>
      <c r="H710">
        <v>9851274.1400000006</v>
      </c>
      <c r="I710">
        <v>2.37</v>
      </c>
      <c r="J710">
        <v>4.1399999999999997</v>
      </c>
      <c r="K710" t="str">
        <f t="shared" si="11"/>
        <v>Jun 2024</v>
      </c>
    </row>
    <row r="711" spans="1:11" x14ac:dyDescent="0.25">
      <c r="A711" s="6">
        <v>44583</v>
      </c>
      <c r="B711" t="s">
        <v>10</v>
      </c>
      <c r="C711" t="s">
        <v>16</v>
      </c>
      <c r="D711" t="s">
        <v>12</v>
      </c>
      <c r="E711">
        <v>68</v>
      </c>
      <c r="F711" s="3">
        <v>4919379.5599999996</v>
      </c>
      <c r="G711">
        <v>1562528.03</v>
      </c>
      <c r="H711">
        <v>3356851.54</v>
      </c>
      <c r="I711">
        <v>3.89</v>
      </c>
      <c r="J711">
        <v>3.81</v>
      </c>
      <c r="K711" t="str">
        <f t="shared" si="11"/>
        <v>Jan 2022</v>
      </c>
    </row>
    <row r="712" spans="1:11" x14ac:dyDescent="0.25">
      <c r="A712" s="6">
        <v>45142</v>
      </c>
      <c r="B712" t="s">
        <v>10</v>
      </c>
      <c r="C712" t="s">
        <v>16</v>
      </c>
      <c r="D712" t="s">
        <v>12</v>
      </c>
      <c r="E712">
        <v>403</v>
      </c>
      <c r="F712" s="3">
        <v>23236051.18</v>
      </c>
      <c r="G712">
        <v>5248898.6399999997</v>
      </c>
      <c r="H712">
        <v>17987152.530000001</v>
      </c>
      <c r="I712">
        <v>3.34</v>
      </c>
      <c r="J712">
        <v>4.3</v>
      </c>
      <c r="K712" t="str">
        <f t="shared" si="11"/>
        <v>Aug 2023</v>
      </c>
    </row>
    <row r="713" spans="1:11" x14ac:dyDescent="0.25">
      <c r="A713" s="6">
        <v>45004</v>
      </c>
      <c r="B713" t="s">
        <v>10</v>
      </c>
      <c r="C713" t="s">
        <v>11</v>
      </c>
      <c r="D713" t="s">
        <v>17</v>
      </c>
      <c r="E713">
        <v>254</v>
      </c>
      <c r="F713" s="3">
        <v>18621882.98</v>
      </c>
      <c r="G713">
        <v>5602565.75</v>
      </c>
      <c r="H713">
        <v>13019317.23</v>
      </c>
      <c r="I713">
        <v>4.7</v>
      </c>
      <c r="J713">
        <v>4.16</v>
      </c>
      <c r="K713" t="str">
        <f t="shared" si="11"/>
        <v>Mar 2023</v>
      </c>
    </row>
    <row r="714" spans="1:11" x14ac:dyDescent="0.25">
      <c r="A714" s="6">
        <v>44667</v>
      </c>
      <c r="B714" t="s">
        <v>10</v>
      </c>
      <c r="C714" t="s">
        <v>18</v>
      </c>
      <c r="D714" t="s">
        <v>12</v>
      </c>
      <c r="E714">
        <v>393</v>
      </c>
      <c r="F714" s="3">
        <v>28714171.879999999</v>
      </c>
      <c r="G714">
        <v>10301197.02</v>
      </c>
      <c r="H714">
        <v>18412974.859999999</v>
      </c>
      <c r="I714">
        <v>2.2599999999999998</v>
      </c>
      <c r="J714">
        <v>4.84</v>
      </c>
      <c r="K714" t="str">
        <f t="shared" si="11"/>
        <v>Apr 2022</v>
      </c>
    </row>
    <row r="715" spans="1:11" x14ac:dyDescent="0.25">
      <c r="A715" s="6">
        <v>44844</v>
      </c>
      <c r="B715" t="s">
        <v>10</v>
      </c>
      <c r="C715" t="s">
        <v>16</v>
      </c>
      <c r="D715" t="s">
        <v>12</v>
      </c>
      <c r="E715">
        <v>56</v>
      </c>
      <c r="F715" s="3">
        <v>4340799.0999999996</v>
      </c>
      <c r="G715">
        <v>910315.9</v>
      </c>
      <c r="H715">
        <v>3430483.2</v>
      </c>
      <c r="I715">
        <v>3.99</v>
      </c>
      <c r="J715">
        <v>4.42</v>
      </c>
      <c r="K715" t="str">
        <f t="shared" si="11"/>
        <v>Oct 2022</v>
      </c>
    </row>
    <row r="716" spans="1:11" x14ac:dyDescent="0.25">
      <c r="A716" s="6">
        <v>44121</v>
      </c>
      <c r="B716" t="s">
        <v>10</v>
      </c>
      <c r="C716" t="s">
        <v>11</v>
      </c>
      <c r="D716" t="s">
        <v>17</v>
      </c>
      <c r="E716">
        <v>220</v>
      </c>
      <c r="F716" s="3">
        <v>8535455.4700000007</v>
      </c>
      <c r="G716">
        <v>2604585.66</v>
      </c>
      <c r="H716">
        <v>5930869.7999999998</v>
      </c>
      <c r="I716">
        <v>3.02</v>
      </c>
      <c r="J716">
        <v>4.4400000000000004</v>
      </c>
      <c r="K716" t="str">
        <f t="shared" si="11"/>
        <v>Oct 2020</v>
      </c>
    </row>
    <row r="717" spans="1:11" x14ac:dyDescent="0.25">
      <c r="A717" s="6">
        <v>44394</v>
      </c>
      <c r="B717" t="s">
        <v>10</v>
      </c>
      <c r="C717" t="s">
        <v>16</v>
      </c>
      <c r="D717" t="s">
        <v>12</v>
      </c>
      <c r="E717">
        <v>465</v>
      </c>
      <c r="F717" s="3">
        <v>34551950.609999999</v>
      </c>
      <c r="G717">
        <v>7728832.8499999996</v>
      </c>
      <c r="H717">
        <v>26823117.75</v>
      </c>
      <c r="I717">
        <v>3.79</v>
      </c>
      <c r="J717">
        <v>4.55</v>
      </c>
      <c r="K717" t="str">
        <f t="shared" si="11"/>
        <v>Jul 2021</v>
      </c>
    </row>
    <row r="718" spans="1:11" x14ac:dyDescent="0.25">
      <c r="A718" s="6">
        <v>45389</v>
      </c>
      <c r="B718" t="s">
        <v>10</v>
      </c>
      <c r="C718" t="s">
        <v>11</v>
      </c>
      <c r="D718" t="s">
        <v>17</v>
      </c>
      <c r="E718">
        <v>361</v>
      </c>
      <c r="F718" s="3">
        <v>29236117</v>
      </c>
      <c r="G718">
        <v>6891605.54</v>
      </c>
      <c r="H718">
        <v>22344511.449999999</v>
      </c>
      <c r="I718">
        <v>4.29</v>
      </c>
      <c r="J718">
        <v>4.2300000000000004</v>
      </c>
      <c r="K718" t="str">
        <f t="shared" si="11"/>
        <v>Apr 2024</v>
      </c>
    </row>
    <row r="719" spans="1:11" x14ac:dyDescent="0.25">
      <c r="A719" s="6">
        <v>44424</v>
      </c>
      <c r="B719" t="s">
        <v>10</v>
      </c>
      <c r="C719" t="s">
        <v>15</v>
      </c>
      <c r="D719" t="s">
        <v>12</v>
      </c>
      <c r="E719">
        <v>484</v>
      </c>
      <c r="F719" s="3">
        <v>24540243.73</v>
      </c>
      <c r="G719">
        <v>7207089.7199999997</v>
      </c>
      <c r="H719">
        <v>17333154.010000002</v>
      </c>
      <c r="I719">
        <v>2.8</v>
      </c>
      <c r="J719">
        <v>4.7300000000000004</v>
      </c>
      <c r="K719" t="str">
        <f t="shared" si="11"/>
        <v>Aug 2021</v>
      </c>
    </row>
    <row r="720" spans="1:11" x14ac:dyDescent="0.25">
      <c r="A720" s="6">
        <v>44476</v>
      </c>
      <c r="B720" t="s">
        <v>10</v>
      </c>
      <c r="C720" t="s">
        <v>18</v>
      </c>
      <c r="D720" t="s">
        <v>12</v>
      </c>
      <c r="E720">
        <v>474</v>
      </c>
      <c r="F720" s="3">
        <v>39598335.990000002</v>
      </c>
      <c r="G720">
        <v>12146316.32</v>
      </c>
      <c r="H720">
        <v>27452019.670000002</v>
      </c>
      <c r="I720">
        <v>0.84</v>
      </c>
      <c r="J720">
        <v>4.08</v>
      </c>
      <c r="K720" t="str">
        <f t="shared" si="11"/>
        <v>Oct 2021</v>
      </c>
    </row>
    <row r="721" spans="1:11" x14ac:dyDescent="0.25">
      <c r="A721" s="6">
        <v>45518</v>
      </c>
      <c r="B721" t="s">
        <v>10</v>
      </c>
      <c r="C721" t="s">
        <v>15</v>
      </c>
      <c r="D721" t="s">
        <v>17</v>
      </c>
      <c r="E721">
        <v>281</v>
      </c>
      <c r="F721" s="3">
        <v>10074681.25</v>
      </c>
      <c r="G721">
        <v>3463913.25</v>
      </c>
      <c r="H721">
        <v>6610768</v>
      </c>
      <c r="I721">
        <v>1.44</v>
      </c>
      <c r="J721">
        <v>3.56</v>
      </c>
      <c r="K721" t="str">
        <f t="shared" si="11"/>
        <v>Aug 2024</v>
      </c>
    </row>
    <row r="722" spans="1:11" x14ac:dyDescent="0.25">
      <c r="A722" s="6">
        <v>43970</v>
      </c>
      <c r="B722" t="s">
        <v>10</v>
      </c>
      <c r="C722" t="s">
        <v>15</v>
      </c>
      <c r="D722" t="s">
        <v>14</v>
      </c>
      <c r="E722">
        <v>55</v>
      </c>
      <c r="F722" s="3">
        <v>3102949.94</v>
      </c>
      <c r="G722">
        <v>904968.55</v>
      </c>
      <c r="H722">
        <v>2197981.39</v>
      </c>
      <c r="I722">
        <v>4.8600000000000003</v>
      </c>
      <c r="J722">
        <v>3.6</v>
      </c>
      <c r="K722" t="str">
        <f t="shared" si="11"/>
        <v>May 2020</v>
      </c>
    </row>
    <row r="723" spans="1:11" x14ac:dyDescent="0.25">
      <c r="A723" s="6">
        <v>44847</v>
      </c>
      <c r="B723" t="s">
        <v>10</v>
      </c>
      <c r="C723" t="s">
        <v>11</v>
      </c>
      <c r="D723" t="s">
        <v>14</v>
      </c>
      <c r="E723">
        <v>362</v>
      </c>
      <c r="F723" s="3">
        <v>32215793.190000001</v>
      </c>
      <c r="G723">
        <v>9983812.3800000008</v>
      </c>
      <c r="H723">
        <v>22231980.809999999</v>
      </c>
      <c r="I723">
        <v>2.81</v>
      </c>
      <c r="J723">
        <v>4.9800000000000004</v>
      </c>
      <c r="K723" t="str">
        <f t="shared" si="11"/>
        <v>Oct 2022</v>
      </c>
    </row>
    <row r="724" spans="1:11" x14ac:dyDescent="0.25">
      <c r="A724" s="6">
        <v>45621</v>
      </c>
      <c r="B724" t="s">
        <v>10</v>
      </c>
      <c r="C724" t="s">
        <v>11</v>
      </c>
      <c r="D724" t="s">
        <v>14</v>
      </c>
      <c r="E724">
        <v>69</v>
      </c>
      <c r="F724" s="3">
        <v>6199307.0300000003</v>
      </c>
      <c r="G724">
        <v>1786566.78</v>
      </c>
      <c r="H724">
        <v>4412740.25</v>
      </c>
      <c r="I724">
        <v>1.95</v>
      </c>
      <c r="J724">
        <v>3.83</v>
      </c>
      <c r="K724" t="str">
        <f t="shared" si="11"/>
        <v>Nov 2024</v>
      </c>
    </row>
    <row r="725" spans="1:11" x14ac:dyDescent="0.25">
      <c r="A725" s="6">
        <v>45218</v>
      </c>
      <c r="B725" t="s">
        <v>10</v>
      </c>
      <c r="C725" t="s">
        <v>16</v>
      </c>
      <c r="D725" t="s">
        <v>17</v>
      </c>
      <c r="E725">
        <v>231</v>
      </c>
      <c r="F725" s="3">
        <v>17349927.41</v>
      </c>
      <c r="G725">
        <v>4828800.79</v>
      </c>
      <c r="H725">
        <v>12521126.619999999</v>
      </c>
      <c r="I725">
        <v>3.68</v>
      </c>
      <c r="J725">
        <v>4.0599999999999996</v>
      </c>
      <c r="K725" t="str">
        <f t="shared" si="11"/>
        <v>Oct 2023</v>
      </c>
    </row>
    <row r="726" spans="1:11" x14ac:dyDescent="0.25">
      <c r="A726" s="6">
        <v>44829</v>
      </c>
      <c r="B726" t="s">
        <v>10</v>
      </c>
      <c r="C726" t="s">
        <v>13</v>
      </c>
      <c r="D726" t="s">
        <v>14</v>
      </c>
      <c r="E726">
        <v>109</v>
      </c>
      <c r="F726" s="3">
        <v>8147812.8200000003</v>
      </c>
      <c r="G726">
        <v>2188943.35</v>
      </c>
      <c r="H726">
        <v>5958869.4800000004</v>
      </c>
      <c r="I726">
        <v>3.69</v>
      </c>
      <c r="J726">
        <v>3.51</v>
      </c>
      <c r="K726" t="str">
        <f t="shared" si="11"/>
        <v>Sep 2022</v>
      </c>
    </row>
    <row r="727" spans="1:11" x14ac:dyDescent="0.25">
      <c r="A727" s="6">
        <v>44551</v>
      </c>
      <c r="B727" t="s">
        <v>10</v>
      </c>
      <c r="C727" t="s">
        <v>13</v>
      </c>
      <c r="D727" t="s">
        <v>14</v>
      </c>
      <c r="E727">
        <v>284</v>
      </c>
      <c r="F727" s="3">
        <v>22925963.57</v>
      </c>
      <c r="G727">
        <v>5308160.66</v>
      </c>
      <c r="H727">
        <v>17617802.91</v>
      </c>
      <c r="I727">
        <v>2.1800000000000002</v>
      </c>
      <c r="J727">
        <v>4.45</v>
      </c>
      <c r="K727" t="str">
        <f t="shared" si="11"/>
        <v>Dec 2021</v>
      </c>
    </row>
    <row r="728" spans="1:11" x14ac:dyDescent="0.25">
      <c r="A728" s="6">
        <v>45394</v>
      </c>
      <c r="B728" t="s">
        <v>10</v>
      </c>
      <c r="C728" t="s">
        <v>15</v>
      </c>
      <c r="D728" t="s">
        <v>17</v>
      </c>
      <c r="E728">
        <v>366</v>
      </c>
      <c r="F728" s="3">
        <v>14897049.83</v>
      </c>
      <c r="G728">
        <v>5813848.7999999998</v>
      </c>
      <c r="H728">
        <v>9083201.0299999993</v>
      </c>
      <c r="I728">
        <v>3.11</v>
      </c>
      <c r="J728">
        <v>4.1399999999999997</v>
      </c>
      <c r="K728" t="str">
        <f t="shared" si="11"/>
        <v>Apr 2024</v>
      </c>
    </row>
    <row r="729" spans="1:11" x14ac:dyDescent="0.25">
      <c r="A729" s="6">
        <v>44309</v>
      </c>
      <c r="B729" t="s">
        <v>10</v>
      </c>
      <c r="C729" t="s">
        <v>13</v>
      </c>
      <c r="D729" t="s">
        <v>14</v>
      </c>
      <c r="E729">
        <v>363</v>
      </c>
      <c r="F729" s="3">
        <v>28316830.940000001</v>
      </c>
      <c r="G729">
        <v>7069313.8799999999</v>
      </c>
      <c r="H729">
        <v>21247517.07</v>
      </c>
      <c r="I729">
        <v>4.1100000000000003</v>
      </c>
      <c r="J729">
        <v>4.28</v>
      </c>
      <c r="K729" t="str">
        <f t="shared" si="11"/>
        <v>Apr 2021</v>
      </c>
    </row>
    <row r="730" spans="1:11" x14ac:dyDescent="0.25">
      <c r="A730" s="6">
        <v>45224</v>
      </c>
      <c r="B730" t="s">
        <v>10</v>
      </c>
      <c r="C730" t="s">
        <v>18</v>
      </c>
      <c r="D730" t="s">
        <v>14</v>
      </c>
      <c r="E730">
        <v>258</v>
      </c>
      <c r="F730" s="3">
        <v>9237574.9900000002</v>
      </c>
      <c r="G730">
        <v>3312146.74</v>
      </c>
      <c r="H730">
        <v>5925428.25</v>
      </c>
      <c r="I730">
        <v>3.71</v>
      </c>
      <c r="J730">
        <v>4.08</v>
      </c>
      <c r="K730" t="str">
        <f t="shared" si="11"/>
        <v>Oct 2023</v>
      </c>
    </row>
    <row r="731" spans="1:11" x14ac:dyDescent="0.25">
      <c r="A731" s="6">
        <v>44446</v>
      </c>
      <c r="B731" t="s">
        <v>10</v>
      </c>
      <c r="C731" t="s">
        <v>16</v>
      </c>
      <c r="D731" t="s">
        <v>17</v>
      </c>
      <c r="E731">
        <v>141</v>
      </c>
      <c r="F731" s="3">
        <v>6447032.6799999997</v>
      </c>
      <c r="G731">
        <v>1430713.22</v>
      </c>
      <c r="H731">
        <v>5016319.46</v>
      </c>
      <c r="I731">
        <v>3.87</v>
      </c>
      <c r="J731">
        <v>4.8600000000000003</v>
      </c>
      <c r="K731" t="str">
        <f t="shared" si="11"/>
        <v>Sep 2021</v>
      </c>
    </row>
    <row r="732" spans="1:11" x14ac:dyDescent="0.25">
      <c r="A732" s="6">
        <v>43866</v>
      </c>
      <c r="B732" t="s">
        <v>10</v>
      </c>
      <c r="C732" t="s">
        <v>11</v>
      </c>
      <c r="D732" t="s">
        <v>17</v>
      </c>
      <c r="E732">
        <v>264</v>
      </c>
      <c r="F732" s="3">
        <v>18030578.719999999</v>
      </c>
      <c r="G732">
        <v>5650195.1699999999</v>
      </c>
      <c r="H732">
        <v>12380383.550000001</v>
      </c>
      <c r="I732">
        <v>3.98</v>
      </c>
      <c r="J732">
        <v>4.78</v>
      </c>
      <c r="K732" t="str">
        <f t="shared" si="11"/>
        <v>Feb 2020</v>
      </c>
    </row>
    <row r="733" spans="1:11" x14ac:dyDescent="0.25">
      <c r="A733" s="6">
        <v>43894</v>
      </c>
      <c r="B733" t="s">
        <v>10</v>
      </c>
      <c r="C733" t="s">
        <v>16</v>
      </c>
      <c r="D733" t="s">
        <v>14</v>
      </c>
      <c r="E733">
        <v>294</v>
      </c>
      <c r="F733" s="3">
        <v>20515767.710000001</v>
      </c>
      <c r="G733">
        <v>7564259.0899999999</v>
      </c>
      <c r="H733">
        <v>12951508.619999999</v>
      </c>
      <c r="I733">
        <v>2.63</v>
      </c>
      <c r="J733">
        <v>4.57</v>
      </c>
      <c r="K733" t="str">
        <f t="shared" si="11"/>
        <v>Mar 2020</v>
      </c>
    </row>
    <row r="734" spans="1:11" x14ac:dyDescent="0.25">
      <c r="A734" s="6">
        <v>44213</v>
      </c>
      <c r="B734" t="s">
        <v>10</v>
      </c>
      <c r="C734" t="s">
        <v>11</v>
      </c>
      <c r="D734" t="s">
        <v>17</v>
      </c>
      <c r="E734">
        <v>103</v>
      </c>
      <c r="F734" s="3">
        <v>5792890.9400000004</v>
      </c>
      <c r="G734">
        <v>1635327.39</v>
      </c>
      <c r="H734">
        <v>4157563.54</v>
      </c>
      <c r="I734">
        <v>1.33</v>
      </c>
      <c r="J734">
        <v>4.4000000000000004</v>
      </c>
      <c r="K734" t="str">
        <f t="shared" si="11"/>
        <v>Jan 2021</v>
      </c>
    </row>
    <row r="735" spans="1:11" x14ac:dyDescent="0.25">
      <c r="A735" s="6">
        <v>44992</v>
      </c>
      <c r="B735" t="s">
        <v>10</v>
      </c>
      <c r="C735" t="s">
        <v>11</v>
      </c>
      <c r="D735" t="s">
        <v>17</v>
      </c>
      <c r="E735">
        <v>435</v>
      </c>
      <c r="F735" s="3">
        <v>25389556.420000002</v>
      </c>
      <c r="G735">
        <v>5545899.1299999999</v>
      </c>
      <c r="H735">
        <v>19843657.280000001</v>
      </c>
      <c r="I735">
        <v>2.78</v>
      </c>
      <c r="J735">
        <v>3.78</v>
      </c>
      <c r="K735" t="str">
        <f t="shared" si="11"/>
        <v>Mar 2023</v>
      </c>
    </row>
    <row r="736" spans="1:11" x14ac:dyDescent="0.25">
      <c r="A736" s="6">
        <v>45419</v>
      </c>
      <c r="B736" t="s">
        <v>10</v>
      </c>
      <c r="C736" t="s">
        <v>13</v>
      </c>
      <c r="D736" t="s">
        <v>17</v>
      </c>
      <c r="E736">
        <v>130</v>
      </c>
      <c r="F736" s="3">
        <v>8730376.8399999999</v>
      </c>
      <c r="G736">
        <v>3258786.75</v>
      </c>
      <c r="H736">
        <v>5471590.0999999996</v>
      </c>
      <c r="I736">
        <v>2.5</v>
      </c>
      <c r="J736">
        <v>4.18</v>
      </c>
      <c r="K736" t="str">
        <f t="shared" si="11"/>
        <v>May 2024</v>
      </c>
    </row>
    <row r="737" spans="1:11" x14ac:dyDescent="0.25">
      <c r="A737" s="6">
        <v>44590</v>
      </c>
      <c r="B737" t="s">
        <v>10</v>
      </c>
      <c r="C737" t="s">
        <v>11</v>
      </c>
      <c r="D737" t="s">
        <v>12</v>
      </c>
      <c r="E737">
        <v>367</v>
      </c>
      <c r="F737" s="3">
        <v>28917133.68</v>
      </c>
      <c r="G737">
        <v>9994073.4800000004</v>
      </c>
      <c r="H737">
        <v>18923060.199999999</v>
      </c>
      <c r="I737">
        <v>3.62</v>
      </c>
      <c r="J737">
        <v>3.9</v>
      </c>
      <c r="K737" t="str">
        <f t="shared" si="11"/>
        <v>Jan 2022</v>
      </c>
    </row>
    <row r="738" spans="1:11" x14ac:dyDescent="0.25">
      <c r="A738" s="6">
        <v>44872</v>
      </c>
      <c r="B738" t="s">
        <v>10</v>
      </c>
      <c r="C738" t="s">
        <v>11</v>
      </c>
      <c r="D738" t="s">
        <v>12</v>
      </c>
      <c r="E738">
        <v>215</v>
      </c>
      <c r="F738" s="3">
        <v>16372853.23</v>
      </c>
      <c r="G738">
        <v>5812225.7699999996</v>
      </c>
      <c r="H738">
        <v>10560627.460000001</v>
      </c>
      <c r="I738">
        <v>2.88</v>
      </c>
      <c r="J738">
        <v>4.74</v>
      </c>
      <c r="K738" t="str">
        <f t="shared" si="11"/>
        <v>Nov 2022</v>
      </c>
    </row>
    <row r="739" spans="1:11" x14ac:dyDescent="0.25">
      <c r="A739" s="6">
        <v>44826</v>
      </c>
      <c r="B739" t="s">
        <v>10</v>
      </c>
      <c r="C739" t="s">
        <v>16</v>
      </c>
      <c r="D739" t="s">
        <v>17</v>
      </c>
      <c r="E739">
        <v>454</v>
      </c>
      <c r="F739" s="3">
        <v>33235184.739999998</v>
      </c>
      <c r="G739">
        <v>11840263.140000001</v>
      </c>
      <c r="H739">
        <v>21394921.609999999</v>
      </c>
      <c r="I739">
        <v>3.18</v>
      </c>
      <c r="J739">
        <v>3.9</v>
      </c>
      <c r="K739" t="str">
        <f t="shared" si="11"/>
        <v>Sep 2022</v>
      </c>
    </row>
    <row r="740" spans="1:11" x14ac:dyDescent="0.25">
      <c r="A740" s="6">
        <v>45279</v>
      </c>
      <c r="B740" t="s">
        <v>10</v>
      </c>
      <c r="C740" t="s">
        <v>11</v>
      </c>
      <c r="D740" t="s">
        <v>14</v>
      </c>
      <c r="E740">
        <v>486</v>
      </c>
      <c r="F740" s="3">
        <v>38793338.939999998</v>
      </c>
      <c r="G740">
        <v>9480896.1799999997</v>
      </c>
      <c r="H740">
        <v>29312442.760000002</v>
      </c>
      <c r="I740">
        <v>3.92</v>
      </c>
      <c r="J740">
        <v>3.78</v>
      </c>
      <c r="K740" t="str">
        <f t="shared" si="11"/>
        <v>Dec 2023</v>
      </c>
    </row>
    <row r="741" spans="1:11" x14ac:dyDescent="0.25">
      <c r="A741" s="6">
        <v>45503</v>
      </c>
      <c r="B741" t="s">
        <v>10</v>
      </c>
      <c r="C741" t="s">
        <v>18</v>
      </c>
      <c r="D741" t="s">
        <v>12</v>
      </c>
      <c r="E741">
        <v>389</v>
      </c>
      <c r="F741" s="3">
        <v>30167510.579999998</v>
      </c>
      <c r="G741">
        <v>7554918.6100000003</v>
      </c>
      <c r="H741">
        <v>22612591.969999999</v>
      </c>
      <c r="I741">
        <v>1.18</v>
      </c>
      <c r="J741">
        <v>3.83</v>
      </c>
      <c r="K741" t="str">
        <f t="shared" si="11"/>
        <v>Jul 2024</v>
      </c>
    </row>
    <row r="742" spans="1:11" x14ac:dyDescent="0.25">
      <c r="A742" s="6">
        <v>44563</v>
      </c>
      <c r="B742" t="s">
        <v>10</v>
      </c>
      <c r="C742" t="s">
        <v>16</v>
      </c>
      <c r="D742" t="s">
        <v>17</v>
      </c>
      <c r="E742">
        <v>214</v>
      </c>
      <c r="F742" s="3">
        <v>10545214.810000001</v>
      </c>
      <c r="G742">
        <v>4147060.94</v>
      </c>
      <c r="H742">
        <v>6398153.8700000001</v>
      </c>
      <c r="I742">
        <v>4.46</v>
      </c>
      <c r="J742">
        <v>3.87</v>
      </c>
      <c r="K742" t="str">
        <f t="shared" si="11"/>
        <v>Jan 2022</v>
      </c>
    </row>
    <row r="743" spans="1:11" x14ac:dyDescent="0.25">
      <c r="A743" s="6">
        <v>44178</v>
      </c>
      <c r="B743" t="s">
        <v>10</v>
      </c>
      <c r="C743" t="s">
        <v>18</v>
      </c>
      <c r="D743" t="s">
        <v>12</v>
      </c>
      <c r="E743">
        <v>54</v>
      </c>
      <c r="F743" s="3">
        <v>3761218.44</v>
      </c>
      <c r="G743">
        <v>858971.73</v>
      </c>
      <c r="H743">
        <v>2902246.71</v>
      </c>
      <c r="I743">
        <v>4.03</v>
      </c>
      <c r="J743">
        <v>4.1399999999999997</v>
      </c>
      <c r="K743" t="str">
        <f t="shared" si="11"/>
        <v>Dec 2020</v>
      </c>
    </row>
    <row r="744" spans="1:11" x14ac:dyDescent="0.25">
      <c r="A744" s="6">
        <v>44870</v>
      </c>
      <c r="B744" t="s">
        <v>10</v>
      </c>
      <c r="C744" t="s">
        <v>18</v>
      </c>
      <c r="D744" t="s">
        <v>17</v>
      </c>
      <c r="E744">
        <v>415</v>
      </c>
      <c r="F744" s="3">
        <v>34796297.659999996</v>
      </c>
      <c r="G744">
        <v>11654737.23</v>
      </c>
      <c r="H744">
        <v>23141560.43</v>
      </c>
      <c r="I744">
        <v>4.55</v>
      </c>
      <c r="J744">
        <v>4.99</v>
      </c>
      <c r="K744" t="str">
        <f t="shared" si="11"/>
        <v>Nov 2022</v>
      </c>
    </row>
    <row r="745" spans="1:11" x14ac:dyDescent="0.25">
      <c r="A745" s="6">
        <v>44948</v>
      </c>
      <c r="B745" t="s">
        <v>10</v>
      </c>
      <c r="C745" t="s">
        <v>16</v>
      </c>
      <c r="D745" t="s">
        <v>14</v>
      </c>
      <c r="E745">
        <v>279</v>
      </c>
      <c r="F745" s="3">
        <v>11212454.359999999</v>
      </c>
      <c r="G745">
        <v>2807587.95</v>
      </c>
      <c r="H745">
        <v>8404866.4100000001</v>
      </c>
      <c r="I745">
        <v>4.16</v>
      </c>
      <c r="J745">
        <v>4.5599999999999996</v>
      </c>
      <c r="K745" t="str">
        <f t="shared" si="11"/>
        <v>Jan 2023</v>
      </c>
    </row>
    <row r="746" spans="1:11" x14ac:dyDescent="0.25">
      <c r="A746" s="6">
        <v>45020</v>
      </c>
      <c r="B746" t="s">
        <v>10</v>
      </c>
      <c r="C746" t="s">
        <v>13</v>
      </c>
      <c r="D746" t="s">
        <v>14</v>
      </c>
      <c r="E746">
        <v>87</v>
      </c>
      <c r="F746" s="3">
        <v>3499182.33</v>
      </c>
      <c r="G746">
        <v>700611.46</v>
      </c>
      <c r="H746">
        <v>2798570.87</v>
      </c>
      <c r="I746">
        <v>1.97</v>
      </c>
      <c r="J746">
        <v>4.62</v>
      </c>
      <c r="K746" t="str">
        <f t="shared" si="11"/>
        <v>Apr 2023</v>
      </c>
    </row>
    <row r="747" spans="1:11" x14ac:dyDescent="0.25">
      <c r="A747" s="6">
        <v>43938</v>
      </c>
      <c r="B747" t="s">
        <v>10</v>
      </c>
      <c r="C747" t="s">
        <v>18</v>
      </c>
      <c r="D747" t="s">
        <v>14</v>
      </c>
      <c r="E747">
        <v>110</v>
      </c>
      <c r="F747" s="3">
        <v>9041040.7899999991</v>
      </c>
      <c r="G747">
        <v>1812496.69</v>
      </c>
      <c r="H747">
        <v>7228544.0999999996</v>
      </c>
      <c r="I747">
        <v>1.59</v>
      </c>
      <c r="J747">
        <v>3.56</v>
      </c>
      <c r="K747" t="str">
        <f t="shared" si="11"/>
        <v>Apr 2020</v>
      </c>
    </row>
    <row r="748" spans="1:11" x14ac:dyDescent="0.25">
      <c r="A748" s="6">
        <v>45311</v>
      </c>
      <c r="B748" t="s">
        <v>10</v>
      </c>
      <c r="C748" t="s">
        <v>18</v>
      </c>
      <c r="D748" t="s">
        <v>17</v>
      </c>
      <c r="E748">
        <v>302</v>
      </c>
      <c r="F748" s="3">
        <v>15853714.859999999</v>
      </c>
      <c r="G748">
        <v>3293896.48</v>
      </c>
      <c r="H748">
        <v>12559818.380000001</v>
      </c>
      <c r="I748">
        <v>4.51</v>
      </c>
      <c r="J748">
        <v>4.7699999999999996</v>
      </c>
      <c r="K748" t="str">
        <f t="shared" si="11"/>
        <v>Jan 2024</v>
      </c>
    </row>
    <row r="749" spans="1:11" x14ac:dyDescent="0.25">
      <c r="A749" s="6">
        <v>45111</v>
      </c>
      <c r="B749" t="s">
        <v>10</v>
      </c>
      <c r="C749" t="s">
        <v>18</v>
      </c>
      <c r="D749" t="s">
        <v>12</v>
      </c>
      <c r="E749">
        <v>487</v>
      </c>
      <c r="F749" s="3">
        <v>32210149.809999999</v>
      </c>
      <c r="G749">
        <v>10869134.75</v>
      </c>
      <c r="H749">
        <v>21341015.07</v>
      </c>
      <c r="I749">
        <v>3.44</v>
      </c>
      <c r="J749">
        <v>3.85</v>
      </c>
      <c r="K749" t="str">
        <f t="shared" si="11"/>
        <v>Jul 2023</v>
      </c>
    </row>
    <row r="750" spans="1:11" x14ac:dyDescent="0.25">
      <c r="A750" s="6">
        <v>44283</v>
      </c>
      <c r="B750" t="s">
        <v>10</v>
      </c>
      <c r="C750" t="s">
        <v>18</v>
      </c>
      <c r="D750" t="s">
        <v>17</v>
      </c>
      <c r="E750">
        <v>215</v>
      </c>
      <c r="F750" s="3">
        <v>7727796.1699999999</v>
      </c>
      <c r="G750">
        <v>1674453.77</v>
      </c>
      <c r="H750">
        <v>6053342.4000000004</v>
      </c>
      <c r="I750">
        <v>3.68</v>
      </c>
      <c r="J750">
        <v>3.96</v>
      </c>
      <c r="K750" t="str">
        <f t="shared" si="11"/>
        <v>Mar 2021</v>
      </c>
    </row>
    <row r="751" spans="1:11" x14ac:dyDescent="0.25">
      <c r="A751" s="6">
        <v>44643</v>
      </c>
      <c r="B751" t="s">
        <v>10</v>
      </c>
      <c r="C751" t="s">
        <v>18</v>
      </c>
      <c r="D751" t="s">
        <v>14</v>
      </c>
      <c r="E751">
        <v>232</v>
      </c>
      <c r="F751" s="3">
        <v>18801646.449999999</v>
      </c>
      <c r="G751">
        <v>5191036.0599999996</v>
      </c>
      <c r="H751">
        <v>13610610.390000001</v>
      </c>
      <c r="I751">
        <v>3.04</v>
      </c>
      <c r="J751">
        <v>4.4400000000000004</v>
      </c>
      <c r="K751" t="str">
        <f t="shared" si="11"/>
        <v>Mar 2022</v>
      </c>
    </row>
    <row r="752" spans="1:11" x14ac:dyDescent="0.25">
      <c r="A752" s="6">
        <v>43958</v>
      </c>
      <c r="B752" t="s">
        <v>10</v>
      </c>
      <c r="C752" t="s">
        <v>18</v>
      </c>
      <c r="D752" t="s">
        <v>14</v>
      </c>
      <c r="E752">
        <v>390</v>
      </c>
      <c r="F752" s="3">
        <v>22280084.789999999</v>
      </c>
      <c r="G752">
        <v>7171542.1799999997</v>
      </c>
      <c r="H752">
        <v>15108542.609999999</v>
      </c>
      <c r="I752">
        <v>0.81</v>
      </c>
      <c r="J752">
        <v>4.46</v>
      </c>
      <c r="K752" t="str">
        <f t="shared" si="11"/>
        <v>May 2020</v>
      </c>
    </row>
    <row r="753" spans="1:11" x14ac:dyDescent="0.25">
      <c r="A753" s="6">
        <v>45349</v>
      </c>
      <c r="B753" t="s">
        <v>10</v>
      </c>
      <c r="C753" t="s">
        <v>11</v>
      </c>
      <c r="D753" t="s">
        <v>17</v>
      </c>
      <c r="E753">
        <v>68</v>
      </c>
      <c r="F753" s="3">
        <v>4034178.83</v>
      </c>
      <c r="G753">
        <v>1042918.33</v>
      </c>
      <c r="H753">
        <v>2991260.5</v>
      </c>
      <c r="I753">
        <v>2.25</v>
      </c>
      <c r="J753">
        <v>3.84</v>
      </c>
      <c r="K753" t="str">
        <f t="shared" si="11"/>
        <v>Feb 2024</v>
      </c>
    </row>
    <row r="754" spans="1:11" x14ac:dyDescent="0.25">
      <c r="A754" s="6">
        <v>45021</v>
      </c>
      <c r="B754" t="s">
        <v>10</v>
      </c>
      <c r="C754" t="s">
        <v>16</v>
      </c>
      <c r="D754" t="s">
        <v>17</v>
      </c>
      <c r="E754">
        <v>260</v>
      </c>
      <c r="F754" s="3">
        <v>21518274.27</v>
      </c>
      <c r="G754">
        <v>6975675.1200000001</v>
      </c>
      <c r="H754">
        <v>14542599.15</v>
      </c>
      <c r="I754">
        <v>2.17</v>
      </c>
      <c r="J754">
        <v>4.43</v>
      </c>
      <c r="K754" t="str">
        <f t="shared" si="11"/>
        <v>Apr 2023</v>
      </c>
    </row>
    <row r="755" spans="1:11" x14ac:dyDescent="0.25">
      <c r="A755" s="6">
        <v>45470</v>
      </c>
      <c r="B755" t="s">
        <v>10</v>
      </c>
      <c r="C755" t="s">
        <v>13</v>
      </c>
      <c r="D755" t="s">
        <v>14</v>
      </c>
      <c r="E755">
        <v>240</v>
      </c>
      <c r="F755" s="3">
        <v>11193593.859999999</v>
      </c>
      <c r="G755">
        <v>2248499.4900000002</v>
      </c>
      <c r="H755">
        <v>8945094.3699999992</v>
      </c>
      <c r="I755">
        <v>4.92</v>
      </c>
      <c r="J755">
        <v>4.47</v>
      </c>
      <c r="K755" t="str">
        <f t="shared" si="11"/>
        <v>Jun 2024</v>
      </c>
    </row>
    <row r="756" spans="1:11" x14ac:dyDescent="0.25">
      <c r="A756" s="6">
        <v>45595</v>
      </c>
      <c r="B756" t="s">
        <v>10</v>
      </c>
      <c r="C756" t="s">
        <v>13</v>
      </c>
      <c r="D756" t="s">
        <v>12</v>
      </c>
      <c r="E756">
        <v>162</v>
      </c>
      <c r="F756" s="3">
        <v>9778997.0899999999</v>
      </c>
      <c r="G756">
        <v>2073280.78</v>
      </c>
      <c r="H756">
        <v>7705716.3099999996</v>
      </c>
      <c r="I756">
        <v>2.77</v>
      </c>
      <c r="J756">
        <v>4.92</v>
      </c>
      <c r="K756" t="str">
        <f t="shared" si="11"/>
        <v>Oct 2024</v>
      </c>
    </row>
    <row r="757" spans="1:11" x14ac:dyDescent="0.25">
      <c r="A757" s="6">
        <v>45328</v>
      </c>
      <c r="B757" t="s">
        <v>10</v>
      </c>
      <c r="C757" t="s">
        <v>18</v>
      </c>
      <c r="D757" t="s">
        <v>12</v>
      </c>
      <c r="E757">
        <v>238</v>
      </c>
      <c r="F757" s="3">
        <v>17162952.699999999</v>
      </c>
      <c r="G757">
        <v>4539492.47</v>
      </c>
      <c r="H757">
        <v>12623460.220000001</v>
      </c>
      <c r="I757">
        <v>2.1800000000000002</v>
      </c>
      <c r="J757">
        <v>4.91</v>
      </c>
      <c r="K757" t="str">
        <f t="shared" si="11"/>
        <v>Feb 2024</v>
      </c>
    </row>
    <row r="758" spans="1:11" x14ac:dyDescent="0.25">
      <c r="A758" s="6">
        <v>45104</v>
      </c>
      <c r="B758" t="s">
        <v>10</v>
      </c>
      <c r="C758" t="s">
        <v>18</v>
      </c>
      <c r="D758" t="s">
        <v>17</v>
      </c>
      <c r="E758">
        <v>326</v>
      </c>
      <c r="F758" s="3">
        <v>22735368.23</v>
      </c>
      <c r="G758">
        <v>8846828.5500000007</v>
      </c>
      <c r="H758">
        <v>13888539.67</v>
      </c>
      <c r="I758">
        <v>3.4</v>
      </c>
      <c r="J758">
        <v>4.96</v>
      </c>
      <c r="K758" t="str">
        <f t="shared" si="11"/>
        <v>Jun 2023</v>
      </c>
    </row>
    <row r="759" spans="1:11" x14ac:dyDescent="0.25">
      <c r="A759" s="6">
        <v>44066</v>
      </c>
      <c r="B759" t="s">
        <v>10</v>
      </c>
      <c r="C759" t="s">
        <v>15</v>
      </c>
      <c r="D759" t="s">
        <v>12</v>
      </c>
      <c r="E759">
        <v>231</v>
      </c>
      <c r="F759" s="3">
        <v>11582536.75</v>
      </c>
      <c r="G759">
        <v>4271161.04</v>
      </c>
      <c r="H759">
        <v>7311375.7199999997</v>
      </c>
      <c r="I759">
        <v>3.36</v>
      </c>
      <c r="J759">
        <v>4.4000000000000004</v>
      </c>
      <c r="K759" t="str">
        <f t="shared" si="11"/>
        <v>Aug 2020</v>
      </c>
    </row>
    <row r="760" spans="1:11" x14ac:dyDescent="0.25">
      <c r="A760" s="6">
        <v>43898</v>
      </c>
      <c r="B760" t="s">
        <v>10</v>
      </c>
      <c r="C760" t="s">
        <v>11</v>
      </c>
      <c r="D760" t="s">
        <v>12</v>
      </c>
      <c r="E760">
        <v>192</v>
      </c>
      <c r="F760" s="3">
        <v>8875998.8599999994</v>
      </c>
      <c r="G760">
        <v>3475233.54</v>
      </c>
      <c r="H760">
        <v>5400765.3200000003</v>
      </c>
      <c r="I760">
        <v>3.11</v>
      </c>
      <c r="J760">
        <v>4.18</v>
      </c>
      <c r="K760" t="str">
        <f t="shared" si="11"/>
        <v>Mar 2020</v>
      </c>
    </row>
    <row r="761" spans="1:11" x14ac:dyDescent="0.25">
      <c r="A761" s="6">
        <v>45491</v>
      </c>
      <c r="B761" t="s">
        <v>10</v>
      </c>
      <c r="C761" t="s">
        <v>11</v>
      </c>
      <c r="D761" t="s">
        <v>12</v>
      </c>
      <c r="E761">
        <v>479</v>
      </c>
      <c r="F761" s="3">
        <v>21236495.449999999</v>
      </c>
      <c r="G761">
        <v>8413284.1999999993</v>
      </c>
      <c r="H761">
        <v>12823211.25</v>
      </c>
      <c r="I761">
        <v>4.01</v>
      </c>
      <c r="J761">
        <v>4.41</v>
      </c>
      <c r="K761" t="str">
        <f t="shared" si="11"/>
        <v>Jul 2024</v>
      </c>
    </row>
    <row r="762" spans="1:11" x14ac:dyDescent="0.25">
      <c r="A762" s="6">
        <v>44055</v>
      </c>
      <c r="B762" t="s">
        <v>10</v>
      </c>
      <c r="C762" t="s">
        <v>11</v>
      </c>
      <c r="D762" t="s">
        <v>12</v>
      </c>
      <c r="E762">
        <v>92</v>
      </c>
      <c r="F762" s="3">
        <v>5515109.7400000002</v>
      </c>
      <c r="G762">
        <v>1704309.61</v>
      </c>
      <c r="H762">
        <v>3810800.13</v>
      </c>
      <c r="I762">
        <v>3.59</v>
      </c>
      <c r="J762">
        <v>4.87</v>
      </c>
      <c r="K762" t="str">
        <f t="shared" si="11"/>
        <v>Aug 2020</v>
      </c>
    </row>
    <row r="763" spans="1:11" x14ac:dyDescent="0.25">
      <c r="A763" s="6">
        <v>45077</v>
      </c>
      <c r="B763" t="s">
        <v>10</v>
      </c>
      <c r="C763" t="s">
        <v>16</v>
      </c>
      <c r="D763" t="s">
        <v>14</v>
      </c>
      <c r="E763">
        <v>205</v>
      </c>
      <c r="F763" s="3">
        <v>12682788.26</v>
      </c>
      <c r="G763">
        <v>4053705.25</v>
      </c>
      <c r="H763">
        <v>8629083.0099999998</v>
      </c>
      <c r="I763">
        <v>1.19</v>
      </c>
      <c r="J763">
        <v>4.3600000000000003</v>
      </c>
      <c r="K763" t="str">
        <f t="shared" si="11"/>
        <v>May 2023</v>
      </c>
    </row>
    <row r="764" spans="1:11" x14ac:dyDescent="0.25">
      <c r="A764" s="6">
        <v>45528</v>
      </c>
      <c r="B764" t="s">
        <v>10</v>
      </c>
      <c r="C764" t="s">
        <v>13</v>
      </c>
      <c r="D764" t="s">
        <v>12</v>
      </c>
      <c r="E764">
        <v>279</v>
      </c>
      <c r="F764" s="3">
        <v>19625353.43</v>
      </c>
      <c r="G764">
        <v>7541796.3300000001</v>
      </c>
      <c r="H764">
        <v>12083557.1</v>
      </c>
      <c r="I764">
        <v>3.83</v>
      </c>
      <c r="J764">
        <v>3.64</v>
      </c>
      <c r="K764" t="str">
        <f t="shared" si="11"/>
        <v>Aug 2024</v>
      </c>
    </row>
    <row r="765" spans="1:11" x14ac:dyDescent="0.25">
      <c r="A765" s="6">
        <v>44651</v>
      </c>
      <c r="B765" t="s">
        <v>10</v>
      </c>
      <c r="C765" t="s">
        <v>13</v>
      </c>
      <c r="D765" t="s">
        <v>12</v>
      </c>
      <c r="E765">
        <v>348</v>
      </c>
      <c r="F765" s="3">
        <v>13175076.199999999</v>
      </c>
      <c r="G765">
        <v>5186385.17</v>
      </c>
      <c r="H765">
        <v>7988691.0199999996</v>
      </c>
      <c r="I765">
        <v>2.41</v>
      </c>
      <c r="J765">
        <v>3.63</v>
      </c>
      <c r="K765" t="str">
        <f t="shared" si="11"/>
        <v>Mar 2022</v>
      </c>
    </row>
    <row r="766" spans="1:11" x14ac:dyDescent="0.25">
      <c r="A766" s="6">
        <v>44621</v>
      </c>
      <c r="B766" t="s">
        <v>10</v>
      </c>
      <c r="C766" t="s">
        <v>11</v>
      </c>
      <c r="D766" t="s">
        <v>12</v>
      </c>
      <c r="E766">
        <v>177</v>
      </c>
      <c r="F766" s="3">
        <v>12194821.58</v>
      </c>
      <c r="G766">
        <v>4277245.82</v>
      </c>
      <c r="H766">
        <v>7917575.7599999998</v>
      </c>
      <c r="I766">
        <v>3.61</v>
      </c>
      <c r="J766">
        <v>4.4000000000000004</v>
      </c>
      <c r="K766" t="str">
        <f t="shared" si="11"/>
        <v>Mar 2022</v>
      </c>
    </row>
    <row r="767" spans="1:11" x14ac:dyDescent="0.25">
      <c r="A767" s="6">
        <v>43971</v>
      </c>
      <c r="B767" t="s">
        <v>10</v>
      </c>
      <c r="C767" t="s">
        <v>11</v>
      </c>
      <c r="D767" t="s">
        <v>17</v>
      </c>
      <c r="E767">
        <v>94</v>
      </c>
      <c r="F767" s="3">
        <v>8336886.6600000001</v>
      </c>
      <c r="G767">
        <v>2195179.33</v>
      </c>
      <c r="H767">
        <v>6141707.3300000001</v>
      </c>
      <c r="I767">
        <v>2.19</v>
      </c>
      <c r="J767">
        <v>4.7</v>
      </c>
      <c r="K767" t="str">
        <f t="shared" si="11"/>
        <v>May 2020</v>
      </c>
    </row>
    <row r="768" spans="1:11" x14ac:dyDescent="0.25">
      <c r="A768" s="6">
        <v>44924</v>
      </c>
      <c r="B768" t="s">
        <v>10</v>
      </c>
      <c r="C768" t="s">
        <v>15</v>
      </c>
      <c r="D768" t="s">
        <v>12</v>
      </c>
      <c r="E768">
        <v>305</v>
      </c>
      <c r="F768" s="3">
        <v>24139291.239999998</v>
      </c>
      <c r="G768">
        <v>4841193.28</v>
      </c>
      <c r="H768">
        <v>19298097.960000001</v>
      </c>
      <c r="I768">
        <v>0.64</v>
      </c>
      <c r="J768">
        <v>4.8499999999999996</v>
      </c>
      <c r="K768" t="str">
        <f t="shared" si="11"/>
        <v>Dec 2022</v>
      </c>
    </row>
    <row r="769" spans="1:11" x14ac:dyDescent="0.25">
      <c r="A769" s="6">
        <v>44858</v>
      </c>
      <c r="B769" t="s">
        <v>10</v>
      </c>
      <c r="C769" t="s">
        <v>15</v>
      </c>
      <c r="D769" t="s">
        <v>14</v>
      </c>
      <c r="E769">
        <v>288</v>
      </c>
      <c r="F769" s="3">
        <v>19632146.550000001</v>
      </c>
      <c r="G769">
        <v>5422432</v>
      </c>
      <c r="H769">
        <v>14209714.550000001</v>
      </c>
      <c r="I769">
        <v>4.7300000000000004</v>
      </c>
      <c r="J769">
        <v>4.66</v>
      </c>
      <c r="K769" t="str">
        <f t="shared" si="11"/>
        <v>Oct 2022</v>
      </c>
    </row>
    <row r="770" spans="1:11" x14ac:dyDescent="0.25">
      <c r="A770" s="6">
        <v>45228</v>
      </c>
      <c r="B770" t="s">
        <v>10</v>
      </c>
      <c r="C770" t="s">
        <v>11</v>
      </c>
      <c r="D770" t="s">
        <v>12</v>
      </c>
      <c r="E770">
        <v>415</v>
      </c>
      <c r="F770" s="3">
        <v>22177744.32</v>
      </c>
      <c r="G770">
        <v>8573842.5999999996</v>
      </c>
      <c r="H770">
        <v>13603901.720000001</v>
      </c>
      <c r="I770">
        <v>4.8899999999999997</v>
      </c>
      <c r="J770">
        <v>4.7300000000000004</v>
      </c>
      <c r="K770" t="str">
        <f t="shared" ref="K770:K833" si="12">TEXT(A770,"mmm yyyy")</f>
        <v>Oct 2023</v>
      </c>
    </row>
    <row r="771" spans="1:11" x14ac:dyDescent="0.25">
      <c r="A771" s="6">
        <v>44166</v>
      </c>
      <c r="B771" t="s">
        <v>10</v>
      </c>
      <c r="C771" t="s">
        <v>15</v>
      </c>
      <c r="D771" t="s">
        <v>14</v>
      </c>
      <c r="E771">
        <v>113</v>
      </c>
      <c r="F771" s="3">
        <v>9498115.6400000006</v>
      </c>
      <c r="G771">
        <v>3217863.82</v>
      </c>
      <c r="H771">
        <v>6280251.8200000003</v>
      </c>
      <c r="I771">
        <v>2.98</v>
      </c>
      <c r="J771">
        <v>4.68</v>
      </c>
      <c r="K771" t="str">
        <f t="shared" si="12"/>
        <v>Dec 2020</v>
      </c>
    </row>
    <row r="772" spans="1:11" x14ac:dyDescent="0.25">
      <c r="A772" s="6">
        <v>44187</v>
      </c>
      <c r="B772" t="s">
        <v>10</v>
      </c>
      <c r="C772" t="s">
        <v>13</v>
      </c>
      <c r="D772" t="s">
        <v>14</v>
      </c>
      <c r="E772">
        <v>120</v>
      </c>
      <c r="F772" s="3">
        <v>5591234.4699999997</v>
      </c>
      <c r="G772">
        <v>1980006.22</v>
      </c>
      <c r="H772">
        <v>3611228.25</v>
      </c>
      <c r="I772">
        <v>2.61</v>
      </c>
      <c r="J772">
        <v>3.9</v>
      </c>
      <c r="K772" t="str">
        <f t="shared" si="12"/>
        <v>Dec 2020</v>
      </c>
    </row>
    <row r="773" spans="1:11" x14ac:dyDescent="0.25">
      <c r="A773" s="6">
        <v>45264</v>
      </c>
      <c r="B773" t="s">
        <v>10</v>
      </c>
      <c r="C773" t="s">
        <v>11</v>
      </c>
      <c r="D773" t="s">
        <v>14</v>
      </c>
      <c r="E773">
        <v>443</v>
      </c>
      <c r="F773" s="3">
        <v>17328018.66</v>
      </c>
      <c r="G773">
        <v>5411690.2400000002</v>
      </c>
      <c r="H773">
        <v>11916328.43</v>
      </c>
      <c r="I773">
        <v>2.88</v>
      </c>
      <c r="J773">
        <v>4.9800000000000004</v>
      </c>
      <c r="K773" t="str">
        <f t="shared" si="12"/>
        <v>Dec 2023</v>
      </c>
    </row>
    <row r="774" spans="1:11" x14ac:dyDescent="0.25">
      <c r="A774" s="6">
        <v>45076</v>
      </c>
      <c r="B774" t="s">
        <v>10</v>
      </c>
      <c r="C774" t="s">
        <v>15</v>
      </c>
      <c r="D774" t="s">
        <v>14</v>
      </c>
      <c r="E774">
        <v>345</v>
      </c>
      <c r="F774" s="3">
        <v>14246338.07</v>
      </c>
      <c r="G774">
        <v>5673729.0800000001</v>
      </c>
      <c r="H774">
        <v>8572608.9800000004</v>
      </c>
      <c r="I774">
        <v>1.2</v>
      </c>
      <c r="J774">
        <v>3.81</v>
      </c>
      <c r="K774" t="str">
        <f t="shared" si="12"/>
        <v>May 2023</v>
      </c>
    </row>
    <row r="775" spans="1:11" x14ac:dyDescent="0.25">
      <c r="A775" s="6">
        <v>44273</v>
      </c>
      <c r="B775" t="s">
        <v>10</v>
      </c>
      <c r="C775" t="s">
        <v>16</v>
      </c>
      <c r="D775" t="s">
        <v>12</v>
      </c>
      <c r="E775">
        <v>241</v>
      </c>
      <c r="F775" s="3">
        <v>12403326.619999999</v>
      </c>
      <c r="G775">
        <v>4384561.09</v>
      </c>
      <c r="H775">
        <v>8018765.5199999996</v>
      </c>
      <c r="I775">
        <v>1.08</v>
      </c>
      <c r="J775">
        <v>3.88</v>
      </c>
      <c r="K775" t="str">
        <f t="shared" si="12"/>
        <v>Mar 2021</v>
      </c>
    </row>
    <row r="776" spans="1:11" x14ac:dyDescent="0.25">
      <c r="A776" s="6">
        <v>44409</v>
      </c>
      <c r="B776" t="s">
        <v>10</v>
      </c>
      <c r="C776" t="s">
        <v>11</v>
      </c>
      <c r="D776" t="s">
        <v>12</v>
      </c>
      <c r="E776">
        <v>98</v>
      </c>
      <c r="F776" s="3">
        <v>5336425.1399999997</v>
      </c>
      <c r="G776">
        <v>1811738.72</v>
      </c>
      <c r="H776">
        <v>3524686.42</v>
      </c>
      <c r="I776">
        <v>4.8899999999999997</v>
      </c>
      <c r="J776">
        <v>3.76</v>
      </c>
      <c r="K776" t="str">
        <f t="shared" si="12"/>
        <v>Aug 2021</v>
      </c>
    </row>
    <row r="777" spans="1:11" x14ac:dyDescent="0.25">
      <c r="A777" s="6">
        <v>44545</v>
      </c>
      <c r="B777" t="s">
        <v>10</v>
      </c>
      <c r="C777" t="s">
        <v>16</v>
      </c>
      <c r="D777" t="s">
        <v>14</v>
      </c>
      <c r="E777">
        <v>53</v>
      </c>
      <c r="F777" s="3">
        <v>2283277.41</v>
      </c>
      <c r="G777">
        <v>756840.18</v>
      </c>
      <c r="H777">
        <v>1526437.23</v>
      </c>
      <c r="I777">
        <v>4.3899999999999997</v>
      </c>
      <c r="J777">
        <v>3.73</v>
      </c>
      <c r="K777" t="str">
        <f t="shared" si="12"/>
        <v>Dec 2021</v>
      </c>
    </row>
    <row r="778" spans="1:11" x14ac:dyDescent="0.25">
      <c r="A778" s="6">
        <v>44780</v>
      </c>
      <c r="B778" t="s">
        <v>10</v>
      </c>
      <c r="C778" t="s">
        <v>18</v>
      </c>
      <c r="D778" t="s">
        <v>17</v>
      </c>
      <c r="E778">
        <v>327</v>
      </c>
      <c r="F778" s="3">
        <v>20159415.84</v>
      </c>
      <c r="G778">
        <v>6844446.2000000002</v>
      </c>
      <c r="H778">
        <v>13314969.640000001</v>
      </c>
      <c r="I778">
        <v>3.04</v>
      </c>
      <c r="J778">
        <v>4.71</v>
      </c>
      <c r="K778" t="str">
        <f t="shared" si="12"/>
        <v>Aug 2022</v>
      </c>
    </row>
    <row r="779" spans="1:11" x14ac:dyDescent="0.25">
      <c r="A779" s="6">
        <v>44195</v>
      </c>
      <c r="B779" t="s">
        <v>10</v>
      </c>
      <c r="C779" t="s">
        <v>13</v>
      </c>
      <c r="D779" t="s">
        <v>14</v>
      </c>
      <c r="E779">
        <v>241</v>
      </c>
      <c r="F779" s="3">
        <v>16132166.369999999</v>
      </c>
      <c r="G779">
        <v>4821876.26</v>
      </c>
      <c r="H779">
        <v>11310290.1</v>
      </c>
      <c r="I779">
        <v>1.1499999999999999</v>
      </c>
      <c r="J779">
        <v>4.4400000000000004</v>
      </c>
      <c r="K779" t="str">
        <f t="shared" si="12"/>
        <v>Dec 2020</v>
      </c>
    </row>
    <row r="780" spans="1:11" x14ac:dyDescent="0.25">
      <c r="A780" s="6">
        <v>44515</v>
      </c>
      <c r="B780" t="s">
        <v>10</v>
      </c>
      <c r="C780" t="s">
        <v>18</v>
      </c>
      <c r="D780" t="s">
        <v>17</v>
      </c>
      <c r="E780">
        <v>161</v>
      </c>
      <c r="F780" s="3">
        <v>7177925.3200000003</v>
      </c>
      <c r="G780">
        <v>1614450.89</v>
      </c>
      <c r="H780">
        <v>5563474.4299999997</v>
      </c>
      <c r="I780">
        <v>2.4900000000000002</v>
      </c>
      <c r="J780">
        <v>4.9800000000000004</v>
      </c>
      <c r="K780" t="str">
        <f t="shared" si="12"/>
        <v>Nov 2021</v>
      </c>
    </row>
    <row r="781" spans="1:11" x14ac:dyDescent="0.25">
      <c r="A781" s="6">
        <v>44960</v>
      </c>
      <c r="B781" t="s">
        <v>10</v>
      </c>
      <c r="C781" t="s">
        <v>18</v>
      </c>
      <c r="D781" t="s">
        <v>17</v>
      </c>
      <c r="E781">
        <v>362</v>
      </c>
      <c r="F781" s="3">
        <v>26909362.309999999</v>
      </c>
      <c r="G781">
        <v>9246492.5899999999</v>
      </c>
      <c r="H781">
        <v>17662869.719999999</v>
      </c>
      <c r="I781">
        <v>2.14</v>
      </c>
      <c r="J781">
        <v>3.79</v>
      </c>
      <c r="K781" t="str">
        <f t="shared" si="12"/>
        <v>Feb 2023</v>
      </c>
    </row>
    <row r="782" spans="1:11" x14ac:dyDescent="0.25">
      <c r="A782" s="6">
        <v>44378</v>
      </c>
      <c r="B782" t="s">
        <v>10</v>
      </c>
      <c r="C782" t="s">
        <v>11</v>
      </c>
      <c r="D782" t="s">
        <v>17</v>
      </c>
      <c r="E782">
        <v>138</v>
      </c>
      <c r="F782" s="3">
        <v>9188842.6899999995</v>
      </c>
      <c r="G782">
        <v>2449355.2400000002</v>
      </c>
      <c r="H782">
        <v>6739487.46</v>
      </c>
      <c r="I782">
        <v>4</v>
      </c>
      <c r="J782">
        <v>4.79</v>
      </c>
      <c r="K782" t="str">
        <f t="shared" si="12"/>
        <v>Jul 2021</v>
      </c>
    </row>
    <row r="783" spans="1:11" x14ac:dyDescent="0.25">
      <c r="A783" s="6">
        <v>45322</v>
      </c>
      <c r="B783" t="s">
        <v>10</v>
      </c>
      <c r="C783" t="s">
        <v>18</v>
      </c>
      <c r="D783" t="s">
        <v>14</v>
      </c>
      <c r="E783">
        <v>320</v>
      </c>
      <c r="F783" s="3">
        <v>11991321.369999999</v>
      </c>
      <c r="G783">
        <v>4493492.3099999996</v>
      </c>
      <c r="H783">
        <v>7497829.0599999996</v>
      </c>
      <c r="I783">
        <v>3.03</v>
      </c>
      <c r="J783">
        <v>4.6500000000000004</v>
      </c>
      <c r="K783" t="str">
        <f t="shared" si="12"/>
        <v>Jan 2024</v>
      </c>
    </row>
    <row r="784" spans="1:11" x14ac:dyDescent="0.25">
      <c r="A784" s="6">
        <v>44502</v>
      </c>
      <c r="B784" t="s">
        <v>10</v>
      </c>
      <c r="C784" t="s">
        <v>18</v>
      </c>
      <c r="D784" t="s">
        <v>14</v>
      </c>
      <c r="E784">
        <v>89</v>
      </c>
      <c r="F784" s="3">
        <v>4933332.25</v>
      </c>
      <c r="G784">
        <v>1780768.65</v>
      </c>
      <c r="H784">
        <v>3152563.61</v>
      </c>
      <c r="I784">
        <v>2.7</v>
      </c>
      <c r="J784">
        <v>4.6100000000000003</v>
      </c>
      <c r="K784" t="str">
        <f t="shared" si="12"/>
        <v>Nov 2021</v>
      </c>
    </row>
    <row r="785" spans="1:11" x14ac:dyDescent="0.25">
      <c r="A785" s="6">
        <v>43903</v>
      </c>
      <c r="B785" t="s">
        <v>10</v>
      </c>
      <c r="C785" t="s">
        <v>15</v>
      </c>
      <c r="D785" t="s">
        <v>12</v>
      </c>
      <c r="E785">
        <v>496</v>
      </c>
      <c r="F785" s="3">
        <v>32625311.149999999</v>
      </c>
      <c r="G785">
        <v>8567151.25</v>
      </c>
      <c r="H785">
        <v>24058159.899999999</v>
      </c>
      <c r="I785">
        <v>3.46</v>
      </c>
      <c r="J785">
        <v>3.68</v>
      </c>
      <c r="K785" t="str">
        <f t="shared" si="12"/>
        <v>Mar 2020</v>
      </c>
    </row>
    <row r="786" spans="1:11" x14ac:dyDescent="0.25">
      <c r="A786" s="6">
        <v>44986</v>
      </c>
      <c r="B786" t="s">
        <v>10</v>
      </c>
      <c r="C786" t="s">
        <v>13</v>
      </c>
      <c r="D786" t="s">
        <v>17</v>
      </c>
      <c r="E786">
        <v>97</v>
      </c>
      <c r="F786" s="3">
        <v>5565303.6100000003</v>
      </c>
      <c r="G786">
        <v>1860778.07</v>
      </c>
      <c r="H786">
        <v>3704525.55</v>
      </c>
      <c r="I786">
        <v>2.54</v>
      </c>
      <c r="J786">
        <v>4.6399999999999997</v>
      </c>
      <c r="K786" t="str">
        <f t="shared" si="12"/>
        <v>Mar 2023</v>
      </c>
    </row>
    <row r="787" spans="1:11" x14ac:dyDescent="0.25">
      <c r="A787" s="6">
        <v>44606</v>
      </c>
      <c r="B787" t="s">
        <v>10</v>
      </c>
      <c r="C787" t="s">
        <v>13</v>
      </c>
      <c r="D787" t="s">
        <v>17</v>
      </c>
      <c r="E787">
        <v>367</v>
      </c>
      <c r="F787" s="3">
        <v>31078070.420000002</v>
      </c>
      <c r="G787">
        <v>6900054.3399999999</v>
      </c>
      <c r="H787">
        <v>24178016.079999998</v>
      </c>
      <c r="I787">
        <v>4.18</v>
      </c>
      <c r="J787">
        <v>4.2699999999999996</v>
      </c>
      <c r="K787" t="str">
        <f t="shared" si="12"/>
        <v>Feb 2022</v>
      </c>
    </row>
    <row r="788" spans="1:11" x14ac:dyDescent="0.25">
      <c r="A788" s="6">
        <v>44715</v>
      </c>
      <c r="B788" t="s">
        <v>10</v>
      </c>
      <c r="C788" t="s">
        <v>15</v>
      </c>
      <c r="D788" t="s">
        <v>12</v>
      </c>
      <c r="E788">
        <v>126</v>
      </c>
      <c r="F788" s="3">
        <v>8424649.25</v>
      </c>
      <c r="G788">
        <v>2544876.83</v>
      </c>
      <c r="H788">
        <v>5879772.4199999999</v>
      </c>
      <c r="I788">
        <v>3.4</v>
      </c>
      <c r="J788">
        <v>3.84</v>
      </c>
      <c r="K788" t="str">
        <f t="shared" si="12"/>
        <v>Jun 2022</v>
      </c>
    </row>
    <row r="789" spans="1:11" x14ac:dyDescent="0.25">
      <c r="A789" s="6">
        <v>45093</v>
      </c>
      <c r="B789" t="s">
        <v>10</v>
      </c>
      <c r="C789" t="s">
        <v>11</v>
      </c>
      <c r="D789" t="s">
        <v>14</v>
      </c>
      <c r="E789">
        <v>88</v>
      </c>
      <c r="F789" s="3">
        <v>7592442.1500000004</v>
      </c>
      <c r="G789">
        <v>1910861.86</v>
      </c>
      <c r="H789">
        <v>5681580.29</v>
      </c>
      <c r="I789">
        <v>1.76</v>
      </c>
      <c r="J789">
        <v>3.7</v>
      </c>
      <c r="K789" t="str">
        <f t="shared" si="12"/>
        <v>Jun 2023</v>
      </c>
    </row>
    <row r="790" spans="1:11" x14ac:dyDescent="0.25">
      <c r="A790" s="6">
        <v>44998</v>
      </c>
      <c r="B790" t="s">
        <v>10</v>
      </c>
      <c r="C790" t="s">
        <v>11</v>
      </c>
      <c r="D790" t="s">
        <v>14</v>
      </c>
      <c r="E790">
        <v>169</v>
      </c>
      <c r="F790" s="3">
        <v>7637087.9500000002</v>
      </c>
      <c r="G790">
        <v>2629230.87</v>
      </c>
      <c r="H790">
        <v>5007857.09</v>
      </c>
      <c r="I790">
        <v>1.48</v>
      </c>
      <c r="J790">
        <v>3.77</v>
      </c>
      <c r="K790" t="str">
        <f t="shared" si="12"/>
        <v>Mar 2023</v>
      </c>
    </row>
    <row r="791" spans="1:11" x14ac:dyDescent="0.25">
      <c r="A791" s="6">
        <v>45429</v>
      </c>
      <c r="B791" t="s">
        <v>10</v>
      </c>
      <c r="C791" t="s">
        <v>18</v>
      </c>
      <c r="D791" t="s">
        <v>12</v>
      </c>
      <c r="E791">
        <v>275</v>
      </c>
      <c r="F791" s="3">
        <v>23285760.530000001</v>
      </c>
      <c r="G791">
        <v>6502078.3399999999</v>
      </c>
      <c r="H791">
        <v>16783682.190000001</v>
      </c>
      <c r="I791">
        <v>3.09</v>
      </c>
      <c r="J791">
        <v>4.34</v>
      </c>
      <c r="K791" t="str">
        <f t="shared" si="12"/>
        <v>May 2024</v>
      </c>
    </row>
    <row r="792" spans="1:11" x14ac:dyDescent="0.25">
      <c r="A792" s="6">
        <v>45437</v>
      </c>
      <c r="B792" t="s">
        <v>10</v>
      </c>
      <c r="C792" t="s">
        <v>11</v>
      </c>
      <c r="D792" t="s">
        <v>14</v>
      </c>
      <c r="E792">
        <v>367</v>
      </c>
      <c r="F792" s="3">
        <v>15731477.66</v>
      </c>
      <c r="G792">
        <v>5114151.5999999996</v>
      </c>
      <c r="H792">
        <v>10617326.060000001</v>
      </c>
      <c r="I792">
        <v>4.09</v>
      </c>
      <c r="J792">
        <v>4.05</v>
      </c>
      <c r="K792" t="str">
        <f t="shared" si="12"/>
        <v>May 2024</v>
      </c>
    </row>
    <row r="793" spans="1:11" x14ac:dyDescent="0.25">
      <c r="A793" s="6">
        <v>44770</v>
      </c>
      <c r="B793" t="s">
        <v>10</v>
      </c>
      <c r="C793" t="s">
        <v>16</v>
      </c>
      <c r="D793" t="s">
        <v>17</v>
      </c>
      <c r="E793">
        <v>236</v>
      </c>
      <c r="F793" s="3">
        <v>12640494.630000001</v>
      </c>
      <c r="G793">
        <v>3212041.28</v>
      </c>
      <c r="H793">
        <v>9428453.3499999996</v>
      </c>
      <c r="I793">
        <v>3.08</v>
      </c>
      <c r="J793">
        <v>4.01</v>
      </c>
      <c r="K793" t="str">
        <f t="shared" si="12"/>
        <v>Jul 2022</v>
      </c>
    </row>
    <row r="794" spans="1:11" x14ac:dyDescent="0.25">
      <c r="A794" s="6">
        <v>44032</v>
      </c>
      <c r="B794" t="s">
        <v>10</v>
      </c>
      <c r="C794" t="s">
        <v>16</v>
      </c>
      <c r="D794" t="s">
        <v>14</v>
      </c>
      <c r="E794">
        <v>357</v>
      </c>
      <c r="F794" s="3">
        <v>25704733.199999999</v>
      </c>
      <c r="G794">
        <v>9148292.6300000008</v>
      </c>
      <c r="H794">
        <v>16556440.57</v>
      </c>
      <c r="I794">
        <v>1.48</v>
      </c>
      <c r="J794">
        <v>4.8099999999999996</v>
      </c>
      <c r="K794" t="str">
        <f t="shared" si="12"/>
        <v>Jul 2020</v>
      </c>
    </row>
    <row r="795" spans="1:11" x14ac:dyDescent="0.25">
      <c r="A795" s="6">
        <v>44871</v>
      </c>
      <c r="B795" t="s">
        <v>10</v>
      </c>
      <c r="C795" t="s">
        <v>13</v>
      </c>
      <c r="D795" t="s">
        <v>12</v>
      </c>
      <c r="E795">
        <v>432</v>
      </c>
      <c r="F795" s="3">
        <v>21374756.949999999</v>
      </c>
      <c r="G795">
        <v>8547109.5700000003</v>
      </c>
      <c r="H795">
        <v>12827647.390000001</v>
      </c>
      <c r="I795">
        <v>4.42</v>
      </c>
      <c r="J795">
        <v>4.6900000000000004</v>
      </c>
      <c r="K795" t="str">
        <f t="shared" si="12"/>
        <v>Nov 2022</v>
      </c>
    </row>
    <row r="796" spans="1:11" x14ac:dyDescent="0.25">
      <c r="A796" s="6">
        <v>44891</v>
      </c>
      <c r="B796" t="s">
        <v>10</v>
      </c>
      <c r="C796" t="s">
        <v>18</v>
      </c>
      <c r="D796" t="s">
        <v>17</v>
      </c>
      <c r="E796">
        <v>325</v>
      </c>
      <c r="F796" s="3">
        <v>18105478.890000001</v>
      </c>
      <c r="G796">
        <v>6401895.5</v>
      </c>
      <c r="H796">
        <v>11703583.4</v>
      </c>
      <c r="I796">
        <v>1.69</v>
      </c>
      <c r="J796">
        <v>4.33</v>
      </c>
      <c r="K796" t="str">
        <f t="shared" si="12"/>
        <v>Nov 2022</v>
      </c>
    </row>
    <row r="797" spans="1:11" x14ac:dyDescent="0.25">
      <c r="A797" s="6">
        <v>45367</v>
      </c>
      <c r="B797" t="s">
        <v>10</v>
      </c>
      <c r="C797" t="s">
        <v>13</v>
      </c>
      <c r="D797" t="s">
        <v>14</v>
      </c>
      <c r="E797">
        <v>322</v>
      </c>
      <c r="F797" s="3">
        <v>16475838.58</v>
      </c>
      <c r="G797">
        <v>5809101.5499999998</v>
      </c>
      <c r="H797">
        <v>10666737.02</v>
      </c>
      <c r="I797">
        <v>4.7699999999999996</v>
      </c>
      <c r="J797">
        <v>4.92</v>
      </c>
      <c r="K797" t="str">
        <f t="shared" si="12"/>
        <v>Mar 2024</v>
      </c>
    </row>
    <row r="798" spans="1:11" x14ac:dyDescent="0.25">
      <c r="A798" s="6">
        <v>45111</v>
      </c>
      <c r="B798" t="s">
        <v>10</v>
      </c>
      <c r="C798" t="s">
        <v>18</v>
      </c>
      <c r="D798" t="s">
        <v>12</v>
      </c>
      <c r="E798">
        <v>377</v>
      </c>
      <c r="F798" s="3">
        <v>17498361.309999999</v>
      </c>
      <c r="G798">
        <v>6165909.29</v>
      </c>
      <c r="H798">
        <v>11332452.029999999</v>
      </c>
      <c r="I798">
        <v>4.59</v>
      </c>
      <c r="J798">
        <v>4.2</v>
      </c>
      <c r="K798" t="str">
        <f t="shared" si="12"/>
        <v>Jul 2023</v>
      </c>
    </row>
    <row r="799" spans="1:11" x14ac:dyDescent="0.25">
      <c r="A799" s="6">
        <v>45451</v>
      </c>
      <c r="B799" t="s">
        <v>10</v>
      </c>
      <c r="C799" t="s">
        <v>13</v>
      </c>
      <c r="D799" t="s">
        <v>12</v>
      </c>
      <c r="E799">
        <v>205</v>
      </c>
      <c r="F799" s="3">
        <v>15750490.369999999</v>
      </c>
      <c r="G799">
        <v>5813530.5499999998</v>
      </c>
      <c r="H799">
        <v>9936959.8200000003</v>
      </c>
      <c r="I799">
        <v>2.69</v>
      </c>
      <c r="J799">
        <v>4.1399999999999997</v>
      </c>
      <c r="K799" t="str">
        <f t="shared" si="12"/>
        <v>Jun 2024</v>
      </c>
    </row>
    <row r="800" spans="1:11" x14ac:dyDescent="0.25">
      <c r="A800" s="6">
        <v>44456</v>
      </c>
      <c r="B800" t="s">
        <v>10</v>
      </c>
      <c r="C800" t="s">
        <v>16</v>
      </c>
      <c r="D800" t="s">
        <v>14</v>
      </c>
      <c r="E800">
        <v>450</v>
      </c>
      <c r="F800" s="3">
        <v>33176060.969999999</v>
      </c>
      <c r="G800">
        <v>7065359.1500000004</v>
      </c>
      <c r="H800">
        <v>26110701.809999999</v>
      </c>
      <c r="I800">
        <v>2.19</v>
      </c>
      <c r="J800">
        <v>4.5599999999999996</v>
      </c>
      <c r="K800" t="str">
        <f t="shared" si="12"/>
        <v>Sep 2021</v>
      </c>
    </row>
    <row r="801" spans="1:11" x14ac:dyDescent="0.25">
      <c r="A801" s="6">
        <v>45564</v>
      </c>
      <c r="B801" t="s">
        <v>10</v>
      </c>
      <c r="C801" t="s">
        <v>11</v>
      </c>
      <c r="D801" t="s">
        <v>12</v>
      </c>
      <c r="E801">
        <v>387</v>
      </c>
      <c r="F801" s="3">
        <v>17178527.510000002</v>
      </c>
      <c r="G801">
        <v>6766746.75</v>
      </c>
      <c r="H801">
        <v>10411780.76</v>
      </c>
      <c r="I801">
        <v>1.42</v>
      </c>
      <c r="J801">
        <v>4.01</v>
      </c>
      <c r="K801" t="str">
        <f t="shared" si="12"/>
        <v>Sep 2024</v>
      </c>
    </row>
    <row r="802" spans="1:11" x14ac:dyDescent="0.25">
      <c r="A802" s="6">
        <v>45180</v>
      </c>
      <c r="B802" t="s">
        <v>10</v>
      </c>
      <c r="C802" t="s">
        <v>15</v>
      </c>
      <c r="D802" t="s">
        <v>17</v>
      </c>
      <c r="E802">
        <v>473</v>
      </c>
      <c r="F802" s="3">
        <v>22453671.91</v>
      </c>
      <c r="G802">
        <v>5972530.6100000003</v>
      </c>
      <c r="H802">
        <v>16481141.300000001</v>
      </c>
      <c r="I802">
        <v>2.61</v>
      </c>
      <c r="J802">
        <v>4.66</v>
      </c>
      <c r="K802" t="str">
        <f t="shared" si="12"/>
        <v>Sep 2023</v>
      </c>
    </row>
    <row r="803" spans="1:11" x14ac:dyDescent="0.25">
      <c r="A803" s="6">
        <v>44554</v>
      </c>
      <c r="B803" t="s">
        <v>10</v>
      </c>
      <c r="C803" t="s">
        <v>18</v>
      </c>
      <c r="D803" t="s">
        <v>12</v>
      </c>
      <c r="E803">
        <v>102</v>
      </c>
      <c r="F803" s="3">
        <v>3851863.29</v>
      </c>
      <c r="G803">
        <v>1513850.41</v>
      </c>
      <c r="H803">
        <v>2338012.88</v>
      </c>
      <c r="I803">
        <v>2.98</v>
      </c>
      <c r="J803">
        <v>4.16</v>
      </c>
      <c r="K803" t="str">
        <f t="shared" si="12"/>
        <v>Dec 2021</v>
      </c>
    </row>
    <row r="804" spans="1:11" x14ac:dyDescent="0.25">
      <c r="A804" s="6">
        <v>44505</v>
      </c>
      <c r="B804" t="s">
        <v>10</v>
      </c>
      <c r="C804" t="s">
        <v>16</v>
      </c>
      <c r="D804" t="s">
        <v>17</v>
      </c>
      <c r="E804">
        <v>231</v>
      </c>
      <c r="F804" s="3">
        <v>20744240.32</v>
      </c>
      <c r="G804">
        <v>4995182.3600000003</v>
      </c>
      <c r="H804">
        <v>15749057.960000001</v>
      </c>
      <c r="I804">
        <v>3.89</v>
      </c>
      <c r="J804">
        <v>3.82</v>
      </c>
      <c r="K804" t="str">
        <f t="shared" si="12"/>
        <v>Nov 2021</v>
      </c>
    </row>
    <row r="805" spans="1:11" x14ac:dyDescent="0.25">
      <c r="A805" s="6">
        <v>43946</v>
      </c>
      <c r="B805" t="s">
        <v>10</v>
      </c>
      <c r="C805" t="s">
        <v>11</v>
      </c>
      <c r="D805" t="s">
        <v>17</v>
      </c>
      <c r="E805">
        <v>337</v>
      </c>
      <c r="F805" s="3">
        <v>12714602.41</v>
      </c>
      <c r="G805">
        <v>3243245.14</v>
      </c>
      <c r="H805">
        <v>9471357.2699999996</v>
      </c>
      <c r="I805">
        <v>1</v>
      </c>
      <c r="J805">
        <v>4.41</v>
      </c>
      <c r="K805" t="str">
        <f t="shared" si="12"/>
        <v>Apr 2020</v>
      </c>
    </row>
    <row r="806" spans="1:11" x14ac:dyDescent="0.25">
      <c r="A806" s="6">
        <v>44027</v>
      </c>
      <c r="B806" t="s">
        <v>10</v>
      </c>
      <c r="C806" t="s">
        <v>15</v>
      </c>
      <c r="D806" t="s">
        <v>12</v>
      </c>
      <c r="E806">
        <v>121</v>
      </c>
      <c r="F806" s="3">
        <v>10373355.609999999</v>
      </c>
      <c r="G806">
        <v>2706149.87</v>
      </c>
      <c r="H806">
        <v>7667205.7400000002</v>
      </c>
      <c r="I806">
        <v>3.25</v>
      </c>
      <c r="J806">
        <v>3.8</v>
      </c>
      <c r="K806" t="str">
        <f t="shared" si="12"/>
        <v>Jul 2020</v>
      </c>
    </row>
    <row r="807" spans="1:11" x14ac:dyDescent="0.25">
      <c r="A807" s="6">
        <v>44071</v>
      </c>
      <c r="B807" t="s">
        <v>10</v>
      </c>
      <c r="C807" t="s">
        <v>15</v>
      </c>
      <c r="D807" t="s">
        <v>17</v>
      </c>
      <c r="E807">
        <v>420</v>
      </c>
      <c r="F807" s="3">
        <v>32042778.899999999</v>
      </c>
      <c r="G807">
        <v>12012925.630000001</v>
      </c>
      <c r="H807">
        <v>20029853.27</v>
      </c>
      <c r="I807">
        <v>3.98</v>
      </c>
      <c r="J807">
        <v>3.86</v>
      </c>
      <c r="K807" t="str">
        <f t="shared" si="12"/>
        <v>Aug 2020</v>
      </c>
    </row>
    <row r="808" spans="1:11" x14ac:dyDescent="0.25">
      <c r="A808" s="6">
        <v>44124</v>
      </c>
      <c r="B808" t="s">
        <v>10</v>
      </c>
      <c r="C808" t="s">
        <v>15</v>
      </c>
      <c r="D808" t="s">
        <v>17</v>
      </c>
      <c r="E808">
        <v>270</v>
      </c>
      <c r="F808" s="3">
        <v>22168927.030000001</v>
      </c>
      <c r="G808">
        <v>5165067.6100000003</v>
      </c>
      <c r="H808">
        <v>17003859.420000002</v>
      </c>
      <c r="I808">
        <v>4.67</v>
      </c>
      <c r="J808">
        <v>4.05</v>
      </c>
      <c r="K808" t="str">
        <f t="shared" si="12"/>
        <v>Oct 2020</v>
      </c>
    </row>
    <row r="809" spans="1:11" x14ac:dyDescent="0.25">
      <c r="A809" s="6">
        <v>44036</v>
      </c>
      <c r="B809" t="s">
        <v>10</v>
      </c>
      <c r="C809" t="s">
        <v>15</v>
      </c>
      <c r="D809" t="s">
        <v>14</v>
      </c>
      <c r="E809">
        <v>151</v>
      </c>
      <c r="F809" s="3">
        <v>5444086.3099999996</v>
      </c>
      <c r="G809">
        <v>1277336.6499999999</v>
      </c>
      <c r="H809">
        <v>4166749.66</v>
      </c>
      <c r="I809">
        <v>2.86</v>
      </c>
      <c r="J809">
        <v>4.66</v>
      </c>
      <c r="K809" t="str">
        <f t="shared" si="12"/>
        <v>Jul 2020</v>
      </c>
    </row>
    <row r="810" spans="1:11" x14ac:dyDescent="0.25">
      <c r="A810" s="6">
        <v>44563</v>
      </c>
      <c r="B810" t="s">
        <v>10</v>
      </c>
      <c r="C810" t="s">
        <v>15</v>
      </c>
      <c r="D810" t="s">
        <v>14</v>
      </c>
      <c r="E810">
        <v>276</v>
      </c>
      <c r="F810" s="3">
        <v>16014079.09</v>
      </c>
      <c r="G810">
        <v>5468755.4000000004</v>
      </c>
      <c r="H810">
        <v>10545323.689999999</v>
      </c>
      <c r="I810">
        <v>1.99</v>
      </c>
      <c r="J810">
        <v>3.94</v>
      </c>
      <c r="K810" t="str">
        <f t="shared" si="12"/>
        <v>Jan 2022</v>
      </c>
    </row>
    <row r="811" spans="1:11" x14ac:dyDescent="0.25">
      <c r="A811" s="6">
        <v>44152</v>
      </c>
      <c r="B811" t="s">
        <v>10</v>
      </c>
      <c r="C811" t="s">
        <v>13</v>
      </c>
      <c r="D811" t="s">
        <v>14</v>
      </c>
      <c r="E811">
        <v>153</v>
      </c>
      <c r="F811" s="3">
        <v>13207920.810000001</v>
      </c>
      <c r="G811">
        <v>4581837.22</v>
      </c>
      <c r="H811">
        <v>8626083.5899999999</v>
      </c>
      <c r="I811">
        <v>3.25</v>
      </c>
      <c r="J811">
        <v>4.5199999999999996</v>
      </c>
      <c r="K811" t="str">
        <f t="shared" si="12"/>
        <v>Nov 2020</v>
      </c>
    </row>
    <row r="812" spans="1:11" x14ac:dyDescent="0.25">
      <c r="A812" s="6">
        <v>44041</v>
      </c>
      <c r="B812" t="s">
        <v>10</v>
      </c>
      <c r="C812" t="s">
        <v>15</v>
      </c>
      <c r="D812" t="s">
        <v>14</v>
      </c>
      <c r="E812">
        <v>77</v>
      </c>
      <c r="F812" s="3">
        <v>6286742.6100000003</v>
      </c>
      <c r="G812">
        <v>1323784.98</v>
      </c>
      <c r="H812">
        <v>4962957.63</v>
      </c>
      <c r="I812">
        <v>4.4800000000000004</v>
      </c>
      <c r="J812">
        <v>4.6100000000000003</v>
      </c>
      <c r="K812" t="str">
        <f t="shared" si="12"/>
        <v>Jul 2020</v>
      </c>
    </row>
    <row r="813" spans="1:11" x14ac:dyDescent="0.25">
      <c r="A813" s="6">
        <v>45465</v>
      </c>
      <c r="B813" t="s">
        <v>10</v>
      </c>
      <c r="C813" t="s">
        <v>18</v>
      </c>
      <c r="D813" t="s">
        <v>14</v>
      </c>
      <c r="E813">
        <v>267</v>
      </c>
      <c r="F813" s="3">
        <v>22751391.809999999</v>
      </c>
      <c r="G813">
        <v>7554507.54</v>
      </c>
      <c r="H813">
        <v>15196884.26</v>
      </c>
      <c r="I813">
        <v>2.5499999999999998</v>
      </c>
      <c r="J813">
        <v>4.5199999999999996</v>
      </c>
      <c r="K813" t="str">
        <f t="shared" si="12"/>
        <v>Jun 2024</v>
      </c>
    </row>
    <row r="814" spans="1:11" x14ac:dyDescent="0.25">
      <c r="A814" s="6">
        <v>44986</v>
      </c>
      <c r="B814" t="s">
        <v>10</v>
      </c>
      <c r="C814" t="s">
        <v>11</v>
      </c>
      <c r="D814" t="s">
        <v>17</v>
      </c>
      <c r="E814">
        <v>154</v>
      </c>
      <c r="F814" s="3">
        <v>8328124.2199999997</v>
      </c>
      <c r="G814">
        <v>2605628.9</v>
      </c>
      <c r="H814">
        <v>5722495.3200000003</v>
      </c>
      <c r="I814">
        <v>4.08</v>
      </c>
      <c r="J814">
        <v>3.92</v>
      </c>
      <c r="K814" t="str">
        <f t="shared" si="12"/>
        <v>Mar 2023</v>
      </c>
    </row>
    <row r="815" spans="1:11" x14ac:dyDescent="0.25">
      <c r="A815" s="6">
        <v>44108</v>
      </c>
      <c r="B815" t="s">
        <v>10</v>
      </c>
      <c r="C815" t="s">
        <v>18</v>
      </c>
      <c r="D815" t="s">
        <v>12</v>
      </c>
      <c r="E815">
        <v>287</v>
      </c>
      <c r="F815" s="3">
        <v>11291058.48</v>
      </c>
      <c r="G815">
        <v>3516491.46</v>
      </c>
      <c r="H815">
        <v>7774567.0199999996</v>
      </c>
      <c r="I815">
        <v>1.67</v>
      </c>
      <c r="J815">
        <v>4.0199999999999996</v>
      </c>
      <c r="K815" t="str">
        <f t="shared" si="12"/>
        <v>Oct 2020</v>
      </c>
    </row>
    <row r="816" spans="1:11" x14ac:dyDescent="0.25">
      <c r="A816" s="6">
        <v>44030</v>
      </c>
      <c r="B816" t="s">
        <v>10</v>
      </c>
      <c r="C816" t="s">
        <v>15</v>
      </c>
      <c r="D816" t="s">
        <v>14</v>
      </c>
      <c r="E816">
        <v>345</v>
      </c>
      <c r="F816" s="3">
        <v>22340530.010000002</v>
      </c>
      <c r="G816">
        <v>4535816.82</v>
      </c>
      <c r="H816">
        <v>17804713.18</v>
      </c>
      <c r="I816">
        <v>4.7300000000000004</v>
      </c>
      <c r="J816">
        <v>4.18</v>
      </c>
      <c r="K816" t="str">
        <f t="shared" si="12"/>
        <v>Jul 2020</v>
      </c>
    </row>
    <row r="817" spans="1:11" x14ac:dyDescent="0.25">
      <c r="A817" s="6">
        <v>44920</v>
      </c>
      <c r="B817" t="s">
        <v>10</v>
      </c>
      <c r="C817" t="s">
        <v>18</v>
      </c>
      <c r="D817" t="s">
        <v>12</v>
      </c>
      <c r="E817">
        <v>471</v>
      </c>
      <c r="F817" s="3">
        <v>18086148.170000002</v>
      </c>
      <c r="G817">
        <v>6900370.0300000003</v>
      </c>
      <c r="H817">
        <v>11185778.140000001</v>
      </c>
      <c r="I817">
        <v>1.23</v>
      </c>
      <c r="J817">
        <v>4.3899999999999997</v>
      </c>
      <c r="K817" t="str">
        <f t="shared" si="12"/>
        <v>Dec 2022</v>
      </c>
    </row>
    <row r="818" spans="1:11" x14ac:dyDescent="0.25">
      <c r="A818" s="6">
        <v>44329</v>
      </c>
      <c r="B818" t="s">
        <v>10</v>
      </c>
      <c r="C818" t="s">
        <v>13</v>
      </c>
      <c r="D818" t="s">
        <v>14</v>
      </c>
      <c r="E818">
        <v>424</v>
      </c>
      <c r="F818" s="3">
        <v>37415541.219999999</v>
      </c>
      <c r="G818">
        <v>11623403.32</v>
      </c>
      <c r="H818">
        <v>25792137.890000001</v>
      </c>
      <c r="I818">
        <v>2.76</v>
      </c>
      <c r="J818">
        <v>3.87</v>
      </c>
      <c r="K818" t="str">
        <f t="shared" si="12"/>
        <v>May 2021</v>
      </c>
    </row>
    <row r="819" spans="1:11" x14ac:dyDescent="0.25">
      <c r="A819" s="6">
        <v>44575</v>
      </c>
      <c r="B819" t="s">
        <v>10</v>
      </c>
      <c r="C819" t="s">
        <v>13</v>
      </c>
      <c r="D819" t="s">
        <v>17</v>
      </c>
      <c r="E819">
        <v>167</v>
      </c>
      <c r="F819" s="3">
        <v>11924676.720000001</v>
      </c>
      <c r="G819">
        <v>2978361.78</v>
      </c>
      <c r="H819">
        <v>8946314.9299999997</v>
      </c>
      <c r="I819">
        <v>3.89</v>
      </c>
      <c r="J819">
        <v>4.37</v>
      </c>
      <c r="K819" t="str">
        <f t="shared" si="12"/>
        <v>Jan 2022</v>
      </c>
    </row>
    <row r="820" spans="1:11" x14ac:dyDescent="0.25">
      <c r="A820" s="6">
        <v>44973</v>
      </c>
      <c r="B820" t="s">
        <v>10</v>
      </c>
      <c r="C820" t="s">
        <v>13</v>
      </c>
      <c r="D820" t="s">
        <v>17</v>
      </c>
      <c r="E820">
        <v>372</v>
      </c>
      <c r="F820" s="3">
        <v>19040697.43</v>
      </c>
      <c r="G820">
        <v>7179116.2599999998</v>
      </c>
      <c r="H820">
        <v>11861581.17</v>
      </c>
      <c r="I820">
        <v>4.74</v>
      </c>
      <c r="J820">
        <v>4.68</v>
      </c>
      <c r="K820" t="str">
        <f t="shared" si="12"/>
        <v>Feb 2023</v>
      </c>
    </row>
    <row r="821" spans="1:11" x14ac:dyDescent="0.25">
      <c r="A821" s="6">
        <v>43890</v>
      </c>
      <c r="B821" t="s">
        <v>10</v>
      </c>
      <c r="C821" t="s">
        <v>16</v>
      </c>
      <c r="D821" t="s">
        <v>17</v>
      </c>
      <c r="E821">
        <v>212</v>
      </c>
      <c r="F821" s="3">
        <v>9897135.25</v>
      </c>
      <c r="G821">
        <v>2645457.5499999998</v>
      </c>
      <c r="H821">
        <v>7251677.7000000002</v>
      </c>
      <c r="I821">
        <v>2.35</v>
      </c>
      <c r="J821">
        <v>4.0999999999999996</v>
      </c>
      <c r="K821" t="str">
        <f t="shared" si="12"/>
        <v>Feb 2020</v>
      </c>
    </row>
    <row r="822" spans="1:11" x14ac:dyDescent="0.25">
      <c r="A822" s="6">
        <v>44137</v>
      </c>
      <c r="B822" t="s">
        <v>10</v>
      </c>
      <c r="C822" t="s">
        <v>13</v>
      </c>
      <c r="D822" t="s">
        <v>17</v>
      </c>
      <c r="E822">
        <v>400</v>
      </c>
      <c r="F822" s="3">
        <v>21848911.66</v>
      </c>
      <c r="G822">
        <v>5429609.9100000001</v>
      </c>
      <c r="H822">
        <v>16419301.74</v>
      </c>
      <c r="I822">
        <v>1.83</v>
      </c>
      <c r="J822">
        <v>3.95</v>
      </c>
      <c r="K822" t="str">
        <f t="shared" si="12"/>
        <v>Nov 2020</v>
      </c>
    </row>
    <row r="823" spans="1:11" x14ac:dyDescent="0.25">
      <c r="A823" s="6">
        <v>44358</v>
      </c>
      <c r="B823" t="s">
        <v>10</v>
      </c>
      <c r="C823" t="s">
        <v>11</v>
      </c>
      <c r="D823" t="s">
        <v>14</v>
      </c>
      <c r="E823">
        <v>417</v>
      </c>
      <c r="F823" s="3">
        <v>20824907.010000002</v>
      </c>
      <c r="G823">
        <v>7536076.4000000004</v>
      </c>
      <c r="H823">
        <v>13288830.619999999</v>
      </c>
      <c r="I823">
        <v>1.33</v>
      </c>
      <c r="J823">
        <v>4.01</v>
      </c>
      <c r="K823" t="str">
        <f t="shared" si="12"/>
        <v>Jun 2021</v>
      </c>
    </row>
    <row r="824" spans="1:11" x14ac:dyDescent="0.25">
      <c r="A824" s="6">
        <v>45066</v>
      </c>
      <c r="B824" t="s">
        <v>10</v>
      </c>
      <c r="C824" t="s">
        <v>16</v>
      </c>
      <c r="D824" t="s">
        <v>14</v>
      </c>
      <c r="E824">
        <v>389</v>
      </c>
      <c r="F824" s="3">
        <v>31393157.510000002</v>
      </c>
      <c r="G824">
        <v>11804511.01</v>
      </c>
      <c r="H824">
        <v>19588646.510000002</v>
      </c>
      <c r="I824">
        <v>3.81</v>
      </c>
      <c r="J824">
        <v>4.3</v>
      </c>
      <c r="K824" t="str">
        <f t="shared" si="12"/>
        <v>May 2023</v>
      </c>
    </row>
    <row r="825" spans="1:11" x14ac:dyDescent="0.25">
      <c r="A825" s="6">
        <v>44057</v>
      </c>
      <c r="B825" t="s">
        <v>10</v>
      </c>
      <c r="C825" t="s">
        <v>18</v>
      </c>
      <c r="D825" t="s">
        <v>17</v>
      </c>
      <c r="E825">
        <v>343</v>
      </c>
      <c r="F825" s="3">
        <v>24873819.390000001</v>
      </c>
      <c r="G825">
        <v>5224001.2</v>
      </c>
      <c r="H825">
        <v>19649818.190000001</v>
      </c>
      <c r="I825">
        <v>1.1200000000000001</v>
      </c>
      <c r="J825">
        <v>4.5999999999999996</v>
      </c>
      <c r="K825" t="str">
        <f t="shared" si="12"/>
        <v>Aug 2020</v>
      </c>
    </row>
    <row r="826" spans="1:11" x14ac:dyDescent="0.25">
      <c r="A826" s="6">
        <v>44765</v>
      </c>
      <c r="B826" t="s">
        <v>10</v>
      </c>
      <c r="C826" t="s">
        <v>15</v>
      </c>
      <c r="D826" t="s">
        <v>14</v>
      </c>
      <c r="E826">
        <v>74</v>
      </c>
      <c r="F826" s="3">
        <v>3259130.5</v>
      </c>
      <c r="G826">
        <v>1227660.31</v>
      </c>
      <c r="H826">
        <v>2031470.19</v>
      </c>
      <c r="I826">
        <v>2.96</v>
      </c>
      <c r="J826">
        <v>4.8499999999999996</v>
      </c>
      <c r="K826" t="str">
        <f t="shared" si="12"/>
        <v>Jul 2022</v>
      </c>
    </row>
    <row r="827" spans="1:11" x14ac:dyDescent="0.25">
      <c r="A827" s="6">
        <v>45239</v>
      </c>
      <c r="B827" t="s">
        <v>10</v>
      </c>
      <c r="C827" t="s">
        <v>13</v>
      </c>
      <c r="D827" t="s">
        <v>12</v>
      </c>
      <c r="E827">
        <v>161</v>
      </c>
      <c r="F827" s="3">
        <v>7564581.6100000003</v>
      </c>
      <c r="G827">
        <v>3002871.29</v>
      </c>
      <c r="H827">
        <v>4561710.32</v>
      </c>
      <c r="I827">
        <v>3.12</v>
      </c>
      <c r="J827">
        <v>3.66</v>
      </c>
      <c r="K827" t="str">
        <f t="shared" si="12"/>
        <v>Nov 2023</v>
      </c>
    </row>
    <row r="828" spans="1:11" x14ac:dyDescent="0.25">
      <c r="A828" s="6">
        <v>44266</v>
      </c>
      <c r="B828" t="s">
        <v>10</v>
      </c>
      <c r="C828" t="s">
        <v>13</v>
      </c>
      <c r="D828" t="s">
        <v>14</v>
      </c>
      <c r="E828">
        <v>276</v>
      </c>
      <c r="F828" s="3">
        <v>18261067.829999998</v>
      </c>
      <c r="G828">
        <v>4904811.43</v>
      </c>
      <c r="H828">
        <v>13356256.4</v>
      </c>
      <c r="I828">
        <v>4.54</v>
      </c>
      <c r="J828">
        <v>4.0999999999999996</v>
      </c>
      <c r="K828" t="str">
        <f t="shared" si="12"/>
        <v>Mar 2021</v>
      </c>
    </row>
    <row r="829" spans="1:11" x14ac:dyDescent="0.25">
      <c r="A829" s="6">
        <v>44471</v>
      </c>
      <c r="B829" t="s">
        <v>10</v>
      </c>
      <c r="C829" t="s">
        <v>18</v>
      </c>
      <c r="D829" t="s">
        <v>17</v>
      </c>
      <c r="E829">
        <v>394</v>
      </c>
      <c r="F829" s="3">
        <v>34217424.359999999</v>
      </c>
      <c r="G829">
        <v>13120780.6</v>
      </c>
      <c r="H829">
        <v>21096643.77</v>
      </c>
      <c r="I829">
        <v>1.64</v>
      </c>
      <c r="J829">
        <v>4.67</v>
      </c>
      <c r="K829" t="str">
        <f t="shared" si="12"/>
        <v>Oct 2021</v>
      </c>
    </row>
    <row r="830" spans="1:11" x14ac:dyDescent="0.25">
      <c r="A830" s="6">
        <v>45325</v>
      </c>
      <c r="B830" t="s">
        <v>10</v>
      </c>
      <c r="C830" t="s">
        <v>18</v>
      </c>
      <c r="D830" t="s">
        <v>12</v>
      </c>
      <c r="E830">
        <v>427</v>
      </c>
      <c r="F830" s="3">
        <v>28492495.600000001</v>
      </c>
      <c r="G830">
        <v>8752998.9399999995</v>
      </c>
      <c r="H830">
        <v>19739496.66</v>
      </c>
      <c r="I830">
        <v>1.03</v>
      </c>
      <c r="J830">
        <v>4.97</v>
      </c>
      <c r="K830" t="str">
        <f t="shared" si="12"/>
        <v>Feb 2024</v>
      </c>
    </row>
    <row r="831" spans="1:11" x14ac:dyDescent="0.25">
      <c r="A831" s="6">
        <v>45491</v>
      </c>
      <c r="B831" t="s">
        <v>10</v>
      </c>
      <c r="C831" t="s">
        <v>11</v>
      </c>
      <c r="D831" t="s">
        <v>14</v>
      </c>
      <c r="E831">
        <v>398</v>
      </c>
      <c r="F831" s="3">
        <v>18883165.239999998</v>
      </c>
      <c r="G831">
        <v>4170543.57</v>
      </c>
      <c r="H831">
        <v>14712621.67</v>
      </c>
      <c r="I831">
        <v>4.03</v>
      </c>
      <c r="J831">
        <v>4.55</v>
      </c>
      <c r="K831" t="str">
        <f t="shared" si="12"/>
        <v>Jul 2024</v>
      </c>
    </row>
    <row r="832" spans="1:11" x14ac:dyDescent="0.25">
      <c r="A832" s="6">
        <v>43863</v>
      </c>
      <c r="B832" t="s">
        <v>10</v>
      </c>
      <c r="C832" t="s">
        <v>11</v>
      </c>
      <c r="D832" t="s">
        <v>14</v>
      </c>
      <c r="E832">
        <v>356</v>
      </c>
      <c r="F832" s="3">
        <v>25357691.370000001</v>
      </c>
      <c r="G832">
        <v>7443537.9299999997</v>
      </c>
      <c r="H832">
        <v>17914153.440000001</v>
      </c>
      <c r="I832">
        <v>0.96</v>
      </c>
      <c r="J832">
        <v>3.76</v>
      </c>
      <c r="K832" t="str">
        <f t="shared" si="12"/>
        <v>Feb 2020</v>
      </c>
    </row>
    <row r="833" spans="1:11" x14ac:dyDescent="0.25">
      <c r="A833" s="6">
        <v>45321</v>
      </c>
      <c r="B833" t="s">
        <v>10</v>
      </c>
      <c r="C833" t="s">
        <v>15</v>
      </c>
      <c r="D833" t="s">
        <v>12</v>
      </c>
      <c r="E833">
        <v>428</v>
      </c>
      <c r="F833" s="3">
        <v>32591705.850000001</v>
      </c>
      <c r="G833">
        <v>9378226.3499999996</v>
      </c>
      <c r="H833">
        <v>23213479.510000002</v>
      </c>
      <c r="I833">
        <v>1.61</v>
      </c>
      <c r="J833">
        <v>4.1399999999999997</v>
      </c>
      <c r="K833" t="str">
        <f t="shared" si="12"/>
        <v>Jan 2024</v>
      </c>
    </row>
    <row r="834" spans="1:11" x14ac:dyDescent="0.25">
      <c r="A834" s="6">
        <v>44718</v>
      </c>
      <c r="B834" t="s">
        <v>10</v>
      </c>
      <c r="C834" t="s">
        <v>18</v>
      </c>
      <c r="D834" t="s">
        <v>17</v>
      </c>
      <c r="E834">
        <v>143</v>
      </c>
      <c r="F834" s="3">
        <v>7047311.1500000004</v>
      </c>
      <c r="G834">
        <v>1452135.63</v>
      </c>
      <c r="H834">
        <v>5595175.5199999996</v>
      </c>
      <c r="I834">
        <v>2.44</v>
      </c>
      <c r="J834">
        <v>4.0199999999999996</v>
      </c>
      <c r="K834" t="str">
        <f t="shared" ref="K834:K897" si="13">TEXT(A834,"mmm yyyy")</f>
        <v>Jun 2022</v>
      </c>
    </row>
    <row r="835" spans="1:11" x14ac:dyDescent="0.25">
      <c r="A835" s="6">
        <v>45560</v>
      </c>
      <c r="B835" t="s">
        <v>10</v>
      </c>
      <c r="C835" t="s">
        <v>13</v>
      </c>
      <c r="D835" t="s">
        <v>17</v>
      </c>
      <c r="E835">
        <v>296</v>
      </c>
      <c r="F835" s="3">
        <v>12243617.460000001</v>
      </c>
      <c r="G835">
        <v>4830719.24</v>
      </c>
      <c r="H835">
        <v>7412898.2199999997</v>
      </c>
      <c r="I835">
        <v>2.86</v>
      </c>
      <c r="J835">
        <v>3.83</v>
      </c>
      <c r="K835" t="str">
        <f t="shared" si="13"/>
        <v>Sep 2024</v>
      </c>
    </row>
    <row r="836" spans="1:11" x14ac:dyDescent="0.25">
      <c r="A836" s="6">
        <v>44629</v>
      </c>
      <c r="B836" t="s">
        <v>10</v>
      </c>
      <c r="C836" t="s">
        <v>15</v>
      </c>
      <c r="D836" t="s">
        <v>17</v>
      </c>
      <c r="E836">
        <v>150</v>
      </c>
      <c r="F836" s="3">
        <v>10315255.029999999</v>
      </c>
      <c r="G836">
        <v>3604442.82</v>
      </c>
      <c r="H836">
        <v>6710812.21</v>
      </c>
      <c r="I836">
        <v>3.1</v>
      </c>
      <c r="J836">
        <v>4.04</v>
      </c>
      <c r="K836" t="str">
        <f t="shared" si="13"/>
        <v>Mar 2022</v>
      </c>
    </row>
    <row r="837" spans="1:11" x14ac:dyDescent="0.25">
      <c r="A837" s="6">
        <v>45019</v>
      </c>
      <c r="B837" t="s">
        <v>10</v>
      </c>
      <c r="C837" t="s">
        <v>16</v>
      </c>
      <c r="D837" t="s">
        <v>17</v>
      </c>
      <c r="E837">
        <v>454</v>
      </c>
      <c r="F837" s="3">
        <v>34497132</v>
      </c>
      <c r="G837">
        <v>13271461.6</v>
      </c>
      <c r="H837">
        <v>21225670.390000001</v>
      </c>
      <c r="I837">
        <v>4.53</v>
      </c>
      <c r="J837">
        <v>4.6900000000000004</v>
      </c>
      <c r="K837" t="str">
        <f t="shared" si="13"/>
        <v>Apr 2023</v>
      </c>
    </row>
    <row r="838" spans="1:11" x14ac:dyDescent="0.25">
      <c r="A838" s="6">
        <v>45495</v>
      </c>
      <c r="B838" t="s">
        <v>10</v>
      </c>
      <c r="C838" t="s">
        <v>18</v>
      </c>
      <c r="D838" t="s">
        <v>12</v>
      </c>
      <c r="E838">
        <v>239</v>
      </c>
      <c r="F838" s="3">
        <v>18956117.440000001</v>
      </c>
      <c r="G838">
        <v>6338245.21</v>
      </c>
      <c r="H838">
        <v>12617872.23</v>
      </c>
      <c r="I838">
        <v>1.44</v>
      </c>
      <c r="J838">
        <v>3.63</v>
      </c>
      <c r="K838" t="str">
        <f t="shared" si="13"/>
        <v>Jul 2024</v>
      </c>
    </row>
    <row r="839" spans="1:11" x14ac:dyDescent="0.25">
      <c r="A839" s="6">
        <v>43846</v>
      </c>
      <c r="B839" t="s">
        <v>10</v>
      </c>
      <c r="C839" t="s">
        <v>16</v>
      </c>
      <c r="D839" t="s">
        <v>14</v>
      </c>
      <c r="E839">
        <v>386</v>
      </c>
      <c r="F839" s="3">
        <v>21117444.760000002</v>
      </c>
      <c r="G839">
        <v>4591386.75</v>
      </c>
      <c r="H839">
        <v>16526058.01</v>
      </c>
      <c r="I839">
        <v>3.05</v>
      </c>
      <c r="J839">
        <v>3.77</v>
      </c>
      <c r="K839" t="str">
        <f t="shared" si="13"/>
        <v>Jan 2020</v>
      </c>
    </row>
    <row r="840" spans="1:11" x14ac:dyDescent="0.25">
      <c r="A840" s="6">
        <v>45344</v>
      </c>
      <c r="B840" t="s">
        <v>10</v>
      </c>
      <c r="C840" t="s">
        <v>15</v>
      </c>
      <c r="D840" t="s">
        <v>12</v>
      </c>
      <c r="E840">
        <v>121</v>
      </c>
      <c r="F840" s="3">
        <v>9614940.1899999995</v>
      </c>
      <c r="G840">
        <v>2262157.73</v>
      </c>
      <c r="H840">
        <v>7352782.4699999997</v>
      </c>
      <c r="I840">
        <v>2.23</v>
      </c>
      <c r="J840">
        <v>4.1900000000000004</v>
      </c>
      <c r="K840" t="str">
        <f t="shared" si="13"/>
        <v>Feb 2024</v>
      </c>
    </row>
    <row r="841" spans="1:11" x14ac:dyDescent="0.25">
      <c r="A841" s="6">
        <v>44995</v>
      </c>
      <c r="B841" t="s">
        <v>10</v>
      </c>
      <c r="C841" t="s">
        <v>11</v>
      </c>
      <c r="D841" t="s">
        <v>17</v>
      </c>
      <c r="E841">
        <v>294</v>
      </c>
      <c r="F841" s="3">
        <v>13592670.09</v>
      </c>
      <c r="G841">
        <v>5391515.4500000002</v>
      </c>
      <c r="H841">
        <v>8201154.6399999997</v>
      </c>
      <c r="I841">
        <v>3.56</v>
      </c>
      <c r="J841">
        <v>3.61</v>
      </c>
      <c r="K841" t="str">
        <f t="shared" si="13"/>
        <v>Mar 2023</v>
      </c>
    </row>
    <row r="842" spans="1:11" x14ac:dyDescent="0.25">
      <c r="A842" s="6">
        <v>45202</v>
      </c>
      <c r="B842" t="s">
        <v>10</v>
      </c>
      <c r="C842" t="s">
        <v>16</v>
      </c>
      <c r="D842" t="s">
        <v>17</v>
      </c>
      <c r="E842">
        <v>456</v>
      </c>
      <c r="F842" s="3">
        <v>29291829.59</v>
      </c>
      <c r="G842">
        <v>11525403.109999999</v>
      </c>
      <c r="H842">
        <v>17766426.48</v>
      </c>
      <c r="I842">
        <v>2.64</v>
      </c>
      <c r="J842">
        <v>4.1100000000000003</v>
      </c>
      <c r="K842" t="str">
        <f t="shared" si="13"/>
        <v>Oct 2023</v>
      </c>
    </row>
    <row r="843" spans="1:11" x14ac:dyDescent="0.25">
      <c r="A843" s="6">
        <v>45579</v>
      </c>
      <c r="B843" t="s">
        <v>10</v>
      </c>
      <c r="C843" t="s">
        <v>16</v>
      </c>
      <c r="D843" t="s">
        <v>17</v>
      </c>
      <c r="E843">
        <v>247</v>
      </c>
      <c r="F843" s="3">
        <v>17531765.699999999</v>
      </c>
      <c r="G843">
        <v>4841435.55</v>
      </c>
      <c r="H843">
        <v>12690330.140000001</v>
      </c>
      <c r="I843">
        <v>1.99</v>
      </c>
      <c r="J843">
        <v>4.8899999999999997</v>
      </c>
      <c r="K843" t="str">
        <f t="shared" si="13"/>
        <v>Oct 2024</v>
      </c>
    </row>
    <row r="844" spans="1:11" x14ac:dyDescent="0.25">
      <c r="A844" s="6">
        <v>45329</v>
      </c>
      <c r="B844" t="s">
        <v>10</v>
      </c>
      <c r="C844" t="s">
        <v>15</v>
      </c>
      <c r="D844" t="s">
        <v>17</v>
      </c>
      <c r="E844">
        <v>62</v>
      </c>
      <c r="F844" s="3">
        <v>2933780.48</v>
      </c>
      <c r="G844">
        <v>1033193.85</v>
      </c>
      <c r="H844">
        <v>1900586.64</v>
      </c>
      <c r="I844">
        <v>2.81</v>
      </c>
      <c r="J844">
        <v>4.66</v>
      </c>
      <c r="K844" t="str">
        <f t="shared" si="13"/>
        <v>Feb 2024</v>
      </c>
    </row>
    <row r="845" spans="1:11" x14ac:dyDescent="0.25">
      <c r="A845" s="6">
        <v>44481</v>
      </c>
      <c r="B845" t="s">
        <v>10</v>
      </c>
      <c r="C845" t="s">
        <v>16</v>
      </c>
      <c r="D845" t="s">
        <v>12</v>
      </c>
      <c r="E845">
        <v>288</v>
      </c>
      <c r="F845" s="3">
        <v>20562559.280000001</v>
      </c>
      <c r="G845">
        <v>7909170.2699999996</v>
      </c>
      <c r="H845">
        <v>12653389.02</v>
      </c>
      <c r="I845">
        <v>2.1</v>
      </c>
      <c r="J845">
        <v>4.33</v>
      </c>
      <c r="K845" t="str">
        <f t="shared" si="13"/>
        <v>Oct 2021</v>
      </c>
    </row>
    <row r="846" spans="1:11" x14ac:dyDescent="0.25">
      <c r="A846" s="6">
        <v>45353</v>
      </c>
      <c r="B846" t="s">
        <v>10</v>
      </c>
      <c r="C846" t="s">
        <v>18</v>
      </c>
      <c r="D846" t="s">
        <v>17</v>
      </c>
      <c r="E846">
        <v>465</v>
      </c>
      <c r="F846" s="3">
        <v>40320185.119999997</v>
      </c>
      <c r="G846">
        <v>15750791.26</v>
      </c>
      <c r="H846">
        <v>24569393.859999999</v>
      </c>
      <c r="I846">
        <v>1.94</v>
      </c>
      <c r="J846">
        <v>4.16</v>
      </c>
      <c r="K846" t="str">
        <f t="shared" si="13"/>
        <v>Mar 2024</v>
      </c>
    </row>
    <row r="847" spans="1:11" x14ac:dyDescent="0.25">
      <c r="A847" s="6">
        <v>44966</v>
      </c>
      <c r="B847" t="s">
        <v>10</v>
      </c>
      <c r="C847" t="s">
        <v>16</v>
      </c>
      <c r="D847" t="s">
        <v>14</v>
      </c>
      <c r="E847">
        <v>376</v>
      </c>
      <c r="F847" s="3">
        <v>18440356.210000001</v>
      </c>
      <c r="G847">
        <v>6985670.46</v>
      </c>
      <c r="H847">
        <v>11454685.75</v>
      </c>
      <c r="I847">
        <v>2.1</v>
      </c>
      <c r="J847">
        <v>4.12</v>
      </c>
      <c r="K847" t="str">
        <f t="shared" si="13"/>
        <v>Feb 2023</v>
      </c>
    </row>
    <row r="848" spans="1:11" x14ac:dyDescent="0.25">
      <c r="A848" s="6">
        <v>45027</v>
      </c>
      <c r="B848" t="s">
        <v>10</v>
      </c>
      <c r="C848" t="s">
        <v>11</v>
      </c>
      <c r="D848" t="s">
        <v>12</v>
      </c>
      <c r="E848">
        <v>363</v>
      </c>
      <c r="F848" s="3">
        <v>23441836.289999999</v>
      </c>
      <c r="G848">
        <v>8072901.8600000003</v>
      </c>
      <c r="H848">
        <v>15368934.439999999</v>
      </c>
      <c r="I848">
        <v>1.48</v>
      </c>
      <c r="J848">
        <v>3.93</v>
      </c>
      <c r="K848" t="str">
        <f t="shared" si="13"/>
        <v>Apr 2023</v>
      </c>
    </row>
    <row r="849" spans="1:11" x14ac:dyDescent="0.25">
      <c r="A849" s="6">
        <v>43955</v>
      </c>
      <c r="B849" t="s">
        <v>10</v>
      </c>
      <c r="C849" t="s">
        <v>16</v>
      </c>
      <c r="D849" t="s">
        <v>12</v>
      </c>
      <c r="E849">
        <v>345</v>
      </c>
      <c r="F849" s="3">
        <v>15050521.08</v>
      </c>
      <c r="G849">
        <v>3529942.74</v>
      </c>
      <c r="H849">
        <v>11520578.34</v>
      </c>
      <c r="I849">
        <v>0.69</v>
      </c>
      <c r="J849">
        <v>4.13</v>
      </c>
      <c r="K849" t="str">
        <f t="shared" si="13"/>
        <v>May 2020</v>
      </c>
    </row>
    <row r="850" spans="1:11" x14ac:dyDescent="0.25">
      <c r="A850" s="6">
        <v>44410</v>
      </c>
      <c r="B850" t="s">
        <v>10</v>
      </c>
      <c r="C850" t="s">
        <v>13</v>
      </c>
      <c r="D850" t="s">
        <v>14</v>
      </c>
      <c r="E850">
        <v>333</v>
      </c>
      <c r="F850" s="3">
        <v>21147228.170000002</v>
      </c>
      <c r="G850">
        <v>5455499.4699999997</v>
      </c>
      <c r="H850">
        <v>15691728.699999999</v>
      </c>
      <c r="I850">
        <v>0.93</v>
      </c>
      <c r="J850">
        <v>3.98</v>
      </c>
      <c r="K850" t="str">
        <f t="shared" si="13"/>
        <v>Aug 2021</v>
      </c>
    </row>
    <row r="851" spans="1:11" x14ac:dyDescent="0.25">
      <c r="A851" s="6">
        <v>43868</v>
      </c>
      <c r="B851" t="s">
        <v>10</v>
      </c>
      <c r="C851" t="s">
        <v>13</v>
      </c>
      <c r="D851" t="s">
        <v>17</v>
      </c>
      <c r="E851">
        <v>320</v>
      </c>
      <c r="F851" s="3">
        <v>24074159.93</v>
      </c>
      <c r="G851">
        <v>5016486.74</v>
      </c>
      <c r="H851">
        <v>19057673.190000001</v>
      </c>
      <c r="I851">
        <v>1.49</v>
      </c>
      <c r="J851">
        <v>4.83</v>
      </c>
      <c r="K851" t="str">
        <f t="shared" si="13"/>
        <v>Feb 2020</v>
      </c>
    </row>
    <row r="852" spans="1:11" x14ac:dyDescent="0.25">
      <c r="A852" s="6">
        <v>44056</v>
      </c>
      <c r="B852" t="s">
        <v>10</v>
      </c>
      <c r="C852" t="s">
        <v>18</v>
      </c>
      <c r="D852" t="s">
        <v>17</v>
      </c>
      <c r="E852">
        <v>413</v>
      </c>
      <c r="F852" s="3">
        <v>35271492.670000002</v>
      </c>
      <c r="G852">
        <v>9626194.5</v>
      </c>
      <c r="H852">
        <v>25645298.170000002</v>
      </c>
      <c r="I852">
        <v>3.33</v>
      </c>
      <c r="J852">
        <v>4.0999999999999996</v>
      </c>
      <c r="K852" t="str">
        <f t="shared" si="13"/>
        <v>Aug 2020</v>
      </c>
    </row>
    <row r="853" spans="1:11" x14ac:dyDescent="0.25">
      <c r="A853" s="6">
        <v>45257</v>
      </c>
      <c r="B853" t="s">
        <v>10</v>
      </c>
      <c r="C853" t="s">
        <v>15</v>
      </c>
      <c r="D853" t="s">
        <v>14</v>
      </c>
      <c r="E853">
        <v>279</v>
      </c>
      <c r="F853" s="3">
        <v>17917706.710000001</v>
      </c>
      <c r="G853">
        <v>4739455.3499999996</v>
      </c>
      <c r="H853">
        <v>13178251.359999999</v>
      </c>
      <c r="I853">
        <v>2.4300000000000002</v>
      </c>
      <c r="J853">
        <v>4.5999999999999996</v>
      </c>
      <c r="K853" t="str">
        <f t="shared" si="13"/>
        <v>Nov 2023</v>
      </c>
    </row>
    <row r="854" spans="1:11" x14ac:dyDescent="0.25">
      <c r="A854" s="6">
        <v>45345</v>
      </c>
      <c r="B854" t="s">
        <v>10</v>
      </c>
      <c r="C854" t="s">
        <v>13</v>
      </c>
      <c r="D854" t="s">
        <v>14</v>
      </c>
      <c r="E854">
        <v>220</v>
      </c>
      <c r="F854" s="3">
        <v>18512494.5</v>
      </c>
      <c r="G854">
        <v>4968549.95</v>
      </c>
      <c r="H854">
        <v>13543944.550000001</v>
      </c>
      <c r="I854">
        <v>0.54</v>
      </c>
      <c r="J854">
        <v>4.91</v>
      </c>
      <c r="K854" t="str">
        <f t="shared" si="13"/>
        <v>Feb 2024</v>
      </c>
    </row>
    <row r="855" spans="1:11" x14ac:dyDescent="0.25">
      <c r="A855" s="6">
        <v>44071</v>
      </c>
      <c r="B855" t="s">
        <v>10</v>
      </c>
      <c r="C855" t="s">
        <v>18</v>
      </c>
      <c r="D855" t="s">
        <v>14</v>
      </c>
      <c r="E855">
        <v>157</v>
      </c>
      <c r="F855" s="3">
        <v>8768014.5899999999</v>
      </c>
      <c r="G855">
        <v>1902552.67</v>
      </c>
      <c r="H855">
        <v>6865461.9299999997</v>
      </c>
      <c r="I855">
        <v>1.63</v>
      </c>
      <c r="J855">
        <v>4.7699999999999996</v>
      </c>
      <c r="K855" t="str">
        <f t="shared" si="13"/>
        <v>Aug 2020</v>
      </c>
    </row>
    <row r="856" spans="1:11" x14ac:dyDescent="0.25">
      <c r="A856" s="6">
        <v>44642</v>
      </c>
      <c r="B856" t="s">
        <v>10</v>
      </c>
      <c r="C856" t="s">
        <v>15</v>
      </c>
      <c r="D856" t="s">
        <v>12</v>
      </c>
      <c r="E856">
        <v>473</v>
      </c>
      <c r="F856" s="3">
        <v>30797470.809999999</v>
      </c>
      <c r="G856">
        <v>10628917.949999999</v>
      </c>
      <c r="H856">
        <v>20168552.859999999</v>
      </c>
      <c r="I856">
        <v>4.5599999999999996</v>
      </c>
      <c r="J856">
        <v>3.82</v>
      </c>
      <c r="K856" t="str">
        <f t="shared" si="13"/>
        <v>Mar 2022</v>
      </c>
    </row>
    <row r="857" spans="1:11" x14ac:dyDescent="0.25">
      <c r="A857" s="6">
        <v>44570</v>
      </c>
      <c r="B857" t="s">
        <v>10</v>
      </c>
      <c r="C857" t="s">
        <v>13</v>
      </c>
      <c r="D857" t="s">
        <v>17</v>
      </c>
      <c r="E857">
        <v>425</v>
      </c>
      <c r="F857" s="3">
        <v>15792922.560000001</v>
      </c>
      <c r="G857">
        <v>5458038.4400000004</v>
      </c>
      <c r="H857">
        <v>10334884.119999999</v>
      </c>
      <c r="I857">
        <v>0.53</v>
      </c>
      <c r="J857">
        <v>4.97</v>
      </c>
      <c r="K857" t="str">
        <f t="shared" si="13"/>
        <v>Jan 2022</v>
      </c>
    </row>
    <row r="858" spans="1:11" x14ac:dyDescent="0.25">
      <c r="A858" s="6">
        <v>44927</v>
      </c>
      <c r="B858" t="s">
        <v>10</v>
      </c>
      <c r="C858" t="s">
        <v>18</v>
      </c>
      <c r="D858" t="s">
        <v>14</v>
      </c>
      <c r="E858">
        <v>437</v>
      </c>
      <c r="F858" s="3">
        <v>23090651.489999998</v>
      </c>
      <c r="G858">
        <v>8156094.0899999999</v>
      </c>
      <c r="H858">
        <v>14934557.4</v>
      </c>
      <c r="I858">
        <v>1.45</v>
      </c>
      <c r="J858">
        <v>4.79</v>
      </c>
      <c r="K858" t="str">
        <f t="shared" si="13"/>
        <v>Jan 2023</v>
      </c>
    </row>
    <row r="859" spans="1:11" x14ac:dyDescent="0.25">
      <c r="A859" s="6">
        <v>44491</v>
      </c>
      <c r="B859" t="s">
        <v>10</v>
      </c>
      <c r="C859" t="s">
        <v>13</v>
      </c>
      <c r="D859" t="s">
        <v>12</v>
      </c>
      <c r="E859">
        <v>340</v>
      </c>
      <c r="F859" s="3">
        <v>29604341.780000001</v>
      </c>
      <c r="G859">
        <v>9472132.5099999998</v>
      </c>
      <c r="H859">
        <v>20132209.260000002</v>
      </c>
      <c r="I859">
        <v>4.0199999999999996</v>
      </c>
      <c r="J859">
        <v>3.9</v>
      </c>
      <c r="K859" t="str">
        <f t="shared" si="13"/>
        <v>Oct 2021</v>
      </c>
    </row>
    <row r="860" spans="1:11" x14ac:dyDescent="0.25">
      <c r="A860" s="6">
        <v>45103</v>
      </c>
      <c r="B860" t="s">
        <v>10</v>
      </c>
      <c r="C860" t="s">
        <v>13</v>
      </c>
      <c r="D860" t="s">
        <v>17</v>
      </c>
      <c r="E860">
        <v>300</v>
      </c>
      <c r="F860" s="3">
        <v>23373122.93</v>
      </c>
      <c r="G860">
        <v>4685737</v>
      </c>
      <c r="H860">
        <v>18687385.93</v>
      </c>
      <c r="I860">
        <v>1.36</v>
      </c>
      <c r="J860">
        <v>4.1900000000000004</v>
      </c>
      <c r="K860" t="str">
        <f t="shared" si="13"/>
        <v>Jun 2023</v>
      </c>
    </row>
    <row r="861" spans="1:11" x14ac:dyDescent="0.25">
      <c r="A861" s="6">
        <v>45353</v>
      </c>
      <c r="B861" t="s">
        <v>10</v>
      </c>
      <c r="C861" t="s">
        <v>18</v>
      </c>
      <c r="D861" t="s">
        <v>14</v>
      </c>
      <c r="E861">
        <v>67</v>
      </c>
      <c r="F861" s="3">
        <v>2788628.23</v>
      </c>
      <c r="G861">
        <v>592009.16</v>
      </c>
      <c r="H861">
        <v>2196619.0699999998</v>
      </c>
      <c r="I861">
        <v>1.32</v>
      </c>
      <c r="J861">
        <v>4.43</v>
      </c>
      <c r="K861" t="str">
        <f t="shared" si="13"/>
        <v>Mar 2024</v>
      </c>
    </row>
    <row r="862" spans="1:11" x14ac:dyDescent="0.25">
      <c r="A862" s="6">
        <v>44243</v>
      </c>
      <c r="B862" t="s">
        <v>10</v>
      </c>
      <c r="C862" t="s">
        <v>16</v>
      </c>
      <c r="D862" t="s">
        <v>14</v>
      </c>
      <c r="E862">
        <v>224</v>
      </c>
      <c r="F862" s="3">
        <v>13012535.960000001</v>
      </c>
      <c r="G862">
        <v>3911840.22</v>
      </c>
      <c r="H862">
        <v>9100695.7300000004</v>
      </c>
      <c r="I862">
        <v>4.63</v>
      </c>
      <c r="J862">
        <v>4.66</v>
      </c>
      <c r="K862" t="str">
        <f t="shared" si="13"/>
        <v>Feb 2021</v>
      </c>
    </row>
    <row r="863" spans="1:11" x14ac:dyDescent="0.25">
      <c r="A863" s="6">
        <v>44025</v>
      </c>
      <c r="B863" t="s">
        <v>10</v>
      </c>
      <c r="C863" t="s">
        <v>15</v>
      </c>
      <c r="D863" t="s">
        <v>12</v>
      </c>
      <c r="E863">
        <v>286</v>
      </c>
      <c r="F863" s="3">
        <v>18904056.09</v>
      </c>
      <c r="G863">
        <v>5889550.0700000003</v>
      </c>
      <c r="H863">
        <v>13014506.02</v>
      </c>
      <c r="I863">
        <v>4.09</v>
      </c>
      <c r="J863">
        <v>4.59</v>
      </c>
      <c r="K863" t="str">
        <f t="shared" si="13"/>
        <v>Jul 2020</v>
      </c>
    </row>
    <row r="864" spans="1:11" x14ac:dyDescent="0.25">
      <c r="A864" s="6">
        <v>45365</v>
      </c>
      <c r="B864" t="s">
        <v>10</v>
      </c>
      <c r="C864" t="s">
        <v>11</v>
      </c>
      <c r="D864" t="s">
        <v>14</v>
      </c>
      <c r="E864">
        <v>363</v>
      </c>
      <c r="F864" s="3">
        <v>19503977.640000001</v>
      </c>
      <c r="G864">
        <v>4661592.1399999997</v>
      </c>
      <c r="H864">
        <v>14842385.5</v>
      </c>
      <c r="I864">
        <v>0.74</v>
      </c>
      <c r="J864">
        <v>3.74</v>
      </c>
      <c r="K864" t="str">
        <f t="shared" si="13"/>
        <v>Mar 2024</v>
      </c>
    </row>
    <row r="865" spans="1:11" x14ac:dyDescent="0.25">
      <c r="A865" s="6">
        <v>44915</v>
      </c>
      <c r="B865" t="s">
        <v>10</v>
      </c>
      <c r="C865" t="s">
        <v>16</v>
      </c>
      <c r="D865" t="s">
        <v>14</v>
      </c>
      <c r="E865">
        <v>97</v>
      </c>
      <c r="F865" s="3">
        <v>4264706.97</v>
      </c>
      <c r="G865">
        <v>1506454.14</v>
      </c>
      <c r="H865">
        <v>2758252.83</v>
      </c>
      <c r="I865">
        <v>0.61</v>
      </c>
      <c r="J865">
        <v>4.75</v>
      </c>
      <c r="K865" t="str">
        <f t="shared" si="13"/>
        <v>Dec 2022</v>
      </c>
    </row>
    <row r="866" spans="1:11" x14ac:dyDescent="0.25">
      <c r="A866" s="6">
        <v>44061</v>
      </c>
      <c r="B866" t="s">
        <v>10</v>
      </c>
      <c r="C866" t="s">
        <v>15</v>
      </c>
      <c r="D866" t="s">
        <v>17</v>
      </c>
      <c r="E866">
        <v>222</v>
      </c>
      <c r="F866" s="3">
        <v>11489194.76</v>
      </c>
      <c r="G866">
        <v>3987863.19</v>
      </c>
      <c r="H866">
        <v>7501331.5800000001</v>
      </c>
      <c r="I866">
        <v>1.76</v>
      </c>
      <c r="J866">
        <v>3.92</v>
      </c>
      <c r="K866" t="str">
        <f t="shared" si="13"/>
        <v>Aug 2020</v>
      </c>
    </row>
    <row r="867" spans="1:11" x14ac:dyDescent="0.25">
      <c r="A867" s="6">
        <v>44032</v>
      </c>
      <c r="B867" t="s">
        <v>10</v>
      </c>
      <c r="C867" t="s">
        <v>18</v>
      </c>
      <c r="D867" t="s">
        <v>12</v>
      </c>
      <c r="E867">
        <v>170</v>
      </c>
      <c r="F867" s="3">
        <v>9873516.0299999993</v>
      </c>
      <c r="G867">
        <v>3849442.05</v>
      </c>
      <c r="H867">
        <v>6024073.9800000004</v>
      </c>
      <c r="I867">
        <v>0.68</v>
      </c>
      <c r="J867">
        <v>4.3600000000000003</v>
      </c>
      <c r="K867" t="str">
        <f t="shared" si="13"/>
        <v>Jul 2020</v>
      </c>
    </row>
    <row r="868" spans="1:11" x14ac:dyDescent="0.25">
      <c r="A868" s="6">
        <v>45259</v>
      </c>
      <c r="B868" t="s">
        <v>10</v>
      </c>
      <c r="C868" t="s">
        <v>15</v>
      </c>
      <c r="D868" t="s">
        <v>14</v>
      </c>
      <c r="E868">
        <v>67</v>
      </c>
      <c r="F868" s="3">
        <v>5506564.5099999998</v>
      </c>
      <c r="G868">
        <v>1397392.79</v>
      </c>
      <c r="H868">
        <v>4109171.72</v>
      </c>
      <c r="I868">
        <v>4.76</v>
      </c>
      <c r="J868">
        <v>4.67</v>
      </c>
      <c r="K868" t="str">
        <f t="shared" si="13"/>
        <v>Nov 2023</v>
      </c>
    </row>
    <row r="869" spans="1:11" x14ac:dyDescent="0.25">
      <c r="A869" s="6">
        <v>44363</v>
      </c>
      <c r="B869" t="s">
        <v>10</v>
      </c>
      <c r="C869" t="s">
        <v>16</v>
      </c>
      <c r="D869" t="s">
        <v>12</v>
      </c>
      <c r="E869">
        <v>480</v>
      </c>
      <c r="F869" s="3">
        <v>23343856.670000002</v>
      </c>
      <c r="G869">
        <v>6080064.7699999996</v>
      </c>
      <c r="H869">
        <v>17263791.899999999</v>
      </c>
      <c r="I869">
        <v>2.14</v>
      </c>
      <c r="J869">
        <v>4.3499999999999996</v>
      </c>
      <c r="K869" t="str">
        <f t="shared" si="13"/>
        <v>Jun 2021</v>
      </c>
    </row>
    <row r="870" spans="1:11" x14ac:dyDescent="0.25">
      <c r="A870" s="6">
        <v>45327</v>
      </c>
      <c r="B870" t="s">
        <v>10</v>
      </c>
      <c r="C870" t="s">
        <v>15</v>
      </c>
      <c r="D870" t="s">
        <v>17</v>
      </c>
      <c r="E870">
        <v>295</v>
      </c>
      <c r="F870" s="3">
        <v>19154623.300000001</v>
      </c>
      <c r="G870">
        <v>6607428.75</v>
      </c>
      <c r="H870">
        <v>12547194.550000001</v>
      </c>
      <c r="I870">
        <v>3.69</v>
      </c>
      <c r="J870">
        <v>3.91</v>
      </c>
      <c r="K870" t="str">
        <f t="shared" si="13"/>
        <v>Feb 2024</v>
      </c>
    </row>
    <row r="871" spans="1:11" x14ac:dyDescent="0.25">
      <c r="A871" s="6">
        <v>44696</v>
      </c>
      <c r="B871" t="s">
        <v>10</v>
      </c>
      <c r="C871" t="s">
        <v>18</v>
      </c>
      <c r="D871" t="s">
        <v>14</v>
      </c>
      <c r="E871">
        <v>312</v>
      </c>
      <c r="F871" s="3">
        <v>13184524.880000001</v>
      </c>
      <c r="G871">
        <v>3920594.93</v>
      </c>
      <c r="H871">
        <v>9263929.9600000009</v>
      </c>
      <c r="I871">
        <v>1.38</v>
      </c>
      <c r="J871">
        <v>3.64</v>
      </c>
      <c r="K871" t="str">
        <f t="shared" si="13"/>
        <v>May 2022</v>
      </c>
    </row>
    <row r="872" spans="1:11" x14ac:dyDescent="0.25">
      <c r="A872" s="6">
        <v>45417</v>
      </c>
      <c r="B872" t="s">
        <v>10</v>
      </c>
      <c r="C872" t="s">
        <v>16</v>
      </c>
      <c r="D872" t="s">
        <v>12</v>
      </c>
      <c r="E872">
        <v>190</v>
      </c>
      <c r="F872" s="3">
        <v>15348198.99</v>
      </c>
      <c r="G872">
        <v>3666227.96</v>
      </c>
      <c r="H872">
        <v>11681971.029999999</v>
      </c>
      <c r="I872">
        <v>1.51</v>
      </c>
      <c r="J872">
        <v>3.84</v>
      </c>
      <c r="K872" t="str">
        <f t="shared" si="13"/>
        <v>May 2024</v>
      </c>
    </row>
    <row r="873" spans="1:11" x14ac:dyDescent="0.25">
      <c r="A873" s="6">
        <v>45405</v>
      </c>
      <c r="B873" t="s">
        <v>10</v>
      </c>
      <c r="C873" t="s">
        <v>18</v>
      </c>
      <c r="D873" t="s">
        <v>17</v>
      </c>
      <c r="E873">
        <v>57</v>
      </c>
      <c r="F873" s="3">
        <v>4911799.05</v>
      </c>
      <c r="G873">
        <v>1871040.88</v>
      </c>
      <c r="H873">
        <v>3040758.16</v>
      </c>
      <c r="I873">
        <v>2.5299999999999998</v>
      </c>
      <c r="J873">
        <v>4.01</v>
      </c>
      <c r="K873" t="str">
        <f t="shared" si="13"/>
        <v>Apr 2024</v>
      </c>
    </row>
    <row r="874" spans="1:11" x14ac:dyDescent="0.25">
      <c r="A874" s="6">
        <v>45180</v>
      </c>
      <c r="B874" t="s">
        <v>10</v>
      </c>
      <c r="C874" t="s">
        <v>11</v>
      </c>
      <c r="D874" t="s">
        <v>12</v>
      </c>
      <c r="E874">
        <v>125</v>
      </c>
      <c r="F874" s="3">
        <v>6350371.1799999997</v>
      </c>
      <c r="G874">
        <v>2184850.3199999998</v>
      </c>
      <c r="H874">
        <v>4165520.85</v>
      </c>
      <c r="I874">
        <v>1.99</v>
      </c>
      <c r="J874">
        <v>4.49</v>
      </c>
      <c r="K874" t="str">
        <f t="shared" si="13"/>
        <v>Sep 2023</v>
      </c>
    </row>
    <row r="875" spans="1:11" x14ac:dyDescent="0.25">
      <c r="A875" s="6">
        <v>44401</v>
      </c>
      <c r="B875" t="s">
        <v>10</v>
      </c>
      <c r="C875" t="s">
        <v>16</v>
      </c>
      <c r="D875" t="s">
        <v>17</v>
      </c>
      <c r="E875">
        <v>229</v>
      </c>
      <c r="F875" s="3">
        <v>14218483.119999999</v>
      </c>
      <c r="G875">
        <v>4430174.97</v>
      </c>
      <c r="H875">
        <v>9788308.1500000004</v>
      </c>
      <c r="I875">
        <v>2</v>
      </c>
      <c r="J875">
        <v>4.09</v>
      </c>
      <c r="K875" t="str">
        <f t="shared" si="13"/>
        <v>Jul 2021</v>
      </c>
    </row>
    <row r="876" spans="1:11" x14ac:dyDescent="0.25">
      <c r="A876" s="6">
        <v>45295</v>
      </c>
      <c r="B876" t="s">
        <v>10</v>
      </c>
      <c r="C876" t="s">
        <v>15</v>
      </c>
      <c r="D876" t="s">
        <v>17</v>
      </c>
      <c r="E876">
        <v>479</v>
      </c>
      <c r="F876" s="3">
        <v>31327524.59</v>
      </c>
      <c r="G876">
        <v>11176091.09</v>
      </c>
      <c r="H876">
        <v>20151433.5</v>
      </c>
      <c r="I876">
        <v>1.44</v>
      </c>
      <c r="J876">
        <v>3.94</v>
      </c>
      <c r="K876" t="str">
        <f t="shared" si="13"/>
        <v>Jan 2024</v>
      </c>
    </row>
    <row r="877" spans="1:11" x14ac:dyDescent="0.25">
      <c r="A877" s="6">
        <v>44782</v>
      </c>
      <c r="B877" t="s">
        <v>10</v>
      </c>
      <c r="C877" t="s">
        <v>11</v>
      </c>
      <c r="D877" t="s">
        <v>12</v>
      </c>
      <c r="E877">
        <v>360</v>
      </c>
      <c r="F877" s="3">
        <v>15647218.109999999</v>
      </c>
      <c r="G877">
        <v>5791819.4400000004</v>
      </c>
      <c r="H877">
        <v>9855398.6699999999</v>
      </c>
      <c r="I877">
        <v>1.71</v>
      </c>
      <c r="J877">
        <v>4.04</v>
      </c>
      <c r="K877" t="str">
        <f t="shared" si="13"/>
        <v>Aug 2022</v>
      </c>
    </row>
    <row r="878" spans="1:11" x14ac:dyDescent="0.25">
      <c r="A878" s="6">
        <v>44781</v>
      </c>
      <c r="B878" t="s">
        <v>10</v>
      </c>
      <c r="C878" t="s">
        <v>11</v>
      </c>
      <c r="D878" t="s">
        <v>14</v>
      </c>
      <c r="E878">
        <v>455</v>
      </c>
      <c r="F878" s="3">
        <v>19067278.609999999</v>
      </c>
      <c r="G878">
        <v>6973685.71</v>
      </c>
      <c r="H878">
        <v>12093592.9</v>
      </c>
      <c r="I878">
        <v>4.22</v>
      </c>
      <c r="J878">
        <v>4.38</v>
      </c>
      <c r="K878" t="str">
        <f t="shared" si="13"/>
        <v>Aug 2022</v>
      </c>
    </row>
    <row r="879" spans="1:11" x14ac:dyDescent="0.25">
      <c r="A879" s="6">
        <v>44405</v>
      </c>
      <c r="B879" t="s">
        <v>10</v>
      </c>
      <c r="C879" t="s">
        <v>11</v>
      </c>
      <c r="D879" t="s">
        <v>14</v>
      </c>
      <c r="E879">
        <v>324</v>
      </c>
      <c r="F879" s="3">
        <v>23763456.989999998</v>
      </c>
      <c r="G879">
        <v>8586044.3100000005</v>
      </c>
      <c r="H879">
        <v>15177412.689999999</v>
      </c>
      <c r="I879">
        <v>3.39</v>
      </c>
      <c r="J879">
        <v>3.89</v>
      </c>
      <c r="K879" t="str">
        <f t="shared" si="13"/>
        <v>Jul 2021</v>
      </c>
    </row>
    <row r="880" spans="1:11" x14ac:dyDescent="0.25">
      <c r="A880" s="6">
        <v>44920</v>
      </c>
      <c r="B880" t="s">
        <v>10</v>
      </c>
      <c r="C880" t="s">
        <v>16</v>
      </c>
      <c r="D880" t="s">
        <v>17</v>
      </c>
      <c r="E880">
        <v>71</v>
      </c>
      <c r="F880" s="3">
        <v>3802199.28</v>
      </c>
      <c r="G880">
        <v>1283689.47</v>
      </c>
      <c r="H880">
        <v>2518509.81</v>
      </c>
      <c r="I880">
        <v>1.05</v>
      </c>
      <c r="J880">
        <v>3.67</v>
      </c>
      <c r="K880" t="str">
        <f t="shared" si="13"/>
        <v>Dec 2022</v>
      </c>
    </row>
    <row r="881" spans="1:11" x14ac:dyDescent="0.25">
      <c r="A881" s="6">
        <v>45482</v>
      </c>
      <c r="B881" t="s">
        <v>10</v>
      </c>
      <c r="C881" t="s">
        <v>18</v>
      </c>
      <c r="D881" t="s">
        <v>14</v>
      </c>
      <c r="E881">
        <v>87</v>
      </c>
      <c r="F881" s="3">
        <v>4195943.6399999997</v>
      </c>
      <c r="G881">
        <v>1114120.51</v>
      </c>
      <c r="H881">
        <v>3081823.12</v>
      </c>
      <c r="I881">
        <v>4.22</v>
      </c>
      <c r="J881">
        <v>4.51</v>
      </c>
      <c r="K881" t="str">
        <f t="shared" si="13"/>
        <v>Jul 2024</v>
      </c>
    </row>
    <row r="882" spans="1:11" x14ac:dyDescent="0.25">
      <c r="A882" s="6">
        <v>45369</v>
      </c>
      <c r="B882" t="s">
        <v>10</v>
      </c>
      <c r="C882" t="s">
        <v>15</v>
      </c>
      <c r="D882" t="s">
        <v>12</v>
      </c>
      <c r="E882">
        <v>437</v>
      </c>
      <c r="F882" s="3">
        <v>17832892.809999999</v>
      </c>
      <c r="G882">
        <v>6971610.2199999997</v>
      </c>
      <c r="H882">
        <v>10861282.59</v>
      </c>
      <c r="I882">
        <v>3.45</v>
      </c>
      <c r="J882">
        <v>4.3</v>
      </c>
      <c r="K882" t="str">
        <f t="shared" si="13"/>
        <v>Mar 2024</v>
      </c>
    </row>
    <row r="883" spans="1:11" x14ac:dyDescent="0.25">
      <c r="A883" s="6">
        <v>44131</v>
      </c>
      <c r="B883" t="s">
        <v>10</v>
      </c>
      <c r="C883" t="s">
        <v>18</v>
      </c>
      <c r="D883" t="s">
        <v>14</v>
      </c>
      <c r="E883">
        <v>327</v>
      </c>
      <c r="F883" s="3">
        <v>23517805.789999999</v>
      </c>
      <c r="G883">
        <v>8134131.9800000004</v>
      </c>
      <c r="H883">
        <v>15383673.810000001</v>
      </c>
      <c r="I883">
        <v>0.87</v>
      </c>
      <c r="J883">
        <v>4.99</v>
      </c>
      <c r="K883" t="str">
        <f t="shared" si="13"/>
        <v>Oct 2020</v>
      </c>
    </row>
    <row r="884" spans="1:11" x14ac:dyDescent="0.25">
      <c r="A884" s="6">
        <v>45396</v>
      </c>
      <c r="B884" t="s">
        <v>10</v>
      </c>
      <c r="C884" t="s">
        <v>15</v>
      </c>
      <c r="D884" t="s">
        <v>12</v>
      </c>
      <c r="E884">
        <v>155</v>
      </c>
      <c r="F884" s="3">
        <v>9726877.1799999997</v>
      </c>
      <c r="G884">
        <v>3662596.96</v>
      </c>
      <c r="H884">
        <v>6064280.2300000004</v>
      </c>
      <c r="I884">
        <v>1.26</v>
      </c>
      <c r="J884">
        <v>4.03</v>
      </c>
      <c r="K884" t="str">
        <f t="shared" si="13"/>
        <v>Apr 2024</v>
      </c>
    </row>
    <row r="885" spans="1:11" x14ac:dyDescent="0.25">
      <c r="A885" s="6">
        <v>44943</v>
      </c>
      <c r="B885" t="s">
        <v>10</v>
      </c>
      <c r="C885" t="s">
        <v>13</v>
      </c>
      <c r="D885" t="s">
        <v>14</v>
      </c>
      <c r="E885">
        <v>212</v>
      </c>
      <c r="F885" s="3">
        <v>14157230.210000001</v>
      </c>
      <c r="G885">
        <v>3210572.29</v>
      </c>
      <c r="H885">
        <v>10946657.92</v>
      </c>
      <c r="I885">
        <v>1.8</v>
      </c>
      <c r="J885">
        <v>4.2</v>
      </c>
      <c r="K885" t="str">
        <f t="shared" si="13"/>
        <v>Jan 2023</v>
      </c>
    </row>
    <row r="886" spans="1:11" x14ac:dyDescent="0.25">
      <c r="A886" s="6">
        <v>45099</v>
      </c>
      <c r="B886" t="s">
        <v>10</v>
      </c>
      <c r="C886" t="s">
        <v>11</v>
      </c>
      <c r="D886" t="s">
        <v>12</v>
      </c>
      <c r="E886">
        <v>371</v>
      </c>
      <c r="F886" s="3">
        <v>21848146.370000001</v>
      </c>
      <c r="G886">
        <v>6788472.8600000003</v>
      </c>
      <c r="H886">
        <v>15059673.51</v>
      </c>
      <c r="I886">
        <v>3.28</v>
      </c>
      <c r="J886">
        <v>4.5</v>
      </c>
      <c r="K886" t="str">
        <f t="shared" si="13"/>
        <v>Jun 2023</v>
      </c>
    </row>
    <row r="887" spans="1:11" x14ac:dyDescent="0.25">
      <c r="A887" s="6">
        <v>44087</v>
      </c>
      <c r="B887" t="s">
        <v>10</v>
      </c>
      <c r="C887" t="s">
        <v>15</v>
      </c>
      <c r="D887" t="s">
        <v>12</v>
      </c>
      <c r="E887">
        <v>401</v>
      </c>
      <c r="F887" s="3">
        <v>32794421.219999999</v>
      </c>
      <c r="G887">
        <v>11795967.18</v>
      </c>
      <c r="H887">
        <v>20998454.030000001</v>
      </c>
      <c r="I887">
        <v>4.7</v>
      </c>
      <c r="J887">
        <v>4.53</v>
      </c>
      <c r="K887" t="str">
        <f t="shared" si="13"/>
        <v>Sep 2020</v>
      </c>
    </row>
    <row r="888" spans="1:11" x14ac:dyDescent="0.25">
      <c r="A888" s="6">
        <v>45293</v>
      </c>
      <c r="B888" t="s">
        <v>10</v>
      </c>
      <c r="C888" t="s">
        <v>16</v>
      </c>
      <c r="D888" t="s">
        <v>14</v>
      </c>
      <c r="E888">
        <v>178</v>
      </c>
      <c r="F888" s="3">
        <v>7494617.8200000003</v>
      </c>
      <c r="G888">
        <v>2848634.51</v>
      </c>
      <c r="H888">
        <v>4645983.3099999996</v>
      </c>
      <c r="I888">
        <v>3.21</v>
      </c>
      <c r="J888">
        <v>4.29</v>
      </c>
      <c r="K888" t="str">
        <f t="shared" si="13"/>
        <v>Jan 2024</v>
      </c>
    </row>
    <row r="889" spans="1:11" x14ac:dyDescent="0.25">
      <c r="A889" s="6">
        <v>45541</v>
      </c>
      <c r="B889" t="s">
        <v>10</v>
      </c>
      <c r="C889" t="s">
        <v>11</v>
      </c>
      <c r="D889" t="s">
        <v>12</v>
      </c>
      <c r="E889">
        <v>445</v>
      </c>
      <c r="F889" s="3">
        <v>16557398.58</v>
      </c>
      <c r="G889">
        <v>3676029.34</v>
      </c>
      <c r="H889">
        <v>12881369.24</v>
      </c>
      <c r="I889">
        <v>4.96</v>
      </c>
      <c r="J889">
        <v>3.94</v>
      </c>
      <c r="K889" t="str">
        <f t="shared" si="13"/>
        <v>Sep 2024</v>
      </c>
    </row>
    <row r="890" spans="1:11" x14ac:dyDescent="0.25">
      <c r="A890" s="6">
        <v>44343</v>
      </c>
      <c r="B890" t="s">
        <v>10</v>
      </c>
      <c r="C890" t="s">
        <v>16</v>
      </c>
      <c r="D890" t="s">
        <v>14</v>
      </c>
      <c r="E890">
        <v>230</v>
      </c>
      <c r="F890" s="3">
        <v>17731846.550000001</v>
      </c>
      <c r="G890">
        <v>6195413.7699999996</v>
      </c>
      <c r="H890">
        <v>11536432.779999999</v>
      </c>
      <c r="I890">
        <v>4.4000000000000004</v>
      </c>
      <c r="J890">
        <v>3.65</v>
      </c>
      <c r="K890" t="str">
        <f t="shared" si="13"/>
        <v>May 2021</v>
      </c>
    </row>
    <row r="891" spans="1:11" x14ac:dyDescent="0.25">
      <c r="A891" s="6">
        <v>43986</v>
      </c>
      <c r="B891" t="s">
        <v>10</v>
      </c>
      <c r="C891" t="s">
        <v>15</v>
      </c>
      <c r="D891" t="s">
        <v>12</v>
      </c>
      <c r="E891">
        <v>459</v>
      </c>
      <c r="F891" s="3">
        <v>23331301.140000001</v>
      </c>
      <c r="G891">
        <v>8897291.6099999994</v>
      </c>
      <c r="H891">
        <v>14434009.529999999</v>
      </c>
      <c r="I891">
        <v>4.84</v>
      </c>
      <c r="J891">
        <v>3.7</v>
      </c>
      <c r="K891" t="str">
        <f t="shared" si="13"/>
        <v>Jun 2020</v>
      </c>
    </row>
    <row r="892" spans="1:11" x14ac:dyDescent="0.25">
      <c r="A892" s="6">
        <v>45053</v>
      </c>
      <c r="B892" t="s">
        <v>10</v>
      </c>
      <c r="C892" t="s">
        <v>13</v>
      </c>
      <c r="D892" t="s">
        <v>12</v>
      </c>
      <c r="E892">
        <v>244</v>
      </c>
      <c r="F892" s="3">
        <v>17618411.920000002</v>
      </c>
      <c r="G892">
        <v>4953445.3099999996</v>
      </c>
      <c r="H892">
        <v>12664966.609999999</v>
      </c>
      <c r="I892">
        <v>3.21</v>
      </c>
      <c r="J892">
        <v>4.5199999999999996</v>
      </c>
      <c r="K892" t="str">
        <f t="shared" si="13"/>
        <v>May 2023</v>
      </c>
    </row>
    <row r="893" spans="1:11" x14ac:dyDescent="0.25">
      <c r="A893" s="6">
        <v>44844</v>
      </c>
      <c r="B893" t="s">
        <v>10</v>
      </c>
      <c r="C893" t="s">
        <v>11</v>
      </c>
      <c r="D893" t="s">
        <v>14</v>
      </c>
      <c r="E893">
        <v>365</v>
      </c>
      <c r="F893" s="3">
        <v>12802026.390000001</v>
      </c>
      <c r="G893">
        <v>4152719.35</v>
      </c>
      <c r="H893">
        <v>8649307.0399999991</v>
      </c>
      <c r="I893">
        <v>1.1499999999999999</v>
      </c>
      <c r="J893">
        <v>3.53</v>
      </c>
      <c r="K893" t="str">
        <f t="shared" si="13"/>
        <v>Oct 2022</v>
      </c>
    </row>
    <row r="894" spans="1:11" x14ac:dyDescent="0.25">
      <c r="A894" s="6">
        <v>44075</v>
      </c>
      <c r="B894" t="s">
        <v>10</v>
      </c>
      <c r="C894" t="s">
        <v>13</v>
      </c>
      <c r="D894" t="s">
        <v>12</v>
      </c>
      <c r="E894">
        <v>315</v>
      </c>
      <c r="F894" s="3">
        <v>23020038.350000001</v>
      </c>
      <c r="G894">
        <v>8133749.2400000002</v>
      </c>
      <c r="H894">
        <v>14886289.119999999</v>
      </c>
      <c r="I894">
        <v>3.31</v>
      </c>
      <c r="J894">
        <v>4.62</v>
      </c>
      <c r="K894" t="str">
        <f t="shared" si="13"/>
        <v>Sep 2020</v>
      </c>
    </row>
    <row r="895" spans="1:11" x14ac:dyDescent="0.25">
      <c r="A895" s="6">
        <v>45616</v>
      </c>
      <c r="B895" t="s">
        <v>10</v>
      </c>
      <c r="C895" t="s">
        <v>18</v>
      </c>
      <c r="D895" t="s">
        <v>12</v>
      </c>
      <c r="E895">
        <v>91</v>
      </c>
      <c r="F895" s="3">
        <v>4441655.92</v>
      </c>
      <c r="G895">
        <v>1198869.3400000001</v>
      </c>
      <c r="H895">
        <v>3242786.58</v>
      </c>
      <c r="I895">
        <v>1.46</v>
      </c>
      <c r="J895">
        <v>3.68</v>
      </c>
      <c r="K895" t="str">
        <f t="shared" si="13"/>
        <v>Nov 2024</v>
      </c>
    </row>
    <row r="896" spans="1:11" x14ac:dyDescent="0.25">
      <c r="A896" s="6">
        <v>44638</v>
      </c>
      <c r="B896" t="s">
        <v>10</v>
      </c>
      <c r="C896" t="s">
        <v>11</v>
      </c>
      <c r="D896" t="s">
        <v>17</v>
      </c>
      <c r="E896">
        <v>291</v>
      </c>
      <c r="F896" s="3">
        <v>10905174.119999999</v>
      </c>
      <c r="G896">
        <v>2760860.19</v>
      </c>
      <c r="H896">
        <v>8144313.9400000004</v>
      </c>
      <c r="I896">
        <v>2.04</v>
      </c>
      <c r="J896">
        <v>4.22</v>
      </c>
      <c r="K896" t="str">
        <f t="shared" si="13"/>
        <v>Mar 2022</v>
      </c>
    </row>
    <row r="897" spans="1:11" x14ac:dyDescent="0.25">
      <c r="A897" s="6">
        <v>45274</v>
      </c>
      <c r="B897" t="s">
        <v>10</v>
      </c>
      <c r="C897" t="s">
        <v>16</v>
      </c>
      <c r="D897" t="s">
        <v>12</v>
      </c>
      <c r="E897">
        <v>371</v>
      </c>
      <c r="F897" s="3">
        <v>21379098.129999999</v>
      </c>
      <c r="G897">
        <v>8011233.71</v>
      </c>
      <c r="H897">
        <v>13367864.42</v>
      </c>
      <c r="I897">
        <v>0.63</v>
      </c>
      <c r="J897">
        <v>4.43</v>
      </c>
      <c r="K897" t="str">
        <f t="shared" si="13"/>
        <v>Dec 2023</v>
      </c>
    </row>
    <row r="898" spans="1:11" x14ac:dyDescent="0.25">
      <c r="A898" s="6">
        <v>44100</v>
      </c>
      <c r="B898" t="s">
        <v>10</v>
      </c>
      <c r="C898" t="s">
        <v>18</v>
      </c>
      <c r="D898" t="s">
        <v>17</v>
      </c>
      <c r="E898">
        <v>275</v>
      </c>
      <c r="F898" s="3">
        <v>22360486.879999999</v>
      </c>
      <c r="G898">
        <v>6785453.0999999996</v>
      </c>
      <c r="H898">
        <v>15575033.779999999</v>
      </c>
      <c r="I898">
        <v>4</v>
      </c>
      <c r="J898">
        <v>4.51</v>
      </c>
      <c r="K898" t="str">
        <f t="shared" ref="K898:K961" si="14">TEXT(A898,"mmm yyyy")</f>
        <v>Sep 2020</v>
      </c>
    </row>
    <row r="899" spans="1:11" x14ac:dyDescent="0.25">
      <c r="A899" s="6">
        <v>45101</v>
      </c>
      <c r="B899" t="s">
        <v>10</v>
      </c>
      <c r="C899" t="s">
        <v>15</v>
      </c>
      <c r="D899" t="s">
        <v>17</v>
      </c>
      <c r="E899">
        <v>213</v>
      </c>
      <c r="F899" s="3">
        <v>9500991.7799999993</v>
      </c>
      <c r="G899">
        <v>3238067.16</v>
      </c>
      <c r="H899">
        <v>6262924.6299999999</v>
      </c>
      <c r="I899">
        <v>3.49</v>
      </c>
      <c r="J899">
        <v>4.95</v>
      </c>
      <c r="K899" t="str">
        <f t="shared" si="14"/>
        <v>Jun 2023</v>
      </c>
    </row>
    <row r="900" spans="1:11" x14ac:dyDescent="0.25">
      <c r="A900" s="6">
        <v>45218</v>
      </c>
      <c r="B900" t="s">
        <v>10</v>
      </c>
      <c r="C900" t="s">
        <v>13</v>
      </c>
      <c r="D900" t="s">
        <v>14</v>
      </c>
      <c r="E900">
        <v>334</v>
      </c>
      <c r="F900" s="3">
        <v>26495832.41</v>
      </c>
      <c r="G900">
        <v>7461137.1500000004</v>
      </c>
      <c r="H900">
        <v>19034695.260000002</v>
      </c>
      <c r="I900">
        <v>1.25</v>
      </c>
      <c r="J900">
        <v>3.54</v>
      </c>
      <c r="K900" t="str">
        <f t="shared" si="14"/>
        <v>Oct 2023</v>
      </c>
    </row>
    <row r="901" spans="1:11" x14ac:dyDescent="0.25">
      <c r="A901" s="6">
        <v>45350</v>
      </c>
      <c r="B901" t="s">
        <v>10</v>
      </c>
      <c r="C901" t="s">
        <v>16</v>
      </c>
      <c r="D901" t="s">
        <v>14</v>
      </c>
      <c r="E901">
        <v>454</v>
      </c>
      <c r="F901" s="3">
        <v>17622770.329999998</v>
      </c>
      <c r="G901">
        <v>6732332.3099999996</v>
      </c>
      <c r="H901">
        <v>10890438.02</v>
      </c>
      <c r="I901">
        <v>3.2</v>
      </c>
      <c r="J901">
        <v>4.01</v>
      </c>
      <c r="K901" t="str">
        <f t="shared" si="14"/>
        <v>Feb 2024</v>
      </c>
    </row>
    <row r="902" spans="1:11" x14ac:dyDescent="0.25">
      <c r="A902" s="6">
        <v>44249</v>
      </c>
      <c r="B902" t="s">
        <v>10</v>
      </c>
      <c r="C902" t="s">
        <v>15</v>
      </c>
      <c r="D902" t="s">
        <v>14</v>
      </c>
      <c r="E902">
        <v>177</v>
      </c>
      <c r="F902" s="3">
        <v>14596393.060000001</v>
      </c>
      <c r="G902">
        <v>5398658.4699999997</v>
      </c>
      <c r="H902">
        <v>9197734.5999999996</v>
      </c>
      <c r="I902">
        <v>4.33</v>
      </c>
      <c r="J902">
        <v>4.99</v>
      </c>
      <c r="K902" t="str">
        <f t="shared" si="14"/>
        <v>Feb 2021</v>
      </c>
    </row>
    <row r="903" spans="1:11" x14ac:dyDescent="0.25">
      <c r="A903" s="6">
        <v>43943</v>
      </c>
      <c r="B903" t="s">
        <v>10</v>
      </c>
      <c r="C903" t="s">
        <v>18</v>
      </c>
      <c r="D903" t="s">
        <v>14</v>
      </c>
      <c r="E903">
        <v>71</v>
      </c>
      <c r="F903" s="3">
        <v>4536961.55</v>
      </c>
      <c r="G903">
        <v>1181576.52</v>
      </c>
      <c r="H903">
        <v>3355385.03</v>
      </c>
      <c r="I903">
        <v>4.55</v>
      </c>
      <c r="J903">
        <v>4.6900000000000004</v>
      </c>
      <c r="K903" t="str">
        <f t="shared" si="14"/>
        <v>Apr 2020</v>
      </c>
    </row>
    <row r="904" spans="1:11" x14ac:dyDescent="0.25">
      <c r="A904" s="6">
        <v>45281</v>
      </c>
      <c r="B904" t="s">
        <v>10</v>
      </c>
      <c r="C904" t="s">
        <v>15</v>
      </c>
      <c r="D904" t="s">
        <v>17</v>
      </c>
      <c r="E904">
        <v>466</v>
      </c>
      <c r="F904" s="3">
        <v>37775915.280000001</v>
      </c>
      <c r="G904">
        <v>10467813.58</v>
      </c>
      <c r="H904">
        <v>27308101.699999999</v>
      </c>
      <c r="I904">
        <v>3.12</v>
      </c>
      <c r="J904">
        <v>3.88</v>
      </c>
      <c r="K904" t="str">
        <f t="shared" si="14"/>
        <v>Dec 2023</v>
      </c>
    </row>
    <row r="905" spans="1:11" x14ac:dyDescent="0.25">
      <c r="A905" s="6">
        <v>45005</v>
      </c>
      <c r="B905" t="s">
        <v>10</v>
      </c>
      <c r="C905" t="s">
        <v>18</v>
      </c>
      <c r="D905" t="s">
        <v>17</v>
      </c>
      <c r="E905">
        <v>414</v>
      </c>
      <c r="F905" s="3">
        <v>20682405.32</v>
      </c>
      <c r="G905">
        <v>7371658.5599999996</v>
      </c>
      <c r="H905">
        <v>13310746.76</v>
      </c>
      <c r="I905">
        <v>3.48</v>
      </c>
      <c r="J905">
        <v>4.45</v>
      </c>
      <c r="K905" t="str">
        <f t="shared" si="14"/>
        <v>Mar 2023</v>
      </c>
    </row>
    <row r="906" spans="1:11" x14ac:dyDescent="0.25">
      <c r="A906" s="6">
        <v>45374</v>
      </c>
      <c r="B906" t="s">
        <v>10</v>
      </c>
      <c r="C906" t="s">
        <v>15</v>
      </c>
      <c r="D906" t="s">
        <v>12</v>
      </c>
      <c r="E906">
        <v>280</v>
      </c>
      <c r="F906" s="3">
        <v>10050149.029999999</v>
      </c>
      <c r="G906">
        <v>2555194</v>
      </c>
      <c r="H906">
        <v>7494955.0300000003</v>
      </c>
      <c r="I906">
        <v>1.96</v>
      </c>
      <c r="J906">
        <v>4.5</v>
      </c>
      <c r="K906" t="str">
        <f t="shared" si="14"/>
        <v>Mar 2024</v>
      </c>
    </row>
    <row r="907" spans="1:11" x14ac:dyDescent="0.25">
      <c r="A907" s="6">
        <v>44656</v>
      </c>
      <c r="B907" t="s">
        <v>10</v>
      </c>
      <c r="C907" t="s">
        <v>13</v>
      </c>
      <c r="D907" t="s">
        <v>12</v>
      </c>
      <c r="E907">
        <v>191</v>
      </c>
      <c r="F907" s="3">
        <v>8023016.3200000003</v>
      </c>
      <c r="G907">
        <v>3006591.45</v>
      </c>
      <c r="H907">
        <v>5016424.87</v>
      </c>
      <c r="I907">
        <v>4.16</v>
      </c>
      <c r="J907">
        <v>4.8899999999999997</v>
      </c>
      <c r="K907" t="str">
        <f t="shared" si="14"/>
        <v>Apr 2022</v>
      </c>
    </row>
    <row r="908" spans="1:11" x14ac:dyDescent="0.25">
      <c r="A908" s="6">
        <v>45353</v>
      </c>
      <c r="B908" t="s">
        <v>10</v>
      </c>
      <c r="C908" t="s">
        <v>18</v>
      </c>
      <c r="D908" t="s">
        <v>12</v>
      </c>
      <c r="E908">
        <v>359</v>
      </c>
      <c r="F908" s="3">
        <v>30698759.469999999</v>
      </c>
      <c r="G908">
        <v>8289966.4000000004</v>
      </c>
      <c r="H908">
        <v>22408793.07</v>
      </c>
      <c r="I908">
        <v>0.97</v>
      </c>
      <c r="J908">
        <v>4.0999999999999996</v>
      </c>
      <c r="K908" t="str">
        <f t="shared" si="14"/>
        <v>Mar 2024</v>
      </c>
    </row>
    <row r="909" spans="1:11" x14ac:dyDescent="0.25">
      <c r="A909" s="6">
        <v>45653</v>
      </c>
      <c r="B909" t="s">
        <v>10</v>
      </c>
      <c r="C909" t="s">
        <v>16</v>
      </c>
      <c r="D909" t="s">
        <v>14</v>
      </c>
      <c r="E909">
        <v>153</v>
      </c>
      <c r="F909" s="3">
        <v>7780637.0199999996</v>
      </c>
      <c r="G909">
        <v>2647310.6</v>
      </c>
      <c r="H909">
        <v>5133326.43</v>
      </c>
      <c r="I909">
        <v>4.51</v>
      </c>
      <c r="J909">
        <v>3.52</v>
      </c>
      <c r="K909" t="str">
        <f t="shared" si="14"/>
        <v>Dec 2024</v>
      </c>
    </row>
    <row r="910" spans="1:11" x14ac:dyDescent="0.25">
      <c r="A910" s="6">
        <v>44185</v>
      </c>
      <c r="B910" t="s">
        <v>10</v>
      </c>
      <c r="C910" t="s">
        <v>11</v>
      </c>
      <c r="D910" t="s">
        <v>14</v>
      </c>
      <c r="E910">
        <v>404</v>
      </c>
      <c r="F910" s="3">
        <v>22063567.030000001</v>
      </c>
      <c r="G910">
        <v>7702473.6299999999</v>
      </c>
      <c r="H910">
        <v>14361093.4</v>
      </c>
      <c r="I910">
        <v>0.56000000000000005</v>
      </c>
      <c r="J910">
        <v>4.3099999999999996</v>
      </c>
      <c r="K910" t="str">
        <f t="shared" si="14"/>
        <v>Dec 2020</v>
      </c>
    </row>
    <row r="911" spans="1:11" x14ac:dyDescent="0.25">
      <c r="A911" s="6">
        <v>43926</v>
      </c>
      <c r="B911" t="s">
        <v>10</v>
      </c>
      <c r="C911" t="s">
        <v>11</v>
      </c>
      <c r="D911" t="s">
        <v>12</v>
      </c>
      <c r="E911">
        <v>473</v>
      </c>
      <c r="F911" s="3">
        <v>39822930.170000002</v>
      </c>
      <c r="G911">
        <v>9369487.8699999992</v>
      </c>
      <c r="H911">
        <v>30453442.300000001</v>
      </c>
      <c r="I911">
        <v>4.54</v>
      </c>
      <c r="J911">
        <v>4.33</v>
      </c>
      <c r="K911" t="str">
        <f t="shared" si="14"/>
        <v>Apr 2020</v>
      </c>
    </row>
    <row r="912" spans="1:11" x14ac:dyDescent="0.25">
      <c r="A912" s="6">
        <v>44462</v>
      </c>
      <c r="B912" t="s">
        <v>10</v>
      </c>
      <c r="C912" t="s">
        <v>13</v>
      </c>
      <c r="D912" t="s">
        <v>17</v>
      </c>
      <c r="E912">
        <v>458</v>
      </c>
      <c r="F912" s="3">
        <v>25704034.059999999</v>
      </c>
      <c r="G912">
        <v>6856459.2599999998</v>
      </c>
      <c r="H912">
        <v>18847574.800000001</v>
      </c>
      <c r="I912">
        <v>4.95</v>
      </c>
      <c r="J912">
        <v>3.84</v>
      </c>
      <c r="K912" t="str">
        <f t="shared" si="14"/>
        <v>Sep 2021</v>
      </c>
    </row>
    <row r="913" spans="1:11" x14ac:dyDescent="0.25">
      <c r="A913" s="6">
        <v>44828</v>
      </c>
      <c r="B913" t="s">
        <v>10</v>
      </c>
      <c r="C913" t="s">
        <v>18</v>
      </c>
      <c r="D913" t="s">
        <v>14</v>
      </c>
      <c r="E913">
        <v>121</v>
      </c>
      <c r="F913" s="3">
        <v>4866993.91</v>
      </c>
      <c r="G913">
        <v>1640256.33</v>
      </c>
      <c r="H913">
        <v>3226737.57</v>
      </c>
      <c r="I913">
        <v>0.93</v>
      </c>
      <c r="J913">
        <v>3.77</v>
      </c>
      <c r="K913" t="str">
        <f t="shared" si="14"/>
        <v>Sep 2022</v>
      </c>
    </row>
    <row r="914" spans="1:11" x14ac:dyDescent="0.25">
      <c r="A914" s="6">
        <v>45565</v>
      </c>
      <c r="B914" t="s">
        <v>10</v>
      </c>
      <c r="C914" t="s">
        <v>13</v>
      </c>
      <c r="D914" t="s">
        <v>14</v>
      </c>
      <c r="E914">
        <v>103</v>
      </c>
      <c r="F914" s="3">
        <v>6120846.6500000004</v>
      </c>
      <c r="G914">
        <v>1797237.56</v>
      </c>
      <c r="H914">
        <v>4323609.09</v>
      </c>
      <c r="I914">
        <v>4.43</v>
      </c>
      <c r="J914">
        <v>4.99</v>
      </c>
      <c r="K914" t="str">
        <f t="shared" si="14"/>
        <v>Sep 2024</v>
      </c>
    </row>
    <row r="915" spans="1:11" x14ac:dyDescent="0.25">
      <c r="A915" s="6">
        <v>45453</v>
      </c>
      <c r="B915" t="s">
        <v>10</v>
      </c>
      <c r="C915" t="s">
        <v>15</v>
      </c>
      <c r="D915" t="s">
        <v>17</v>
      </c>
      <c r="E915">
        <v>95</v>
      </c>
      <c r="F915" s="3">
        <v>5748429.4500000002</v>
      </c>
      <c r="G915">
        <v>1931440.89</v>
      </c>
      <c r="H915">
        <v>3816988.56</v>
      </c>
      <c r="I915">
        <v>2.64</v>
      </c>
      <c r="J915">
        <v>3.98</v>
      </c>
      <c r="K915" t="str">
        <f t="shared" si="14"/>
        <v>Jun 2024</v>
      </c>
    </row>
    <row r="916" spans="1:11" x14ac:dyDescent="0.25">
      <c r="A916" s="6">
        <v>45257</v>
      </c>
      <c r="B916" t="s">
        <v>10</v>
      </c>
      <c r="C916" t="s">
        <v>16</v>
      </c>
      <c r="D916" t="s">
        <v>14</v>
      </c>
      <c r="E916">
        <v>243</v>
      </c>
      <c r="F916" s="3">
        <v>17493059.57</v>
      </c>
      <c r="G916">
        <v>4610499.8600000003</v>
      </c>
      <c r="H916">
        <v>12882559.710000001</v>
      </c>
      <c r="I916">
        <v>1.92</v>
      </c>
      <c r="J916">
        <v>3.7</v>
      </c>
      <c r="K916" t="str">
        <f t="shared" si="14"/>
        <v>Nov 2023</v>
      </c>
    </row>
    <row r="917" spans="1:11" x14ac:dyDescent="0.25">
      <c r="A917" s="6">
        <v>44028</v>
      </c>
      <c r="B917" t="s">
        <v>10</v>
      </c>
      <c r="C917" t="s">
        <v>16</v>
      </c>
      <c r="D917" t="s">
        <v>14</v>
      </c>
      <c r="E917">
        <v>180</v>
      </c>
      <c r="F917" s="3">
        <v>13611208.199999999</v>
      </c>
      <c r="G917">
        <v>3629790.49</v>
      </c>
      <c r="H917">
        <v>9981417.6999999993</v>
      </c>
      <c r="I917">
        <v>1.04</v>
      </c>
      <c r="J917">
        <v>4.3600000000000003</v>
      </c>
      <c r="K917" t="str">
        <f t="shared" si="14"/>
        <v>Jul 2020</v>
      </c>
    </row>
    <row r="918" spans="1:11" x14ac:dyDescent="0.25">
      <c r="A918" s="6">
        <v>45395</v>
      </c>
      <c r="B918" t="s">
        <v>10</v>
      </c>
      <c r="C918" t="s">
        <v>11</v>
      </c>
      <c r="D918" t="s">
        <v>17</v>
      </c>
      <c r="E918">
        <v>325</v>
      </c>
      <c r="F918" s="3">
        <v>24843313.98</v>
      </c>
      <c r="G918">
        <v>5600381.46</v>
      </c>
      <c r="H918">
        <v>19242932.52</v>
      </c>
      <c r="I918">
        <v>2.75</v>
      </c>
      <c r="J918">
        <v>4.5999999999999996</v>
      </c>
      <c r="K918" t="str">
        <f t="shared" si="14"/>
        <v>Apr 2024</v>
      </c>
    </row>
    <row r="919" spans="1:11" x14ac:dyDescent="0.25">
      <c r="A919" s="6">
        <v>45285</v>
      </c>
      <c r="B919" t="s">
        <v>10</v>
      </c>
      <c r="C919" t="s">
        <v>16</v>
      </c>
      <c r="D919" t="s">
        <v>17</v>
      </c>
      <c r="E919">
        <v>222</v>
      </c>
      <c r="F919" s="3">
        <v>17298047.399999999</v>
      </c>
      <c r="G919">
        <v>4588474.0599999996</v>
      </c>
      <c r="H919">
        <v>12709573.35</v>
      </c>
      <c r="I919">
        <v>3.95</v>
      </c>
      <c r="J919">
        <v>3.96</v>
      </c>
      <c r="K919" t="str">
        <f t="shared" si="14"/>
        <v>Dec 2023</v>
      </c>
    </row>
    <row r="920" spans="1:11" x14ac:dyDescent="0.25">
      <c r="A920" s="6">
        <v>43990</v>
      </c>
      <c r="B920" t="s">
        <v>10</v>
      </c>
      <c r="C920" t="s">
        <v>11</v>
      </c>
      <c r="D920" t="s">
        <v>17</v>
      </c>
      <c r="E920">
        <v>160</v>
      </c>
      <c r="F920" s="3">
        <v>11030532.310000001</v>
      </c>
      <c r="G920">
        <v>2537112.15</v>
      </c>
      <c r="H920">
        <v>8493420.1600000001</v>
      </c>
      <c r="I920">
        <v>1.38</v>
      </c>
      <c r="J920">
        <v>3.69</v>
      </c>
      <c r="K920" t="str">
        <f t="shared" si="14"/>
        <v>Jun 2020</v>
      </c>
    </row>
    <row r="921" spans="1:11" x14ac:dyDescent="0.25">
      <c r="A921" s="6">
        <v>45551</v>
      </c>
      <c r="B921" t="s">
        <v>10</v>
      </c>
      <c r="C921" t="s">
        <v>18</v>
      </c>
      <c r="D921" t="s">
        <v>12</v>
      </c>
      <c r="E921">
        <v>347</v>
      </c>
      <c r="F921" s="3">
        <v>22137210.920000002</v>
      </c>
      <c r="G921">
        <v>7605183.5999999996</v>
      </c>
      <c r="H921">
        <v>14532027.32</v>
      </c>
      <c r="I921">
        <v>1.84</v>
      </c>
      <c r="J921">
        <v>3.92</v>
      </c>
      <c r="K921" t="str">
        <f t="shared" si="14"/>
        <v>Sep 2024</v>
      </c>
    </row>
    <row r="922" spans="1:11" x14ac:dyDescent="0.25">
      <c r="A922" s="6">
        <v>44796</v>
      </c>
      <c r="B922" t="s">
        <v>10</v>
      </c>
      <c r="C922" t="s">
        <v>15</v>
      </c>
      <c r="D922" t="s">
        <v>12</v>
      </c>
      <c r="E922">
        <v>186</v>
      </c>
      <c r="F922" s="3">
        <v>7390108.9699999997</v>
      </c>
      <c r="G922">
        <v>2871756.56</v>
      </c>
      <c r="H922">
        <v>4518352.4000000004</v>
      </c>
      <c r="I922">
        <v>0.97</v>
      </c>
      <c r="J922">
        <v>4.38</v>
      </c>
      <c r="K922" t="str">
        <f t="shared" si="14"/>
        <v>Aug 2022</v>
      </c>
    </row>
    <row r="923" spans="1:11" x14ac:dyDescent="0.25">
      <c r="A923" s="6">
        <v>45462</v>
      </c>
      <c r="B923" t="s">
        <v>10</v>
      </c>
      <c r="C923" t="s">
        <v>16</v>
      </c>
      <c r="D923" t="s">
        <v>17</v>
      </c>
      <c r="E923">
        <v>488</v>
      </c>
      <c r="F923" s="3">
        <v>23353602.859999999</v>
      </c>
      <c r="G923">
        <v>6362576.3399999999</v>
      </c>
      <c r="H923">
        <v>16991026.52</v>
      </c>
      <c r="I923">
        <v>4.1900000000000004</v>
      </c>
      <c r="J923">
        <v>3.56</v>
      </c>
      <c r="K923" t="str">
        <f t="shared" si="14"/>
        <v>Jun 2024</v>
      </c>
    </row>
    <row r="924" spans="1:11" x14ac:dyDescent="0.25">
      <c r="A924" s="6">
        <v>44217</v>
      </c>
      <c r="B924" t="s">
        <v>10</v>
      </c>
      <c r="C924" t="s">
        <v>16</v>
      </c>
      <c r="D924" t="s">
        <v>12</v>
      </c>
      <c r="E924">
        <v>476</v>
      </c>
      <c r="F924" s="3">
        <v>23775370.989999998</v>
      </c>
      <c r="G924">
        <v>7612080.6699999999</v>
      </c>
      <c r="H924">
        <v>16163290.32</v>
      </c>
      <c r="I924">
        <v>3.19</v>
      </c>
      <c r="J924">
        <v>4.4800000000000004</v>
      </c>
      <c r="K924" t="str">
        <f t="shared" si="14"/>
        <v>Jan 2021</v>
      </c>
    </row>
    <row r="925" spans="1:11" x14ac:dyDescent="0.25">
      <c r="A925" s="6">
        <v>45019</v>
      </c>
      <c r="B925" t="s">
        <v>10</v>
      </c>
      <c r="C925" t="s">
        <v>11</v>
      </c>
      <c r="D925" t="s">
        <v>12</v>
      </c>
      <c r="E925">
        <v>269</v>
      </c>
      <c r="F925" s="3">
        <v>22699952.670000002</v>
      </c>
      <c r="G925">
        <v>5402931.8700000001</v>
      </c>
      <c r="H925">
        <v>17297020.800000001</v>
      </c>
      <c r="I925">
        <v>3.12</v>
      </c>
      <c r="J925">
        <v>4.5999999999999996</v>
      </c>
      <c r="K925" t="str">
        <f t="shared" si="14"/>
        <v>Apr 2023</v>
      </c>
    </row>
    <row r="926" spans="1:11" x14ac:dyDescent="0.25">
      <c r="A926" s="6">
        <v>45587</v>
      </c>
      <c r="B926" t="s">
        <v>10</v>
      </c>
      <c r="C926" t="s">
        <v>11</v>
      </c>
      <c r="D926" t="s">
        <v>17</v>
      </c>
      <c r="E926">
        <v>425</v>
      </c>
      <c r="F926" s="3">
        <v>16619673.33</v>
      </c>
      <c r="G926">
        <v>3630616.06</v>
      </c>
      <c r="H926">
        <v>12989057.27</v>
      </c>
      <c r="I926">
        <v>4.9800000000000004</v>
      </c>
      <c r="J926">
        <v>4.55</v>
      </c>
      <c r="K926" t="str">
        <f t="shared" si="14"/>
        <v>Oct 2024</v>
      </c>
    </row>
    <row r="927" spans="1:11" x14ac:dyDescent="0.25">
      <c r="A927" s="6">
        <v>44564</v>
      </c>
      <c r="B927" t="s">
        <v>10</v>
      </c>
      <c r="C927" t="s">
        <v>13</v>
      </c>
      <c r="D927" t="s">
        <v>12</v>
      </c>
      <c r="E927">
        <v>407</v>
      </c>
      <c r="F927" s="3">
        <v>26701460.91</v>
      </c>
      <c r="G927">
        <v>8765440.3300000001</v>
      </c>
      <c r="H927">
        <v>17936020.57</v>
      </c>
      <c r="I927">
        <v>4.5999999999999996</v>
      </c>
      <c r="J927">
        <v>3.53</v>
      </c>
      <c r="K927" t="str">
        <f t="shared" si="14"/>
        <v>Jan 2022</v>
      </c>
    </row>
    <row r="928" spans="1:11" x14ac:dyDescent="0.25">
      <c r="A928" s="6">
        <v>44711</v>
      </c>
      <c r="B928" t="s">
        <v>10</v>
      </c>
      <c r="C928" t="s">
        <v>15</v>
      </c>
      <c r="D928" t="s">
        <v>17</v>
      </c>
      <c r="E928">
        <v>137</v>
      </c>
      <c r="F928" s="3">
        <v>11758151.640000001</v>
      </c>
      <c r="G928">
        <v>2409997.85</v>
      </c>
      <c r="H928">
        <v>9348153.7899999991</v>
      </c>
      <c r="I928">
        <v>4.25</v>
      </c>
      <c r="J928">
        <v>3.95</v>
      </c>
      <c r="K928" t="str">
        <f t="shared" si="14"/>
        <v>May 2022</v>
      </c>
    </row>
    <row r="929" spans="1:11" x14ac:dyDescent="0.25">
      <c r="A929" s="6">
        <v>45655</v>
      </c>
      <c r="B929" t="s">
        <v>10</v>
      </c>
      <c r="C929" t="s">
        <v>15</v>
      </c>
      <c r="D929" t="s">
        <v>17</v>
      </c>
      <c r="E929">
        <v>165</v>
      </c>
      <c r="F929" s="3">
        <v>11906640.84</v>
      </c>
      <c r="G929">
        <v>3819799.87</v>
      </c>
      <c r="H929">
        <v>8086840.9699999997</v>
      </c>
      <c r="I929">
        <v>3.9</v>
      </c>
      <c r="J929">
        <v>4.18</v>
      </c>
      <c r="K929" t="str">
        <f t="shared" si="14"/>
        <v>Dec 2024</v>
      </c>
    </row>
    <row r="930" spans="1:11" x14ac:dyDescent="0.25">
      <c r="A930" s="6">
        <v>45003</v>
      </c>
      <c r="B930" t="s">
        <v>10</v>
      </c>
      <c r="C930" t="s">
        <v>13</v>
      </c>
      <c r="D930" t="s">
        <v>17</v>
      </c>
      <c r="E930">
        <v>60</v>
      </c>
      <c r="F930" s="3">
        <v>3321080.93</v>
      </c>
      <c r="G930">
        <v>962800.11</v>
      </c>
      <c r="H930">
        <v>2358280.8199999998</v>
      </c>
      <c r="I930">
        <v>4.0599999999999996</v>
      </c>
      <c r="J930">
        <v>3.98</v>
      </c>
      <c r="K930" t="str">
        <f t="shared" si="14"/>
        <v>Mar 2023</v>
      </c>
    </row>
    <row r="931" spans="1:11" x14ac:dyDescent="0.25">
      <c r="A931" s="6">
        <v>44025</v>
      </c>
      <c r="B931" t="s">
        <v>10</v>
      </c>
      <c r="C931" t="s">
        <v>15</v>
      </c>
      <c r="D931" t="s">
        <v>14</v>
      </c>
      <c r="E931">
        <v>284</v>
      </c>
      <c r="F931" s="3">
        <v>25080806.710000001</v>
      </c>
      <c r="G931">
        <v>8137020.2300000004</v>
      </c>
      <c r="H931">
        <v>16943786.48</v>
      </c>
      <c r="I931">
        <v>0.78</v>
      </c>
      <c r="J931">
        <v>4.01</v>
      </c>
      <c r="K931" t="str">
        <f t="shared" si="14"/>
        <v>Jul 2020</v>
      </c>
    </row>
    <row r="932" spans="1:11" x14ac:dyDescent="0.25">
      <c r="A932" s="6">
        <v>43859</v>
      </c>
      <c r="B932" t="s">
        <v>10</v>
      </c>
      <c r="C932" t="s">
        <v>16</v>
      </c>
      <c r="D932" t="s">
        <v>14</v>
      </c>
      <c r="E932">
        <v>213</v>
      </c>
      <c r="F932" s="3">
        <v>9400305.2899999991</v>
      </c>
      <c r="G932">
        <v>3645241.61</v>
      </c>
      <c r="H932">
        <v>5755063.6799999997</v>
      </c>
      <c r="I932">
        <v>2.75</v>
      </c>
      <c r="J932">
        <v>3.66</v>
      </c>
      <c r="K932" t="str">
        <f t="shared" si="14"/>
        <v>Jan 2020</v>
      </c>
    </row>
    <row r="933" spans="1:11" x14ac:dyDescent="0.25">
      <c r="A933" s="6">
        <v>44151</v>
      </c>
      <c r="B933" t="s">
        <v>10</v>
      </c>
      <c r="C933" t="s">
        <v>18</v>
      </c>
      <c r="D933" t="s">
        <v>17</v>
      </c>
      <c r="E933">
        <v>287</v>
      </c>
      <c r="F933" s="3">
        <v>15644390.27</v>
      </c>
      <c r="G933">
        <v>5004001.63</v>
      </c>
      <c r="H933">
        <v>10640388.630000001</v>
      </c>
      <c r="I933">
        <v>1.02</v>
      </c>
      <c r="J933">
        <v>4.82</v>
      </c>
      <c r="K933" t="str">
        <f t="shared" si="14"/>
        <v>Nov 2020</v>
      </c>
    </row>
    <row r="934" spans="1:11" x14ac:dyDescent="0.25">
      <c r="A934" s="6">
        <v>44981</v>
      </c>
      <c r="B934" t="s">
        <v>10</v>
      </c>
      <c r="C934" t="s">
        <v>15</v>
      </c>
      <c r="D934" t="s">
        <v>14</v>
      </c>
      <c r="E934">
        <v>484</v>
      </c>
      <c r="F934" s="3">
        <v>16944965.379999999</v>
      </c>
      <c r="G934">
        <v>4697214.03</v>
      </c>
      <c r="H934">
        <v>12247751.35</v>
      </c>
      <c r="I934">
        <v>3.27</v>
      </c>
      <c r="J934">
        <v>4.1900000000000004</v>
      </c>
      <c r="K934" t="str">
        <f t="shared" si="14"/>
        <v>Feb 2023</v>
      </c>
    </row>
    <row r="935" spans="1:11" x14ac:dyDescent="0.25">
      <c r="A935" s="6">
        <v>44077</v>
      </c>
      <c r="B935" t="s">
        <v>10</v>
      </c>
      <c r="C935" t="s">
        <v>18</v>
      </c>
      <c r="D935" t="s">
        <v>14</v>
      </c>
      <c r="E935">
        <v>471</v>
      </c>
      <c r="F935" s="3">
        <v>28281700.120000001</v>
      </c>
      <c r="G935">
        <v>8965522.7300000004</v>
      </c>
      <c r="H935">
        <v>19316177.399999999</v>
      </c>
      <c r="I935">
        <v>3.79</v>
      </c>
      <c r="J935">
        <v>3.7</v>
      </c>
      <c r="K935" t="str">
        <f t="shared" si="14"/>
        <v>Sep 2020</v>
      </c>
    </row>
    <row r="936" spans="1:11" x14ac:dyDescent="0.25">
      <c r="A936" s="6">
        <v>45267</v>
      </c>
      <c r="B936" t="s">
        <v>10</v>
      </c>
      <c r="C936" t="s">
        <v>15</v>
      </c>
      <c r="D936" t="s">
        <v>14</v>
      </c>
      <c r="E936">
        <v>218</v>
      </c>
      <c r="F936" s="3">
        <v>9794413.5600000005</v>
      </c>
      <c r="G936">
        <v>3403616.33</v>
      </c>
      <c r="H936">
        <v>6390797.2300000004</v>
      </c>
      <c r="I936">
        <v>2.86</v>
      </c>
      <c r="J936">
        <v>3.67</v>
      </c>
      <c r="K936" t="str">
        <f t="shared" si="14"/>
        <v>Dec 2023</v>
      </c>
    </row>
    <row r="937" spans="1:11" x14ac:dyDescent="0.25">
      <c r="A937" s="6">
        <v>44982</v>
      </c>
      <c r="B937" t="s">
        <v>10</v>
      </c>
      <c r="C937" t="s">
        <v>13</v>
      </c>
      <c r="D937" t="s">
        <v>14</v>
      </c>
      <c r="E937">
        <v>357</v>
      </c>
      <c r="F937" s="3">
        <v>18333693.670000002</v>
      </c>
      <c r="G937">
        <v>6737493.1299999999</v>
      </c>
      <c r="H937">
        <v>11596200.529999999</v>
      </c>
      <c r="I937">
        <v>3.54</v>
      </c>
      <c r="J937">
        <v>3.56</v>
      </c>
      <c r="K937" t="str">
        <f t="shared" si="14"/>
        <v>Feb 2023</v>
      </c>
    </row>
    <row r="938" spans="1:11" x14ac:dyDescent="0.25">
      <c r="A938" s="6">
        <v>45261</v>
      </c>
      <c r="B938" t="s">
        <v>10</v>
      </c>
      <c r="C938" t="s">
        <v>16</v>
      </c>
      <c r="D938" t="s">
        <v>12</v>
      </c>
      <c r="E938">
        <v>181</v>
      </c>
      <c r="F938" s="3">
        <v>8413911.9600000009</v>
      </c>
      <c r="G938">
        <v>3267012.12</v>
      </c>
      <c r="H938">
        <v>5146899.84</v>
      </c>
      <c r="I938">
        <v>2.99</v>
      </c>
      <c r="J938">
        <v>4.3899999999999997</v>
      </c>
      <c r="K938" t="str">
        <f t="shared" si="14"/>
        <v>Dec 2023</v>
      </c>
    </row>
    <row r="939" spans="1:11" x14ac:dyDescent="0.25">
      <c r="A939" s="6">
        <v>44329</v>
      </c>
      <c r="B939" t="s">
        <v>10</v>
      </c>
      <c r="C939" t="s">
        <v>16</v>
      </c>
      <c r="D939" t="s">
        <v>17</v>
      </c>
      <c r="E939">
        <v>238</v>
      </c>
      <c r="F939" s="3">
        <v>15882689.310000001</v>
      </c>
      <c r="G939">
        <v>5255642.71</v>
      </c>
      <c r="H939">
        <v>10627046.6</v>
      </c>
      <c r="I939">
        <v>4.1100000000000003</v>
      </c>
      <c r="J939">
        <v>4.3099999999999996</v>
      </c>
      <c r="K939" t="str">
        <f t="shared" si="14"/>
        <v>May 2021</v>
      </c>
    </row>
    <row r="940" spans="1:11" x14ac:dyDescent="0.25">
      <c r="A940" s="6">
        <v>44554</v>
      </c>
      <c r="B940" t="s">
        <v>10</v>
      </c>
      <c r="C940" t="s">
        <v>15</v>
      </c>
      <c r="D940" t="s">
        <v>17</v>
      </c>
      <c r="E940">
        <v>172</v>
      </c>
      <c r="F940" s="3">
        <v>12437587.24</v>
      </c>
      <c r="G940">
        <v>3500506.84</v>
      </c>
      <c r="H940">
        <v>8937080.4000000004</v>
      </c>
      <c r="I940">
        <v>1.17</v>
      </c>
      <c r="J940">
        <v>3.76</v>
      </c>
      <c r="K940" t="str">
        <f t="shared" si="14"/>
        <v>Dec 2021</v>
      </c>
    </row>
    <row r="941" spans="1:11" x14ac:dyDescent="0.25">
      <c r="A941" s="6">
        <v>44103</v>
      </c>
      <c r="B941" t="s">
        <v>10</v>
      </c>
      <c r="C941" t="s">
        <v>15</v>
      </c>
      <c r="D941" t="s">
        <v>12</v>
      </c>
      <c r="E941">
        <v>462</v>
      </c>
      <c r="F941" s="3">
        <v>19815558.899999999</v>
      </c>
      <c r="G941">
        <v>7326028.0300000003</v>
      </c>
      <c r="H941">
        <v>12489530.869999999</v>
      </c>
      <c r="I941">
        <v>2.4500000000000002</v>
      </c>
      <c r="J941">
        <v>4.3899999999999997</v>
      </c>
      <c r="K941" t="str">
        <f t="shared" si="14"/>
        <v>Sep 2020</v>
      </c>
    </row>
    <row r="942" spans="1:11" x14ac:dyDescent="0.25">
      <c r="A942" s="6">
        <v>44692</v>
      </c>
      <c r="B942" t="s">
        <v>10</v>
      </c>
      <c r="C942" t="s">
        <v>11</v>
      </c>
      <c r="D942" t="s">
        <v>14</v>
      </c>
      <c r="E942">
        <v>66</v>
      </c>
      <c r="F942" s="3">
        <v>4210898.2</v>
      </c>
      <c r="G942">
        <v>1415599.97</v>
      </c>
      <c r="H942">
        <v>2795298.23</v>
      </c>
      <c r="I942">
        <v>2.61</v>
      </c>
      <c r="J942">
        <v>4.25</v>
      </c>
      <c r="K942" t="str">
        <f t="shared" si="14"/>
        <v>May 2022</v>
      </c>
    </row>
    <row r="943" spans="1:11" x14ac:dyDescent="0.25">
      <c r="A943" s="6">
        <v>44048</v>
      </c>
      <c r="B943" t="s">
        <v>10</v>
      </c>
      <c r="C943" t="s">
        <v>13</v>
      </c>
      <c r="D943" t="s">
        <v>14</v>
      </c>
      <c r="E943">
        <v>79</v>
      </c>
      <c r="F943" s="3">
        <v>3113411.46</v>
      </c>
      <c r="G943">
        <v>948445.46</v>
      </c>
      <c r="H943">
        <v>2164966</v>
      </c>
      <c r="I943">
        <v>3.34</v>
      </c>
      <c r="J943">
        <v>4.74</v>
      </c>
      <c r="K943" t="str">
        <f t="shared" si="14"/>
        <v>Aug 2020</v>
      </c>
    </row>
    <row r="944" spans="1:11" x14ac:dyDescent="0.25">
      <c r="A944" s="6">
        <v>45424</v>
      </c>
      <c r="B944" t="s">
        <v>10</v>
      </c>
      <c r="C944" t="s">
        <v>11</v>
      </c>
      <c r="D944" t="s">
        <v>17</v>
      </c>
      <c r="E944">
        <v>67</v>
      </c>
      <c r="F944" s="3">
        <v>3476192.86</v>
      </c>
      <c r="G944">
        <v>1254768.55</v>
      </c>
      <c r="H944">
        <v>2221424.31</v>
      </c>
      <c r="I944">
        <v>3.55</v>
      </c>
      <c r="J944">
        <v>3.98</v>
      </c>
      <c r="K944" t="str">
        <f t="shared" si="14"/>
        <v>May 2024</v>
      </c>
    </row>
    <row r="945" spans="1:11" x14ac:dyDescent="0.25">
      <c r="A945" s="6">
        <v>44878</v>
      </c>
      <c r="B945" t="s">
        <v>10</v>
      </c>
      <c r="C945" t="s">
        <v>15</v>
      </c>
      <c r="D945" t="s">
        <v>17</v>
      </c>
      <c r="E945">
        <v>395</v>
      </c>
      <c r="F945" s="3">
        <v>34918676.920000002</v>
      </c>
      <c r="G945">
        <v>12730277.439999999</v>
      </c>
      <c r="H945">
        <v>22188399.48</v>
      </c>
      <c r="I945">
        <v>3.75</v>
      </c>
      <c r="J945">
        <v>3.56</v>
      </c>
      <c r="K945" t="str">
        <f t="shared" si="14"/>
        <v>Nov 2022</v>
      </c>
    </row>
    <row r="946" spans="1:11" x14ac:dyDescent="0.25">
      <c r="A946" s="6">
        <v>45110</v>
      </c>
      <c r="B946" t="s">
        <v>10</v>
      </c>
      <c r="C946" t="s">
        <v>16</v>
      </c>
      <c r="D946" t="s">
        <v>12</v>
      </c>
      <c r="E946">
        <v>135</v>
      </c>
      <c r="F946" s="3">
        <v>8211176.0899999999</v>
      </c>
      <c r="G946">
        <v>2590369.81</v>
      </c>
      <c r="H946">
        <v>5620806.2800000003</v>
      </c>
      <c r="I946">
        <v>4.9800000000000004</v>
      </c>
      <c r="J946">
        <v>3.52</v>
      </c>
      <c r="K946" t="str">
        <f t="shared" si="14"/>
        <v>Jul 2023</v>
      </c>
    </row>
    <row r="947" spans="1:11" x14ac:dyDescent="0.25">
      <c r="A947" s="6">
        <v>44699</v>
      </c>
      <c r="B947" t="s">
        <v>10</v>
      </c>
      <c r="C947" t="s">
        <v>11</v>
      </c>
      <c r="D947" t="s">
        <v>17</v>
      </c>
      <c r="E947">
        <v>475</v>
      </c>
      <c r="F947" s="3">
        <v>29198386.48</v>
      </c>
      <c r="G947">
        <v>6951113.6600000001</v>
      </c>
      <c r="H947">
        <v>22247272.809999999</v>
      </c>
      <c r="I947">
        <v>4.78</v>
      </c>
      <c r="J947">
        <v>3.53</v>
      </c>
      <c r="K947" t="str">
        <f t="shared" si="14"/>
        <v>May 2022</v>
      </c>
    </row>
    <row r="948" spans="1:11" x14ac:dyDescent="0.25">
      <c r="A948" s="6">
        <v>45604</v>
      </c>
      <c r="B948" t="s">
        <v>10</v>
      </c>
      <c r="C948" t="s">
        <v>16</v>
      </c>
      <c r="D948" t="s">
        <v>12</v>
      </c>
      <c r="E948">
        <v>442</v>
      </c>
      <c r="F948" s="3">
        <v>36713900.170000002</v>
      </c>
      <c r="G948">
        <v>14590785.130000001</v>
      </c>
      <c r="H948">
        <v>22123115.039999999</v>
      </c>
      <c r="I948">
        <v>1.52</v>
      </c>
      <c r="J948">
        <v>4.3499999999999996</v>
      </c>
      <c r="K948" t="str">
        <f t="shared" si="14"/>
        <v>Nov 2024</v>
      </c>
    </row>
    <row r="949" spans="1:11" x14ac:dyDescent="0.25">
      <c r="A949" s="6">
        <v>45235</v>
      </c>
      <c r="B949" t="s">
        <v>10</v>
      </c>
      <c r="C949" t="s">
        <v>16</v>
      </c>
      <c r="D949" t="s">
        <v>17</v>
      </c>
      <c r="E949">
        <v>166</v>
      </c>
      <c r="F949" s="3">
        <v>9825881.9900000002</v>
      </c>
      <c r="G949">
        <v>2664864.52</v>
      </c>
      <c r="H949">
        <v>7161017.4699999997</v>
      </c>
      <c r="I949">
        <v>2.21</v>
      </c>
      <c r="J949">
        <v>3.58</v>
      </c>
      <c r="K949" t="str">
        <f t="shared" si="14"/>
        <v>Nov 2023</v>
      </c>
    </row>
    <row r="950" spans="1:11" x14ac:dyDescent="0.25">
      <c r="A950" s="6">
        <v>44127</v>
      </c>
      <c r="B950" t="s">
        <v>10</v>
      </c>
      <c r="C950" t="s">
        <v>13</v>
      </c>
      <c r="D950" t="s">
        <v>14</v>
      </c>
      <c r="E950">
        <v>308</v>
      </c>
      <c r="F950" s="3">
        <v>13986464.960000001</v>
      </c>
      <c r="G950">
        <v>4309701.3600000003</v>
      </c>
      <c r="H950">
        <v>9676763.5999999996</v>
      </c>
      <c r="I950">
        <v>3.88</v>
      </c>
      <c r="J950">
        <v>4.8600000000000003</v>
      </c>
      <c r="K950" t="str">
        <f t="shared" si="14"/>
        <v>Oct 2020</v>
      </c>
    </row>
    <row r="951" spans="1:11" x14ac:dyDescent="0.25">
      <c r="A951" s="6">
        <v>43856</v>
      </c>
      <c r="B951" t="s">
        <v>10</v>
      </c>
      <c r="C951" t="s">
        <v>11</v>
      </c>
      <c r="D951" t="s">
        <v>14</v>
      </c>
      <c r="E951">
        <v>413</v>
      </c>
      <c r="F951" s="3">
        <v>15553558.98</v>
      </c>
      <c r="G951">
        <v>3669123.18</v>
      </c>
      <c r="H951">
        <v>11884435.800000001</v>
      </c>
      <c r="I951">
        <v>4.22</v>
      </c>
      <c r="J951">
        <v>4.38</v>
      </c>
      <c r="K951" t="str">
        <f t="shared" si="14"/>
        <v>Jan 2020</v>
      </c>
    </row>
    <row r="952" spans="1:11" x14ac:dyDescent="0.25">
      <c r="A952" s="6">
        <v>45460</v>
      </c>
      <c r="B952" t="s">
        <v>10</v>
      </c>
      <c r="C952" t="s">
        <v>18</v>
      </c>
      <c r="D952" t="s">
        <v>14</v>
      </c>
      <c r="E952">
        <v>418</v>
      </c>
      <c r="F952" s="3">
        <v>26206545.100000001</v>
      </c>
      <c r="G952">
        <v>10125637.6</v>
      </c>
      <c r="H952">
        <v>16080907.51</v>
      </c>
      <c r="I952">
        <v>1.48</v>
      </c>
      <c r="J952">
        <v>4.9000000000000004</v>
      </c>
      <c r="K952" t="str">
        <f t="shared" si="14"/>
        <v>Jun 2024</v>
      </c>
    </row>
    <row r="953" spans="1:11" x14ac:dyDescent="0.25">
      <c r="A953" s="6">
        <v>44272</v>
      </c>
      <c r="B953" t="s">
        <v>10</v>
      </c>
      <c r="C953" t="s">
        <v>15</v>
      </c>
      <c r="D953" t="s">
        <v>17</v>
      </c>
      <c r="E953">
        <v>475</v>
      </c>
      <c r="F953" s="3">
        <v>37117592.990000002</v>
      </c>
      <c r="G953">
        <v>10403593.68</v>
      </c>
      <c r="H953">
        <v>26713999.300000001</v>
      </c>
      <c r="I953">
        <v>2.36</v>
      </c>
      <c r="J953">
        <v>4.9400000000000004</v>
      </c>
      <c r="K953" t="str">
        <f t="shared" si="14"/>
        <v>Mar 2021</v>
      </c>
    </row>
    <row r="954" spans="1:11" x14ac:dyDescent="0.25">
      <c r="A954" s="6">
        <v>45047</v>
      </c>
      <c r="B954" t="s">
        <v>10</v>
      </c>
      <c r="C954" t="s">
        <v>18</v>
      </c>
      <c r="D954" t="s">
        <v>12</v>
      </c>
      <c r="E954">
        <v>447</v>
      </c>
      <c r="F954" s="3">
        <v>19692389.91</v>
      </c>
      <c r="G954">
        <v>6241995.5300000003</v>
      </c>
      <c r="H954">
        <v>13450394.380000001</v>
      </c>
      <c r="I954">
        <v>0.56000000000000005</v>
      </c>
      <c r="J954">
        <v>4.22</v>
      </c>
      <c r="K954" t="str">
        <f t="shared" si="14"/>
        <v>May 2023</v>
      </c>
    </row>
    <row r="955" spans="1:11" x14ac:dyDescent="0.25">
      <c r="A955" s="6">
        <v>45372</v>
      </c>
      <c r="B955" t="s">
        <v>10</v>
      </c>
      <c r="C955" t="s">
        <v>18</v>
      </c>
      <c r="D955" t="s">
        <v>12</v>
      </c>
      <c r="E955">
        <v>491</v>
      </c>
      <c r="F955" s="3">
        <v>22176560.940000001</v>
      </c>
      <c r="G955">
        <v>8606337</v>
      </c>
      <c r="H955">
        <v>13570223.939999999</v>
      </c>
      <c r="I955">
        <v>3.22</v>
      </c>
      <c r="J955">
        <v>4.6500000000000004</v>
      </c>
      <c r="K955" t="str">
        <f t="shared" si="14"/>
        <v>Mar 2024</v>
      </c>
    </row>
    <row r="956" spans="1:11" x14ac:dyDescent="0.25">
      <c r="A956" s="6">
        <v>45442</v>
      </c>
      <c r="B956" t="s">
        <v>10</v>
      </c>
      <c r="C956" t="s">
        <v>15</v>
      </c>
      <c r="D956" t="s">
        <v>17</v>
      </c>
      <c r="E956">
        <v>492</v>
      </c>
      <c r="F956" s="3">
        <v>23356467.239999998</v>
      </c>
      <c r="G956">
        <v>6229067.1500000004</v>
      </c>
      <c r="H956">
        <v>17127400.09</v>
      </c>
      <c r="I956">
        <v>0.86</v>
      </c>
      <c r="J956">
        <v>4.16</v>
      </c>
      <c r="K956" t="str">
        <f t="shared" si="14"/>
        <v>May 2024</v>
      </c>
    </row>
    <row r="957" spans="1:11" x14ac:dyDescent="0.25">
      <c r="A957" s="6">
        <v>43934</v>
      </c>
      <c r="B957" t="s">
        <v>10</v>
      </c>
      <c r="C957" t="s">
        <v>18</v>
      </c>
      <c r="D957" t="s">
        <v>14</v>
      </c>
      <c r="E957">
        <v>416</v>
      </c>
      <c r="F957" s="3">
        <v>17830944.879999999</v>
      </c>
      <c r="G957">
        <v>4485218.92</v>
      </c>
      <c r="H957">
        <v>13345725.960000001</v>
      </c>
      <c r="I957">
        <v>1.6</v>
      </c>
      <c r="J957">
        <v>4.4000000000000004</v>
      </c>
      <c r="K957" t="str">
        <f t="shared" si="14"/>
        <v>Apr 2020</v>
      </c>
    </row>
    <row r="958" spans="1:11" x14ac:dyDescent="0.25">
      <c r="A958" s="6">
        <v>44116</v>
      </c>
      <c r="B958" t="s">
        <v>10</v>
      </c>
      <c r="C958" t="s">
        <v>18</v>
      </c>
      <c r="D958" t="s">
        <v>12</v>
      </c>
      <c r="E958">
        <v>445</v>
      </c>
      <c r="F958" s="3">
        <v>25310994.469999999</v>
      </c>
      <c r="G958">
        <v>7534032.9100000001</v>
      </c>
      <c r="H958">
        <v>17776961.550000001</v>
      </c>
      <c r="I958">
        <v>2.67</v>
      </c>
      <c r="J958">
        <v>4.07</v>
      </c>
      <c r="K958" t="str">
        <f t="shared" si="14"/>
        <v>Oct 2020</v>
      </c>
    </row>
    <row r="959" spans="1:11" x14ac:dyDescent="0.25">
      <c r="A959" s="6">
        <v>44587</v>
      </c>
      <c r="B959" t="s">
        <v>10</v>
      </c>
      <c r="C959" t="s">
        <v>15</v>
      </c>
      <c r="D959" t="s">
        <v>14</v>
      </c>
      <c r="E959">
        <v>171</v>
      </c>
      <c r="F959" s="3">
        <v>7351797.54</v>
      </c>
      <c r="G959">
        <v>2197163</v>
      </c>
      <c r="H959">
        <v>5154634.54</v>
      </c>
      <c r="I959">
        <v>0.78</v>
      </c>
      <c r="J959">
        <v>3.61</v>
      </c>
      <c r="K959" t="str">
        <f t="shared" si="14"/>
        <v>Jan 2022</v>
      </c>
    </row>
    <row r="960" spans="1:11" x14ac:dyDescent="0.25">
      <c r="A960" s="6">
        <v>44473</v>
      </c>
      <c r="B960" t="s">
        <v>10</v>
      </c>
      <c r="C960" t="s">
        <v>15</v>
      </c>
      <c r="D960" t="s">
        <v>14</v>
      </c>
      <c r="E960">
        <v>392</v>
      </c>
      <c r="F960" s="3">
        <v>24940889.149999999</v>
      </c>
      <c r="G960">
        <v>5015203.83</v>
      </c>
      <c r="H960">
        <v>19925685.32</v>
      </c>
      <c r="I960">
        <v>1.41</v>
      </c>
      <c r="J960">
        <v>3.89</v>
      </c>
      <c r="K960" t="str">
        <f t="shared" si="14"/>
        <v>Oct 2021</v>
      </c>
    </row>
    <row r="961" spans="1:11" x14ac:dyDescent="0.25">
      <c r="A961" s="6">
        <v>44231</v>
      </c>
      <c r="B961" t="s">
        <v>10</v>
      </c>
      <c r="C961" t="s">
        <v>13</v>
      </c>
      <c r="D961" t="s">
        <v>17</v>
      </c>
      <c r="E961">
        <v>376</v>
      </c>
      <c r="F961" s="3">
        <v>15186798.92</v>
      </c>
      <c r="G961">
        <v>5940875.6900000004</v>
      </c>
      <c r="H961">
        <v>9245923.2300000004</v>
      </c>
      <c r="I961">
        <v>1.33</v>
      </c>
      <c r="J961">
        <v>4.3099999999999996</v>
      </c>
      <c r="K961" t="str">
        <f t="shared" si="14"/>
        <v>Feb 2021</v>
      </c>
    </row>
    <row r="962" spans="1:11" x14ac:dyDescent="0.25">
      <c r="A962" s="6">
        <v>44352</v>
      </c>
      <c r="B962" t="s">
        <v>10</v>
      </c>
      <c r="C962" t="s">
        <v>15</v>
      </c>
      <c r="D962" t="s">
        <v>17</v>
      </c>
      <c r="E962">
        <v>477</v>
      </c>
      <c r="F962" s="3">
        <v>17890926.620000001</v>
      </c>
      <c r="G962">
        <v>3771511.49</v>
      </c>
      <c r="H962">
        <v>14119415.130000001</v>
      </c>
      <c r="I962">
        <v>4.29</v>
      </c>
      <c r="J962">
        <v>3.94</v>
      </c>
      <c r="K962" t="str">
        <f t="shared" ref="K962:K1025" si="15">TEXT(A962,"mmm yyyy")</f>
        <v>Jun 2021</v>
      </c>
    </row>
    <row r="963" spans="1:11" x14ac:dyDescent="0.25">
      <c r="A963" s="6">
        <v>44292</v>
      </c>
      <c r="B963" t="s">
        <v>10</v>
      </c>
      <c r="C963" t="s">
        <v>15</v>
      </c>
      <c r="D963" t="s">
        <v>14</v>
      </c>
      <c r="E963">
        <v>355</v>
      </c>
      <c r="F963" s="3">
        <v>15742045.1</v>
      </c>
      <c r="G963">
        <v>5897145.0999999996</v>
      </c>
      <c r="H963">
        <v>9844900</v>
      </c>
      <c r="I963">
        <v>1.05</v>
      </c>
      <c r="J963">
        <v>4.28</v>
      </c>
      <c r="K963" t="str">
        <f t="shared" si="15"/>
        <v>Apr 2021</v>
      </c>
    </row>
    <row r="964" spans="1:11" x14ac:dyDescent="0.25">
      <c r="A964" s="6">
        <v>44344</v>
      </c>
      <c r="B964" t="s">
        <v>10</v>
      </c>
      <c r="C964" t="s">
        <v>16</v>
      </c>
      <c r="D964" t="s">
        <v>14</v>
      </c>
      <c r="E964">
        <v>474</v>
      </c>
      <c r="F964" s="3">
        <v>20919571.399999999</v>
      </c>
      <c r="G964">
        <v>8120534.8700000001</v>
      </c>
      <c r="H964">
        <v>12799036.529999999</v>
      </c>
      <c r="I964">
        <v>3.61</v>
      </c>
      <c r="J964">
        <v>4.59</v>
      </c>
      <c r="K964" t="str">
        <f t="shared" si="15"/>
        <v>May 2021</v>
      </c>
    </row>
    <row r="965" spans="1:11" x14ac:dyDescent="0.25">
      <c r="A965" s="6">
        <v>45650</v>
      </c>
      <c r="B965" t="s">
        <v>10</v>
      </c>
      <c r="C965" t="s">
        <v>13</v>
      </c>
      <c r="D965" t="s">
        <v>17</v>
      </c>
      <c r="E965">
        <v>74</v>
      </c>
      <c r="F965" s="3">
        <v>3170205.18</v>
      </c>
      <c r="G965">
        <v>1025789.96</v>
      </c>
      <c r="H965">
        <v>2144415.2200000002</v>
      </c>
      <c r="I965">
        <v>3</v>
      </c>
      <c r="J965">
        <v>3.62</v>
      </c>
      <c r="K965" t="str">
        <f t="shared" si="15"/>
        <v>Dec 2024</v>
      </c>
    </row>
    <row r="966" spans="1:11" x14ac:dyDescent="0.25">
      <c r="A966" s="6">
        <v>44193</v>
      </c>
      <c r="B966" t="s">
        <v>10</v>
      </c>
      <c r="C966" t="s">
        <v>15</v>
      </c>
      <c r="D966" t="s">
        <v>17</v>
      </c>
      <c r="E966">
        <v>493</v>
      </c>
      <c r="F966" s="3">
        <v>21861095.399999999</v>
      </c>
      <c r="G966">
        <v>8502147.75</v>
      </c>
      <c r="H966">
        <v>13358947.640000001</v>
      </c>
      <c r="I966">
        <v>1.99</v>
      </c>
      <c r="J966">
        <v>4.6500000000000004</v>
      </c>
      <c r="K966" t="str">
        <f t="shared" si="15"/>
        <v>Dec 2020</v>
      </c>
    </row>
    <row r="967" spans="1:11" x14ac:dyDescent="0.25">
      <c r="A967" s="6">
        <v>45086</v>
      </c>
      <c r="B967" t="s">
        <v>10</v>
      </c>
      <c r="C967" t="s">
        <v>15</v>
      </c>
      <c r="D967" t="s">
        <v>14</v>
      </c>
      <c r="E967">
        <v>186</v>
      </c>
      <c r="F967" s="3">
        <v>10759981.9</v>
      </c>
      <c r="G967">
        <v>4252333.99</v>
      </c>
      <c r="H967">
        <v>6507647.9100000001</v>
      </c>
      <c r="I967">
        <v>2.0099999999999998</v>
      </c>
      <c r="J967">
        <v>3.77</v>
      </c>
      <c r="K967" t="str">
        <f t="shared" si="15"/>
        <v>Jun 2023</v>
      </c>
    </row>
    <row r="968" spans="1:11" x14ac:dyDescent="0.25">
      <c r="A968" s="6">
        <v>45412</v>
      </c>
      <c r="B968" t="s">
        <v>10</v>
      </c>
      <c r="C968" t="s">
        <v>13</v>
      </c>
      <c r="D968" t="s">
        <v>12</v>
      </c>
      <c r="E968">
        <v>372</v>
      </c>
      <c r="F968" s="3">
        <v>32821244.010000002</v>
      </c>
      <c r="G968">
        <v>9519052.3300000001</v>
      </c>
      <c r="H968">
        <v>23302191.68</v>
      </c>
      <c r="I968">
        <v>4.83</v>
      </c>
      <c r="J968">
        <v>3.67</v>
      </c>
      <c r="K968" t="str">
        <f t="shared" si="15"/>
        <v>Apr 2024</v>
      </c>
    </row>
    <row r="969" spans="1:11" x14ac:dyDescent="0.25">
      <c r="A969" s="6">
        <v>44282</v>
      </c>
      <c r="B969" t="s">
        <v>10</v>
      </c>
      <c r="C969" t="s">
        <v>15</v>
      </c>
      <c r="D969" t="s">
        <v>14</v>
      </c>
      <c r="E969">
        <v>478</v>
      </c>
      <c r="F969" s="3">
        <v>22958731.800000001</v>
      </c>
      <c r="G969">
        <v>8738250.9499999993</v>
      </c>
      <c r="H969">
        <v>14220480.85</v>
      </c>
      <c r="I969">
        <v>1.31</v>
      </c>
      <c r="J969">
        <v>4.7</v>
      </c>
      <c r="K969" t="str">
        <f t="shared" si="15"/>
        <v>Mar 2021</v>
      </c>
    </row>
    <row r="970" spans="1:11" x14ac:dyDescent="0.25">
      <c r="A970" s="6">
        <v>45606</v>
      </c>
      <c r="B970" t="s">
        <v>10</v>
      </c>
      <c r="C970" t="s">
        <v>13</v>
      </c>
      <c r="D970" t="s">
        <v>14</v>
      </c>
      <c r="E970">
        <v>115</v>
      </c>
      <c r="F970" s="3">
        <v>7742183.6399999997</v>
      </c>
      <c r="G970">
        <v>2922884.17</v>
      </c>
      <c r="H970">
        <v>4819299.4800000004</v>
      </c>
      <c r="I970">
        <v>1.99</v>
      </c>
      <c r="J970">
        <v>4.67</v>
      </c>
      <c r="K970" t="str">
        <f t="shared" si="15"/>
        <v>Nov 2024</v>
      </c>
    </row>
    <row r="971" spans="1:11" x14ac:dyDescent="0.25">
      <c r="A971" s="6">
        <v>45406</v>
      </c>
      <c r="B971" t="s">
        <v>10</v>
      </c>
      <c r="C971" t="s">
        <v>16</v>
      </c>
      <c r="D971" t="s">
        <v>17</v>
      </c>
      <c r="E971">
        <v>163</v>
      </c>
      <c r="F971" s="3">
        <v>11332737.640000001</v>
      </c>
      <c r="G971">
        <v>3065600.86</v>
      </c>
      <c r="H971">
        <v>8267136.7800000003</v>
      </c>
      <c r="I971">
        <v>4.3</v>
      </c>
      <c r="J971">
        <v>3.99</v>
      </c>
      <c r="K971" t="str">
        <f t="shared" si="15"/>
        <v>Apr 2024</v>
      </c>
    </row>
    <row r="972" spans="1:11" x14ac:dyDescent="0.25">
      <c r="A972" s="6">
        <v>45307</v>
      </c>
      <c r="B972" t="s">
        <v>10</v>
      </c>
      <c r="C972" t="s">
        <v>11</v>
      </c>
      <c r="D972" t="s">
        <v>12</v>
      </c>
      <c r="E972">
        <v>75</v>
      </c>
      <c r="F972" s="3">
        <v>6231517.75</v>
      </c>
      <c r="G972">
        <v>1457399.01</v>
      </c>
      <c r="H972">
        <v>4774118.75</v>
      </c>
      <c r="I972">
        <v>1.51</v>
      </c>
      <c r="J972">
        <v>4.0999999999999996</v>
      </c>
      <c r="K972" t="str">
        <f t="shared" si="15"/>
        <v>Jan 2024</v>
      </c>
    </row>
    <row r="973" spans="1:11" x14ac:dyDescent="0.25">
      <c r="A973" s="6">
        <v>45607</v>
      </c>
      <c r="B973" t="s">
        <v>10</v>
      </c>
      <c r="C973" t="s">
        <v>16</v>
      </c>
      <c r="D973" t="s">
        <v>14</v>
      </c>
      <c r="E973">
        <v>100</v>
      </c>
      <c r="F973" s="3">
        <v>7568255.9400000004</v>
      </c>
      <c r="G973">
        <v>2100530.44</v>
      </c>
      <c r="H973">
        <v>5467725.5</v>
      </c>
      <c r="I973">
        <v>0.57999999999999996</v>
      </c>
      <c r="J973">
        <v>3.79</v>
      </c>
      <c r="K973" t="str">
        <f t="shared" si="15"/>
        <v>Nov 2024</v>
      </c>
    </row>
    <row r="974" spans="1:11" x14ac:dyDescent="0.25">
      <c r="A974" s="6">
        <v>44036</v>
      </c>
      <c r="B974" t="s">
        <v>10</v>
      </c>
      <c r="C974" t="s">
        <v>11</v>
      </c>
      <c r="D974" t="s">
        <v>12</v>
      </c>
      <c r="E974">
        <v>125</v>
      </c>
      <c r="F974" s="3">
        <v>9399733.6300000008</v>
      </c>
      <c r="G974">
        <v>2970295.14</v>
      </c>
      <c r="H974">
        <v>6429438.4900000002</v>
      </c>
      <c r="I974">
        <v>3.1</v>
      </c>
      <c r="J974">
        <v>4.75</v>
      </c>
      <c r="K974" t="str">
        <f t="shared" si="15"/>
        <v>Jul 2020</v>
      </c>
    </row>
    <row r="975" spans="1:11" x14ac:dyDescent="0.25">
      <c r="A975" s="6">
        <v>45531</v>
      </c>
      <c r="B975" t="s">
        <v>10</v>
      </c>
      <c r="C975" t="s">
        <v>18</v>
      </c>
      <c r="D975" t="s">
        <v>14</v>
      </c>
      <c r="E975">
        <v>428</v>
      </c>
      <c r="F975" s="3">
        <v>16580091.48</v>
      </c>
      <c r="G975">
        <v>6031089.3200000003</v>
      </c>
      <c r="H975">
        <v>10549002.16</v>
      </c>
      <c r="I975">
        <v>4.8099999999999996</v>
      </c>
      <c r="J975">
        <v>4.84</v>
      </c>
      <c r="K975" t="str">
        <f t="shared" si="15"/>
        <v>Aug 2024</v>
      </c>
    </row>
    <row r="976" spans="1:11" x14ac:dyDescent="0.25">
      <c r="A976" s="6">
        <v>44736</v>
      </c>
      <c r="B976" t="s">
        <v>10</v>
      </c>
      <c r="C976" t="s">
        <v>16</v>
      </c>
      <c r="D976" t="s">
        <v>17</v>
      </c>
      <c r="E976">
        <v>176</v>
      </c>
      <c r="F976" s="3">
        <v>10185123.74</v>
      </c>
      <c r="G976">
        <v>2956561.32</v>
      </c>
      <c r="H976">
        <v>7228562.4199999999</v>
      </c>
      <c r="I976">
        <v>2.31</v>
      </c>
      <c r="J976">
        <v>4.28</v>
      </c>
      <c r="K976" t="str">
        <f t="shared" si="15"/>
        <v>Jun 2022</v>
      </c>
    </row>
    <row r="977" spans="1:11" x14ac:dyDescent="0.25">
      <c r="A977" s="6">
        <v>44954</v>
      </c>
      <c r="B977" t="s">
        <v>10</v>
      </c>
      <c r="C977" t="s">
        <v>18</v>
      </c>
      <c r="D977" t="s">
        <v>14</v>
      </c>
      <c r="E977">
        <v>359</v>
      </c>
      <c r="F977" s="3">
        <v>13733451.279999999</v>
      </c>
      <c r="G977">
        <v>3755267.75</v>
      </c>
      <c r="H977">
        <v>9978183.5399999991</v>
      </c>
      <c r="I977">
        <v>3.96</v>
      </c>
      <c r="J977">
        <v>4.99</v>
      </c>
      <c r="K977" t="str">
        <f t="shared" si="15"/>
        <v>Jan 2023</v>
      </c>
    </row>
    <row r="978" spans="1:11" x14ac:dyDescent="0.25">
      <c r="A978" s="6">
        <v>45246</v>
      </c>
      <c r="B978" t="s">
        <v>10</v>
      </c>
      <c r="C978" t="s">
        <v>15</v>
      </c>
      <c r="D978" t="s">
        <v>14</v>
      </c>
      <c r="E978">
        <v>377</v>
      </c>
      <c r="F978" s="3">
        <v>16486406.789999999</v>
      </c>
      <c r="G978">
        <v>3464542.2</v>
      </c>
      <c r="H978">
        <v>13021864.59</v>
      </c>
      <c r="I978">
        <v>4.46</v>
      </c>
      <c r="J978">
        <v>4.8600000000000003</v>
      </c>
      <c r="K978" t="str">
        <f t="shared" si="15"/>
        <v>Nov 2023</v>
      </c>
    </row>
    <row r="979" spans="1:11" x14ac:dyDescent="0.25">
      <c r="A979" s="6">
        <v>44728</v>
      </c>
      <c r="B979" t="s">
        <v>10</v>
      </c>
      <c r="C979" t="s">
        <v>15</v>
      </c>
      <c r="D979" t="s">
        <v>12</v>
      </c>
      <c r="E979">
        <v>458</v>
      </c>
      <c r="F979" s="3">
        <v>26334854.890000001</v>
      </c>
      <c r="G979">
        <v>8667447.6199999992</v>
      </c>
      <c r="H979">
        <v>17667407.27</v>
      </c>
      <c r="I979">
        <v>1.86</v>
      </c>
      <c r="J979">
        <v>4.5999999999999996</v>
      </c>
      <c r="K979" t="str">
        <f t="shared" si="15"/>
        <v>Jun 2022</v>
      </c>
    </row>
    <row r="980" spans="1:11" x14ac:dyDescent="0.25">
      <c r="A980" s="6">
        <v>44259</v>
      </c>
      <c r="B980" t="s">
        <v>10</v>
      </c>
      <c r="C980" t="s">
        <v>18</v>
      </c>
      <c r="D980" t="s">
        <v>12</v>
      </c>
      <c r="E980">
        <v>412</v>
      </c>
      <c r="F980" s="3">
        <v>23900706.829999998</v>
      </c>
      <c r="G980">
        <v>7849894.3799999999</v>
      </c>
      <c r="H980">
        <v>16050812.449999999</v>
      </c>
      <c r="I980">
        <v>3.17</v>
      </c>
      <c r="J980">
        <v>4.3600000000000003</v>
      </c>
      <c r="K980" t="str">
        <f t="shared" si="15"/>
        <v>Mar 2021</v>
      </c>
    </row>
    <row r="981" spans="1:11" x14ac:dyDescent="0.25">
      <c r="A981" s="6">
        <v>45093</v>
      </c>
      <c r="B981" t="s">
        <v>10</v>
      </c>
      <c r="C981" t="s">
        <v>15</v>
      </c>
      <c r="D981" t="s">
        <v>14</v>
      </c>
      <c r="E981">
        <v>274</v>
      </c>
      <c r="F981" s="3">
        <v>19474462.93</v>
      </c>
      <c r="G981">
        <v>7015425.7599999998</v>
      </c>
      <c r="H981">
        <v>12459037.17</v>
      </c>
      <c r="I981">
        <v>1.92</v>
      </c>
      <c r="J981">
        <v>3.84</v>
      </c>
      <c r="K981" t="str">
        <f t="shared" si="15"/>
        <v>Jun 2023</v>
      </c>
    </row>
    <row r="982" spans="1:11" x14ac:dyDescent="0.25">
      <c r="A982" s="6">
        <v>44178</v>
      </c>
      <c r="B982" t="s">
        <v>10</v>
      </c>
      <c r="C982" t="s">
        <v>11</v>
      </c>
      <c r="D982" t="s">
        <v>17</v>
      </c>
      <c r="E982">
        <v>137</v>
      </c>
      <c r="F982" s="3">
        <v>10388014.939999999</v>
      </c>
      <c r="G982">
        <v>4102852.26</v>
      </c>
      <c r="H982">
        <v>6285162.6799999997</v>
      </c>
      <c r="I982">
        <v>2.1</v>
      </c>
      <c r="J982">
        <v>4.67</v>
      </c>
      <c r="K982" t="str">
        <f t="shared" si="15"/>
        <v>Dec 2020</v>
      </c>
    </row>
    <row r="983" spans="1:11" x14ac:dyDescent="0.25">
      <c r="A983" s="6">
        <v>44386</v>
      </c>
      <c r="B983" t="s">
        <v>10</v>
      </c>
      <c r="C983" t="s">
        <v>18</v>
      </c>
      <c r="D983" t="s">
        <v>17</v>
      </c>
      <c r="E983">
        <v>389</v>
      </c>
      <c r="F983" s="3">
        <v>28577367.879999999</v>
      </c>
      <c r="G983">
        <v>9541634.4800000004</v>
      </c>
      <c r="H983">
        <v>19035733.399999999</v>
      </c>
      <c r="I983">
        <v>3.85</v>
      </c>
      <c r="J983">
        <v>4.12</v>
      </c>
      <c r="K983" t="str">
        <f t="shared" si="15"/>
        <v>Jul 2021</v>
      </c>
    </row>
    <row r="984" spans="1:11" x14ac:dyDescent="0.25">
      <c r="A984" s="6">
        <v>45089</v>
      </c>
      <c r="B984" t="s">
        <v>10</v>
      </c>
      <c r="C984" t="s">
        <v>18</v>
      </c>
      <c r="D984" t="s">
        <v>17</v>
      </c>
      <c r="E984">
        <v>70</v>
      </c>
      <c r="F984" s="3">
        <v>5279846.97</v>
      </c>
      <c r="G984">
        <v>1467683.49</v>
      </c>
      <c r="H984">
        <v>3812163.47</v>
      </c>
      <c r="I984">
        <v>2.7</v>
      </c>
      <c r="J984">
        <v>3.7</v>
      </c>
      <c r="K984" t="str">
        <f t="shared" si="15"/>
        <v>Jun 2023</v>
      </c>
    </row>
    <row r="985" spans="1:11" x14ac:dyDescent="0.25">
      <c r="A985" s="6">
        <v>44763</v>
      </c>
      <c r="B985" t="s">
        <v>10</v>
      </c>
      <c r="C985" t="s">
        <v>16</v>
      </c>
      <c r="D985" t="s">
        <v>17</v>
      </c>
      <c r="E985">
        <v>150</v>
      </c>
      <c r="F985" s="3">
        <v>12773666.57</v>
      </c>
      <c r="G985">
        <v>4953809.99</v>
      </c>
      <c r="H985">
        <v>7819856.5800000001</v>
      </c>
      <c r="I985">
        <v>3.62</v>
      </c>
      <c r="J985">
        <v>3.77</v>
      </c>
      <c r="K985" t="str">
        <f t="shared" si="15"/>
        <v>Jul 2022</v>
      </c>
    </row>
    <row r="986" spans="1:11" x14ac:dyDescent="0.25">
      <c r="A986" s="6">
        <v>44121</v>
      </c>
      <c r="B986" t="s">
        <v>10</v>
      </c>
      <c r="C986" t="s">
        <v>15</v>
      </c>
      <c r="D986" t="s">
        <v>14</v>
      </c>
      <c r="E986">
        <v>107</v>
      </c>
      <c r="F986" s="3">
        <v>3783042.75</v>
      </c>
      <c r="G986">
        <v>1137758.26</v>
      </c>
      <c r="H986">
        <v>2645284.4900000002</v>
      </c>
      <c r="I986">
        <v>1.79</v>
      </c>
      <c r="J986">
        <v>4.5999999999999996</v>
      </c>
      <c r="K986" t="str">
        <f t="shared" si="15"/>
        <v>Oct 2020</v>
      </c>
    </row>
    <row r="987" spans="1:11" x14ac:dyDescent="0.25">
      <c r="A987" s="6">
        <v>44875</v>
      </c>
      <c r="B987" t="s">
        <v>10</v>
      </c>
      <c r="C987" t="s">
        <v>11</v>
      </c>
      <c r="D987" t="s">
        <v>12</v>
      </c>
      <c r="E987">
        <v>478</v>
      </c>
      <c r="F987" s="3">
        <v>25108349.690000001</v>
      </c>
      <c r="G987">
        <v>9517691.6999999993</v>
      </c>
      <c r="H987">
        <v>15590657.99</v>
      </c>
      <c r="I987">
        <v>1.08</v>
      </c>
      <c r="J987">
        <v>4.3600000000000003</v>
      </c>
      <c r="K987" t="str">
        <f t="shared" si="15"/>
        <v>Nov 2022</v>
      </c>
    </row>
    <row r="988" spans="1:11" x14ac:dyDescent="0.25">
      <c r="A988" s="6">
        <v>44150</v>
      </c>
      <c r="B988" t="s">
        <v>10</v>
      </c>
      <c r="C988" t="s">
        <v>15</v>
      </c>
      <c r="D988" t="s">
        <v>17</v>
      </c>
      <c r="E988">
        <v>274</v>
      </c>
      <c r="F988" s="3">
        <v>10967729.42</v>
      </c>
      <c r="G988">
        <v>3014629.78</v>
      </c>
      <c r="H988">
        <v>7953099.6299999999</v>
      </c>
      <c r="I988">
        <v>2.98</v>
      </c>
      <c r="J988">
        <v>4.1100000000000003</v>
      </c>
      <c r="K988" t="str">
        <f t="shared" si="15"/>
        <v>Nov 2020</v>
      </c>
    </row>
    <row r="989" spans="1:11" x14ac:dyDescent="0.25">
      <c r="A989" s="6">
        <v>45055</v>
      </c>
      <c r="B989" t="s">
        <v>10</v>
      </c>
      <c r="C989" t="s">
        <v>18</v>
      </c>
      <c r="D989" t="s">
        <v>17</v>
      </c>
      <c r="E989">
        <v>286</v>
      </c>
      <c r="F989" s="3">
        <v>13999328.890000001</v>
      </c>
      <c r="G989">
        <v>3801975.52</v>
      </c>
      <c r="H989">
        <v>10197353.369999999</v>
      </c>
      <c r="I989">
        <v>1.74</v>
      </c>
      <c r="J989">
        <v>4.24</v>
      </c>
      <c r="K989" t="str">
        <f t="shared" si="15"/>
        <v>May 2023</v>
      </c>
    </row>
    <row r="990" spans="1:11" x14ac:dyDescent="0.25">
      <c r="A990" s="6">
        <v>45504</v>
      </c>
      <c r="B990" t="s">
        <v>10</v>
      </c>
      <c r="C990" t="s">
        <v>15</v>
      </c>
      <c r="D990" t="s">
        <v>12</v>
      </c>
      <c r="E990">
        <v>175</v>
      </c>
      <c r="F990" s="3">
        <v>11679751.92</v>
      </c>
      <c r="G990">
        <v>2591366.81</v>
      </c>
      <c r="H990">
        <v>9088385.1099999994</v>
      </c>
      <c r="I990">
        <v>3.19</v>
      </c>
      <c r="J990">
        <v>4.72</v>
      </c>
      <c r="K990" t="str">
        <f t="shared" si="15"/>
        <v>Jul 2024</v>
      </c>
    </row>
    <row r="991" spans="1:11" x14ac:dyDescent="0.25">
      <c r="A991" s="6">
        <v>45166</v>
      </c>
      <c r="B991" t="s">
        <v>10</v>
      </c>
      <c r="C991" t="s">
        <v>11</v>
      </c>
      <c r="D991" t="s">
        <v>17</v>
      </c>
      <c r="E991">
        <v>260</v>
      </c>
      <c r="F991" s="3">
        <v>17846543.800000001</v>
      </c>
      <c r="G991">
        <v>6083003.1500000004</v>
      </c>
      <c r="H991">
        <v>11763540.640000001</v>
      </c>
      <c r="I991">
        <v>1.65</v>
      </c>
      <c r="J991">
        <v>3.99</v>
      </c>
      <c r="K991" t="str">
        <f t="shared" si="15"/>
        <v>Aug 2023</v>
      </c>
    </row>
    <row r="992" spans="1:11" x14ac:dyDescent="0.25">
      <c r="A992" s="6">
        <v>44244</v>
      </c>
      <c r="B992" t="s">
        <v>10</v>
      </c>
      <c r="C992" t="s">
        <v>18</v>
      </c>
      <c r="D992" t="s">
        <v>14</v>
      </c>
      <c r="E992">
        <v>467</v>
      </c>
      <c r="F992" s="3">
        <v>20998398.989999998</v>
      </c>
      <c r="G992">
        <v>5078710.1500000004</v>
      </c>
      <c r="H992">
        <v>15919688.84</v>
      </c>
      <c r="I992">
        <v>2.23</v>
      </c>
      <c r="J992">
        <v>4.1500000000000004</v>
      </c>
      <c r="K992" t="str">
        <f t="shared" si="15"/>
        <v>Feb 2021</v>
      </c>
    </row>
    <row r="993" spans="1:11" x14ac:dyDescent="0.25">
      <c r="A993" s="6">
        <v>43912</v>
      </c>
      <c r="B993" t="s">
        <v>10</v>
      </c>
      <c r="C993" t="s">
        <v>13</v>
      </c>
      <c r="D993" t="s">
        <v>12</v>
      </c>
      <c r="E993">
        <v>94</v>
      </c>
      <c r="F993" s="3">
        <v>6329916.7199999997</v>
      </c>
      <c r="G993">
        <v>1992025.11</v>
      </c>
      <c r="H993">
        <v>4337891.6100000003</v>
      </c>
      <c r="I993">
        <v>3.27</v>
      </c>
      <c r="J993">
        <v>3.62</v>
      </c>
      <c r="K993" t="str">
        <f t="shared" si="15"/>
        <v>Mar 2020</v>
      </c>
    </row>
    <row r="994" spans="1:11" x14ac:dyDescent="0.25">
      <c r="A994" s="6">
        <v>44704</v>
      </c>
      <c r="B994" t="s">
        <v>10</v>
      </c>
      <c r="C994" t="s">
        <v>18</v>
      </c>
      <c r="D994" t="s">
        <v>12</v>
      </c>
      <c r="E994">
        <v>88</v>
      </c>
      <c r="F994" s="3">
        <v>6579666.7199999997</v>
      </c>
      <c r="G994">
        <v>1615083.17</v>
      </c>
      <c r="H994">
        <v>4964583.55</v>
      </c>
      <c r="I994">
        <v>3.72</v>
      </c>
      <c r="J994">
        <v>4.37</v>
      </c>
      <c r="K994" t="str">
        <f t="shared" si="15"/>
        <v>May 2022</v>
      </c>
    </row>
    <row r="995" spans="1:11" x14ac:dyDescent="0.25">
      <c r="A995" s="6">
        <v>45075</v>
      </c>
      <c r="B995" t="s">
        <v>10</v>
      </c>
      <c r="C995" t="s">
        <v>16</v>
      </c>
      <c r="D995" t="s">
        <v>14</v>
      </c>
      <c r="E995">
        <v>137</v>
      </c>
      <c r="F995" s="3">
        <v>7811357.2199999997</v>
      </c>
      <c r="G995">
        <v>1856187.63</v>
      </c>
      <c r="H995">
        <v>5955169.5899999999</v>
      </c>
      <c r="I995">
        <v>0.56000000000000005</v>
      </c>
      <c r="J995">
        <v>4.47</v>
      </c>
      <c r="K995" t="str">
        <f t="shared" si="15"/>
        <v>May 2023</v>
      </c>
    </row>
    <row r="996" spans="1:11" x14ac:dyDescent="0.25">
      <c r="A996" s="6">
        <v>45122</v>
      </c>
      <c r="B996" t="s">
        <v>10</v>
      </c>
      <c r="C996" t="s">
        <v>15</v>
      </c>
      <c r="D996" t="s">
        <v>14</v>
      </c>
      <c r="E996">
        <v>58</v>
      </c>
      <c r="F996" s="3">
        <v>3015079.26</v>
      </c>
      <c r="G996">
        <v>1029025.57</v>
      </c>
      <c r="H996">
        <v>1986053.69</v>
      </c>
      <c r="I996">
        <v>1.7</v>
      </c>
      <c r="J996">
        <v>4</v>
      </c>
      <c r="K996" t="str">
        <f t="shared" si="15"/>
        <v>Jul 2023</v>
      </c>
    </row>
    <row r="997" spans="1:11" x14ac:dyDescent="0.25">
      <c r="A997" s="6">
        <v>44047</v>
      </c>
      <c r="B997" t="s">
        <v>10</v>
      </c>
      <c r="C997" t="s">
        <v>11</v>
      </c>
      <c r="D997" t="s">
        <v>12</v>
      </c>
      <c r="E997">
        <v>426</v>
      </c>
      <c r="F997" s="3">
        <v>35672993.420000002</v>
      </c>
      <c r="G997">
        <v>10997851.439999999</v>
      </c>
      <c r="H997">
        <v>24675141.98</v>
      </c>
      <c r="I997">
        <v>3.04</v>
      </c>
      <c r="J997">
        <v>4.49</v>
      </c>
      <c r="K997" t="str">
        <f t="shared" si="15"/>
        <v>Aug 2020</v>
      </c>
    </row>
    <row r="998" spans="1:11" x14ac:dyDescent="0.25">
      <c r="A998" s="6">
        <v>44118</v>
      </c>
      <c r="B998" t="s">
        <v>10</v>
      </c>
      <c r="C998" t="s">
        <v>16</v>
      </c>
      <c r="D998" t="s">
        <v>17</v>
      </c>
      <c r="E998">
        <v>307</v>
      </c>
      <c r="F998" s="3">
        <v>24524494.629999999</v>
      </c>
      <c r="G998">
        <v>9716872.5600000005</v>
      </c>
      <c r="H998">
        <v>14807622.07</v>
      </c>
      <c r="I998">
        <v>3.81</v>
      </c>
      <c r="J998">
        <v>3.81</v>
      </c>
      <c r="K998" t="str">
        <f t="shared" si="15"/>
        <v>Oct 2020</v>
      </c>
    </row>
    <row r="999" spans="1:11" x14ac:dyDescent="0.25">
      <c r="A999" s="6">
        <v>45162</v>
      </c>
      <c r="B999" t="s">
        <v>10</v>
      </c>
      <c r="C999" t="s">
        <v>16</v>
      </c>
      <c r="D999" t="s">
        <v>12</v>
      </c>
      <c r="E999">
        <v>154</v>
      </c>
      <c r="F999" s="3">
        <v>12841502.85</v>
      </c>
      <c r="G999">
        <v>5010187.04</v>
      </c>
      <c r="H999">
        <v>7831315.8099999996</v>
      </c>
      <c r="I999">
        <v>1.54</v>
      </c>
      <c r="J999">
        <v>4.8499999999999996</v>
      </c>
      <c r="K999" t="str">
        <f t="shared" si="15"/>
        <v>Aug 2023</v>
      </c>
    </row>
    <row r="1000" spans="1:11" x14ac:dyDescent="0.25">
      <c r="A1000" s="6">
        <v>44285</v>
      </c>
      <c r="B1000" t="s">
        <v>10</v>
      </c>
      <c r="C1000" t="s">
        <v>11</v>
      </c>
      <c r="D1000" t="s">
        <v>12</v>
      </c>
      <c r="E1000">
        <v>166</v>
      </c>
      <c r="F1000" s="3">
        <v>5818485.5800000001</v>
      </c>
      <c r="G1000">
        <v>1276315.5</v>
      </c>
      <c r="H1000">
        <v>4542170.08</v>
      </c>
      <c r="I1000">
        <v>0.61</v>
      </c>
      <c r="J1000">
        <v>3.81</v>
      </c>
      <c r="K1000" t="str">
        <f t="shared" si="15"/>
        <v>Mar 2021</v>
      </c>
    </row>
    <row r="1001" spans="1:11" x14ac:dyDescent="0.25">
      <c r="A1001" s="6">
        <v>45515</v>
      </c>
      <c r="B1001" t="s">
        <v>10</v>
      </c>
      <c r="C1001" t="s">
        <v>13</v>
      </c>
      <c r="D1001" t="s">
        <v>12</v>
      </c>
      <c r="E1001">
        <v>190</v>
      </c>
      <c r="F1001" s="3">
        <v>13702633.970000001</v>
      </c>
      <c r="G1001">
        <v>4825885.76</v>
      </c>
      <c r="H1001">
        <v>8876748.2100000009</v>
      </c>
      <c r="I1001">
        <v>3.91</v>
      </c>
      <c r="J1001">
        <v>4.6399999999999997</v>
      </c>
      <c r="K1001" t="str">
        <f t="shared" si="15"/>
        <v>Aug 2024</v>
      </c>
    </row>
    <row r="1002" spans="1:11" x14ac:dyDescent="0.25">
      <c r="A1002" s="6">
        <v>45584</v>
      </c>
      <c r="B1002" t="s">
        <v>10</v>
      </c>
      <c r="C1002" t="s">
        <v>15</v>
      </c>
      <c r="D1002" t="s">
        <v>17</v>
      </c>
      <c r="E1002">
        <v>179</v>
      </c>
      <c r="F1002" s="3">
        <v>12964320.310000001</v>
      </c>
      <c r="G1002">
        <v>2769961.93</v>
      </c>
      <c r="H1002">
        <v>10194358.380000001</v>
      </c>
      <c r="I1002">
        <v>3.29</v>
      </c>
      <c r="J1002">
        <v>4.71</v>
      </c>
      <c r="K1002" t="str">
        <f t="shared" si="15"/>
        <v>Oct 2024</v>
      </c>
    </row>
    <row r="1003" spans="1:11" x14ac:dyDescent="0.25">
      <c r="A1003" s="6">
        <v>44005</v>
      </c>
      <c r="B1003" t="s">
        <v>10</v>
      </c>
      <c r="C1003" t="s">
        <v>13</v>
      </c>
      <c r="D1003" t="s">
        <v>17</v>
      </c>
      <c r="E1003">
        <v>390</v>
      </c>
      <c r="F1003" s="3">
        <v>33695966.240000002</v>
      </c>
      <c r="G1003">
        <v>11433812.689999999</v>
      </c>
      <c r="H1003">
        <v>22262153.550000001</v>
      </c>
      <c r="I1003">
        <v>4.0199999999999996</v>
      </c>
      <c r="J1003">
        <v>4.6500000000000004</v>
      </c>
      <c r="K1003" t="str">
        <f t="shared" si="15"/>
        <v>Jun 2020</v>
      </c>
    </row>
    <row r="1004" spans="1:11" x14ac:dyDescent="0.25">
      <c r="A1004" s="6">
        <v>45258</v>
      </c>
      <c r="B1004" t="s">
        <v>10</v>
      </c>
      <c r="C1004" t="s">
        <v>13</v>
      </c>
      <c r="D1004" t="s">
        <v>14</v>
      </c>
      <c r="E1004">
        <v>138</v>
      </c>
      <c r="F1004" s="3">
        <v>5982816.0499999998</v>
      </c>
      <c r="G1004">
        <v>1999985.82</v>
      </c>
      <c r="H1004">
        <v>3982830.22</v>
      </c>
      <c r="I1004">
        <v>0.75</v>
      </c>
      <c r="J1004">
        <v>3.77</v>
      </c>
      <c r="K1004" t="str">
        <f t="shared" si="15"/>
        <v>Nov 2023</v>
      </c>
    </row>
    <row r="1005" spans="1:11" x14ac:dyDescent="0.25">
      <c r="A1005" s="6">
        <v>43934</v>
      </c>
      <c r="B1005" t="s">
        <v>10</v>
      </c>
      <c r="C1005" t="s">
        <v>16</v>
      </c>
      <c r="D1005" t="s">
        <v>12</v>
      </c>
      <c r="E1005">
        <v>202</v>
      </c>
      <c r="F1005" s="3">
        <v>15172631.880000001</v>
      </c>
      <c r="G1005">
        <v>4324016.2699999996</v>
      </c>
      <c r="H1005">
        <v>10848615.609999999</v>
      </c>
      <c r="I1005">
        <v>1.43</v>
      </c>
      <c r="J1005">
        <v>4.26</v>
      </c>
      <c r="K1005" t="str">
        <f t="shared" si="15"/>
        <v>Apr 2020</v>
      </c>
    </row>
    <row r="1006" spans="1:11" x14ac:dyDescent="0.25">
      <c r="A1006" s="6">
        <v>43979</v>
      </c>
      <c r="B1006" t="s">
        <v>10</v>
      </c>
      <c r="C1006" t="s">
        <v>16</v>
      </c>
      <c r="D1006" t="s">
        <v>12</v>
      </c>
      <c r="E1006">
        <v>235</v>
      </c>
      <c r="F1006" s="3">
        <v>10127909.939999999</v>
      </c>
      <c r="G1006">
        <v>3632717.19</v>
      </c>
      <c r="H1006">
        <v>6495192.75</v>
      </c>
      <c r="I1006">
        <v>1.91</v>
      </c>
      <c r="J1006">
        <v>4.45</v>
      </c>
      <c r="K1006" t="str">
        <f t="shared" si="15"/>
        <v>May 2020</v>
      </c>
    </row>
    <row r="1007" spans="1:11" x14ac:dyDescent="0.25">
      <c r="A1007" s="6">
        <v>44289</v>
      </c>
      <c r="B1007" t="s">
        <v>10</v>
      </c>
      <c r="C1007" t="s">
        <v>13</v>
      </c>
      <c r="D1007" t="s">
        <v>12</v>
      </c>
      <c r="E1007">
        <v>263</v>
      </c>
      <c r="F1007" s="3">
        <v>15068031.34</v>
      </c>
      <c r="G1007">
        <v>5216065.54</v>
      </c>
      <c r="H1007">
        <v>9851965.8000000007</v>
      </c>
      <c r="I1007">
        <v>1.39</v>
      </c>
      <c r="J1007">
        <v>4.68</v>
      </c>
      <c r="K1007" t="str">
        <f t="shared" si="15"/>
        <v>Apr 2021</v>
      </c>
    </row>
    <row r="1008" spans="1:11" x14ac:dyDescent="0.25">
      <c r="A1008" s="6">
        <v>45399</v>
      </c>
      <c r="B1008" t="s">
        <v>10</v>
      </c>
      <c r="C1008" t="s">
        <v>11</v>
      </c>
      <c r="D1008" t="s">
        <v>14</v>
      </c>
      <c r="E1008">
        <v>265</v>
      </c>
      <c r="F1008" s="3">
        <v>21302455.739999998</v>
      </c>
      <c r="G1008">
        <v>5133644.6500000004</v>
      </c>
      <c r="H1008">
        <v>16168811.09</v>
      </c>
      <c r="I1008">
        <v>1.96</v>
      </c>
      <c r="J1008">
        <v>4.6500000000000004</v>
      </c>
      <c r="K1008" t="str">
        <f t="shared" si="15"/>
        <v>Apr 2024</v>
      </c>
    </row>
    <row r="1009" spans="1:11" x14ac:dyDescent="0.25">
      <c r="A1009" s="6">
        <v>44017</v>
      </c>
      <c r="B1009" t="s">
        <v>10</v>
      </c>
      <c r="C1009" t="s">
        <v>11</v>
      </c>
      <c r="D1009" t="s">
        <v>12</v>
      </c>
      <c r="E1009">
        <v>319</v>
      </c>
      <c r="F1009" s="3">
        <v>14372460.9</v>
      </c>
      <c r="G1009">
        <v>3000130.83</v>
      </c>
      <c r="H1009">
        <v>11372330.08</v>
      </c>
      <c r="I1009">
        <v>2.2000000000000002</v>
      </c>
      <c r="J1009">
        <v>4.01</v>
      </c>
      <c r="K1009" t="str">
        <f t="shared" si="15"/>
        <v>Jul 2020</v>
      </c>
    </row>
    <row r="1010" spans="1:11" x14ac:dyDescent="0.25">
      <c r="A1010" s="6">
        <v>44861</v>
      </c>
      <c r="B1010" t="s">
        <v>10</v>
      </c>
      <c r="C1010" t="s">
        <v>11</v>
      </c>
      <c r="D1010" t="s">
        <v>12</v>
      </c>
      <c r="E1010">
        <v>193</v>
      </c>
      <c r="F1010" s="3">
        <v>11915733.34</v>
      </c>
      <c r="G1010">
        <v>4506497.9000000004</v>
      </c>
      <c r="H1010">
        <v>7409235.4400000004</v>
      </c>
      <c r="I1010">
        <v>1.62</v>
      </c>
      <c r="J1010">
        <v>3.98</v>
      </c>
      <c r="K1010" t="str">
        <f t="shared" si="15"/>
        <v>Oct 2022</v>
      </c>
    </row>
    <row r="1011" spans="1:11" x14ac:dyDescent="0.25">
      <c r="A1011" s="6">
        <v>45122</v>
      </c>
      <c r="B1011" t="s">
        <v>10</v>
      </c>
      <c r="C1011" t="s">
        <v>18</v>
      </c>
      <c r="D1011" t="s">
        <v>12</v>
      </c>
      <c r="E1011">
        <v>132</v>
      </c>
      <c r="F1011" s="3">
        <v>10976047.6</v>
      </c>
      <c r="G1011">
        <v>3726442.1</v>
      </c>
      <c r="H1011">
        <v>7249605.5</v>
      </c>
      <c r="I1011">
        <v>4.3600000000000003</v>
      </c>
      <c r="J1011">
        <v>4.79</v>
      </c>
      <c r="K1011" t="str">
        <f t="shared" si="15"/>
        <v>Jul 2023</v>
      </c>
    </row>
    <row r="1012" spans="1:11" x14ac:dyDescent="0.25">
      <c r="A1012" s="6">
        <v>44119</v>
      </c>
      <c r="B1012" t="s">
        <v>10</v>
      </c>
      <c r="C1012" t="s">
        <v>15</v>
      </c>
      <c r="D1012" t="s">
        <v>17</v>
      </c>
      <c r="E1012">
        <v>83</v>
      </c>
      <c r="F1012" s="3">
        <v>4154433.46</v>
      </c>
      <c r="G1012">
        <v>904155.42</v>
      </c>
      <c r="H1012">
        <v>3250278.04</v>
      </c>
      <c r="I1012">
        <v>0.94</v>
      </c>
      <c r="J1012">
        <v>4.78</v>
      </c>
      <c r="K1012" t="str">
        <f t="shared" si="15"/>
        <v>Oct 2020</v>
      </c>
    </row>
    <row r="1013" spans="1:11" x14ac:dyDescent="0.25">
      <c r="A1013" s="6">
        <v>44718</v>
      </c>
      <c r="B1013" t="s">
        <v>10</v>
      </c>
      <c r="C1013" t="s">
        <v>15</v>
      </c>
      <c r="D1013" t="s">
        <v>14</v>
      </c>
      <c r="E1013">
        <v>175</v>
      </c>
      <c r="F1013" s="3">
        <v>9316812.1699999999</v>
      </c>
      <c r="G1013">
        <v>2793964.17</v>
      </c>
      <c r="H1013">
        <v>6522848</v>
      </c>
      <c r="I1013">
        <v>3.41</v>
      </c>
      <c r="J1013">
        <v>4.2699999999999996</v>
      </c>
      <c r="K1013" t="str">
        <f t="shared" si="15"/>
        <v>Jun 2022</v>
      </c>
    </row>
    <row r="1014" spans="1:11" x14ac:dyDescent="0.25">
      <c r="A1014" s="6">
        <v>45129</v>
      </c>
      <c r="B1014" t="s">
        <v>10</v>
      </c>
      <c r="C1014" t="s">
        <v>15</v>
      </c>
      <c r="D1014" t="s">
        <v>14</v>
      </c>
      <c r="E1014">
        <v>164</v>
      </c>
      <c r="F1014" s="3">
        <v>8500545.4399999995</v>
      </c>
      <c r="G1014">
        <v>3291947.12</v>
      </c>
      <c r="H1014">
        <v>5208598.32</v>
      </c>
      <c r="I1014">
        <v>1.3</v>
      </c>
      <c r="J1014">
        <v>3.51</v>
      </c>
      <c r="K1014" t="str">
        <f t="shared" si="15"/>
        <v>Jul 2023</v>
      </c>
    </row>
    <row r="1015" spans="1:11" x14ac:dyDescent="0.25">
      <c r="A1015" s="6">
        <v>43848</v>
      </c>
      <c r="B1015" t="s">
        <v>10</v>
      </c>
      <c r="C1015" t="s">
        <v>11</v>
      </c>
      <c r="D1015" t="s">
        <v>14</v>
      </c>
      <c r="E1015">
        <v>484</v>
      </c>
      <c r="F1015" s="3">
        <v>42292535.350000001</v>
      </c>
      <c r="G1015">
        <v>14135665.699999999</v>
      </c>
      <c r="H1015">
        <v>28156869.649999999</v>
      </c>
      <c r="I1015">
        <v>3.48</v>
      </c>
      <c r="J1015">
        <v>4.63</v>
      </c>
      <c r="K1015" t="str">
        <f t="shared" si="15"/>
        <v>Jan 2020</v>
      </c>
    </row>
    <row r="1016" spans="1:11" x14ac:dyDescent="0.25">
      <c r="A1016" s="6">
        <v>44097</v>
      </c>
      <c r="B1016" t="s">
        <v>10</v>
      </c>
      <c r="C1016" t="s">
        <v>11</v>
      </c>
      <c r="D1016" t="s">
        <v>12</v>
      </c>
      <c r="E1016">
        <v>377</v>
      </c>
      <c r="F1016" s="3">
        <v>31260402.489999998</v>
      </c>
      <c r="G1016">
        <v>10694553.220000001</v>
      </c>
      <c r="H1016">
        <v>20565849.27</v>
      </c>
      <c r="I1016">
        <v>4.0199999999999996</v>
      </c>
      <c r="J1016">
        <v>4.7</v>
      </c>
      <c r="K1016" t="str">
        <f t="shared" si="15"/>
        <v>Sep 2020</v>
      </c>
    </row>
    <row r="1017" spans="1:11" x14ac:dyDescent="0.25">
      <c r="A1017" s="6">
        <v>44415</v>
      </c>
      <c r="B1017" t="s">
        <v>10</v>
      </c>
      <c r="C1017" t="s">
        <v>15</v>
      </c>
      <c r="D1017" t="s">
        <v>14</v>
      </c>
      <c r="E1017">
        <v>158</v>
      </c>
      <c r="F1017" s="3">
        <v>11656805.48</v>
      </c>
      <c r="G1017">
        <v>2932904.18</v>
      </c>
      <c r="H1017">
        <v>8723901.3000000007</v>
      </c>
      <c r="I1017">
        <v>3.55</v>
      </c>
      <c r="J1017">
        <v>3.88</v>
      </c>
      <c r="K1017" t="str">
        <f t="shared" si="15"/>
        <v>Aug 2021</v>
      </c>
    </row>
    <row r="1018" spans="1:11" x14ac:dyDescent="0.25">
      <c r="A1018" s="6">
        <v>45007</v>
      </c>
      <c r="B1018" t="s">
        <v>10</v>
      </c>
      <c r="C1018" t="s">
        <v>16</v>
      </c>
      <c r="D1018" t="s">
        <v>12</v>
      </c>
      <c r="E1018">
        <v>428</v>
      </c>
      <c r="F1018" s="3">
        <v>30006772.59</v>
      </c>
      <c r="G1018">
        <v>10159419.109999999</v>
      </c>
      <c r="H1018">
        <v>19847353.48</v>
      </c>
      <c r="I1018">
        <v>4.37</v>
      </c>
      <c r="J1018">
        <v>4.9400000000000004</v>
      </c>
      <c r="K1018" t="str">
        <f t="shared" si="15"/>
        <v>Mar 2023</v>
      </c>
    </row>
    <row r="1019" spans="1:11" x14ac:dyDescent="0.25">
      <c r="A1019" s="6">
        <v>43926</v>
      </c>
      <c r="B1019" t="s">
        <v>10</v>
      </c>
      <c r="C1019" t="s">
        <v>15</v>
      </c>
      <c r="D1019" t="s">
        <v>14</v>
      </c>
      <c r="E1019">
        <v>279</v>
      </c>
      <c r="F1019" s="3">
        <v>11117694.869999999</v>
      </c>
      <c r="G1019">
        <v>4014521.72</v>
      </c>
      <c r="H1019">
        <v>7103173.1500000004</v>
      </c>
      <c r="I1019">
        <v>4.1900000000000004</v>
      </c>
      <c r="J1019">
        <v>4.51</v>
      </c>
      <c r="K1019" t="str">
        <f t="shared" si="15"/>
        <v>Apr 2020</v>
      </c>
    </row>
    <row r="1020" spans="1:11" x14ac:dyDescent="0.25">
      <c r="A1020" s="6">
        <v>44995</v>
      </c>
      <c r="B1020" t="s">
        <v>10</v>
      </c>
      <c r="C1020" t="s">
        <v>16</v>
      </c>
      <c r="D1020" t="s">
        <v>14</v>
      </c>
      <c r="E1020">
        <v>466</v>
      </c>
      <c r="F1020" s="3">
        <v>21159088.16</v>
      </c>
      <c r="G1020">
        <v>5415101.5599999996</v>
      </c>
      <c r="H1020">
        <v>15743986.6</v>
      </c>
      <c r="I1020">
        <v>2.8</v>
      </c>
      <c r="J1020">
        <v>4.41</v>
      </c>
      <c r="K1020" t="str">
        <f t="shared" si="15"/>
        <v>Mar 2023</v>
      </c>
    </row>
    <row r="1021" spans="1:11" x14ac:dyDescent="0.25">
      <c r="A1021" s="6">
        <v>44325</v>
      </c>
      <c r="B1021" t="s">
        <v>10</v>
      </c>
      <c r="C1021" t="s">
        <v>18</v>
      </c>
      <c r="D1021" t="s">
        <v>12</v>
      </c>
      <c r="E1021">
        <v>276</v>
      </c>
      <c r="F1021" s="3">
        <v>21698696.77</v>
      </c>
      <c r="G1021">
        <v>4421145.93</v>
      </c>
      <c r="H1021">
        <v>17277550.84</v>
      </c>
      <c r="I1021">
        <v>4.7</v>
      </c>
      <c r="J1021">
        <v>4.9000000000000004</v>
      </c>
      <c r="K1021" t="str">
        <f t="shared" si="15"/>
        <v>May 2021</v>
      </c>
    </row>
    <row r="1022" spans="1:11" x14ac:dyDescent="0.25">
      <c r="A1022" s="6">
        <v>44655</v>
      </c>
      <c r="B1022" t="s">
        <v>10</v>
      </c>
      <c r="C1022" t="s">
        <v>18</v>
      </c>
      <c r="D1022" t="s">
        <v>17</v>
      </c>
      <c r="E1022">
        <v>148</v>
      </c>
      <c r="F1022" s="3">
        <v>12008270.439999999</v>
      </c>
      <c r="G1022">
        <v>3191767.11</v>
      </c>
      <c r="H1022">
        <v>8816503.3300000001</v>
      </c>
      <c r="I1022">
        <v>3.64</v>
      </c>
      <c r="J1022">
        <v>4.04</v>
      </c>
      <c r="K1022" t="str">
        <f t="shared" si="15"/>
        <v>Apr 2022</v>
      </c>
    </row>
    <row r="1023" spans="1:11" x14ac:dyDescent="0.25">
      <c r="A1023" s="6">
        <v>45398</v>
      </c>
      <c r="B1023" t="s">
        <v>10</v>
      </c>
      <c r="C1023" t="s">
        <v>18</v>
      </c>
      <c r="D1023" t="s">
        <v>12</v>
      </c>
      <c r="E1023">
        <v>322</v>
      </c>
      <c r="F1023" s="3">
        <v>16658123.41</v>
      </c>
      <c r="G1023">
        <v>6199331.1399999997</v>
      </c>
      <c r="H1023">
        <v>10458792.27</v>
      </c>
      <c r="I1023">
        <v>3.25</v>
      </c>
      <c r="J1023">
        <v>3.96</v>
      </c>
      <c r="K1023" t="str">
        <f t="shared" si="15"/>
        <v>Apr 2024</v>
      </c>
    </row>
    <row r="1024" spans="1:11" x14ac:dyDescent="0.25">
      <c r="A1024" s="6">
        <v>44629</v>
      </c>
      <c r="B1024" t="s">
        <v>10</v>
      </c>
      <c r="C1024" t="s">
        <v>15</v>
      </c>
      <c r="D1024" t="s">
        <v>17</v>
      </c>
      <c r="E1024">
        <v>384</v>
      </c>
      <c r="F1024" s="3">
        <v>14937745.060000001</v>
      </c>
      <c r="G1024">
        <v>4930065.1500000004</v>
      </c>
      <c r="H1024">
        <v>10007679.92</v>
      </c>
      <c r="I1024">
        <v>4.38</v>
      </c>
      <c r="J1024">
        <v>3.85</v>
      </c>
      <c r="K1024" t="str">
        <f t="shared" si="15"/>
        <v>Mar 2022</v>
      </c>
    </row>
    <row r="1025" spans="1:11" x14ac:dyDescent="0.25">
      <c r="A1025" s="6">
        <v>43939</v>
      </c>
      <c r="B1025" t="s">
        <v>10</v>
      </c>
      <c r="C1025" t="s">
        <v>15</v>
      </c>
      <c r="D1025" t="s">
        <v>17</v>
      </c>
      <c r="E1025">
        <v>128</v>
      </c>
      <c r="F1025" s="3">
        <v>6231494.1900000004</v>
      </c>
      <c r="G1025">
        <v>1318511.6100000001</v>
      </c>
      <c r="H1025">
        <v>4912982.58</v>
      </c>
      <c r="I1025">
        <v>1.84</v>
      </c>
      <c r="J1025">
        <v>4.66</v>
      </c>
      <c r="K1025" t="str">
        <f t="shared" si="15"/>
        <v>Apr 2020</v>
      </c>
    </row>
    <row r="1026" spans="1:11" x14ac:dyDescent="0.25">
      <c r="A1026" s="6">
        <v>44167</v>
      </c>
      <c r="B1026" t="s">
        <v>10</v>
      </c>
      <c r="C1026" t="s">
        <v>13</v>
      </c>
      <c r="D1026" t="s">
        <v>12</v>
      </c>
      <c r="E1026">
        <v>401</v>
      </c>
      <c r="F1026" s="3">
        <v>26884874.789999999</v>
      </c>
      <c r="G1026">
        <v>5401310.3300000001</v>
      </c>
      <c r="H1026">
        <v>21483564.460000001</v>
      </c>
      <c r="I1026">
        <v>4.5999999999999996</v>
      </c>
      <c r="J1026">
        <v>3.83</v>
      </c>
      <c r="K1026" t="str">
        <f t="shared" ref="K1026:K1089" si="16">TEXT(A1026,"mmm yyyy")</f>
        <v>Dec 2020</v>
      </c>
    </row>
    <row r="1027" spans="1:11" x14ac:dyDescent="0.25">
      <c r="A1027" s="6">
        <v>44844</v>
      </c>
      <c r="B1027" t="s">
        <v>10</v>
      </c>
      <c r="C1027" t="s">
        <v>16</v>
      </c>
      <c r="D1027" t="s">
        <v>14</v>
      </c>
      <c r="E1027">
        <v>83</v>
      </c>
      <c r="F1027" s="3">
        <v>4590106.72</v>
      </c>
      <c r="G1027">
        <v>1508132.5</v>
      </c>
      <c r="H1027">
        <v>3081974.22</v>
      </c>
      <c r="I1027">
        <v>2.0499999999999998</v>
      </c>
      <c r="J1027">
        <v>4.28</v>
      </c>
      <c r="K1027" t="str">
        <f t="shared" si="16"/>
        <v>Oct 2022</v>
      </c>
    </row>
    <row r="1028" spans="1:11" x14ac:dyDescent="0.25">
      <c r="A1028" s="6">
        <v>45520</v>
      </c>
      <c r="B1028" t="s">
        <v>10</v>
      </c>
      <c r="C1028" t="s">
        <v>16</v>
      </c>
      <c r="D1028" t="s">
        <v>14</v>
      </c>
      <c r="E1028">
        <v>464</v>
      </c>
      <c r="F1028" s="3">
        <v>19350583.870000001</v>
      </c>
      <c r="G1028">
        <v>6130801.5999999996</v>
      </c>
      <c r="H1028">
        <v>13219782.26</v>
      </c>
      <c r="I1028">
        <v>0.78</v>
      </c>
      <c r="J1028">
        <v>4.0999999999999996</v>
      </c>
      <c r="K1028" t="str">
        <f t="shared" si="16"/>
        <v>Aug 2024</v>
      </c>
    </row>
    <row r="1029" spans="1:11" x14ac:dyDescent="0.25">
      <c r="A1029" s="6">
        <v>45456</v>
      </c>
      <c r="B1029" t="s">
        <v>10</v>
      </c>
      <c r="C1029" t="s">
        <v>13</v>
      </c>
      <c r="D1029" t="s">
        <v>17</v>
      </c>
      <c r="E1029">
        <v>435</v>
      </c>
      <c r="F1029" s="3">
        <v>16980235.309999999</v>
      </c>
      <c r="G1029">
        <v>4540018.25</v>
      </c>
      <c r="H1029">
        <v>12440217.060000001</v>
      </c>
      <c r="I1029">
        <v>3.18</v>
      </c>
      <c r="J1029">
        <v>4.12</v>
      </c>
      <c r="K1029" t="str">
        <f t="shared" si="16"/>
        <v>Jun 2024</v>
      </c>
    </row>
    <row r="1030" spans="1:11" x14ac:dyDescent="0.25">
      <c r="A1030" s="6">
        <v>44741</v>
      </c>
      <c r="B1030" t="s">
        <v>10</v>
      </c>
      <c r="C1030" t="s">
        <v>18</v>
      </c>
      <c r="D1030" t="s">
        <v>14</v>
      </c>
      <c r="E1030">
        <v>134</v>
      </c>
      <c r="F1030" s="3">
        <v>7716927.1399999997</v>
      </c>
      <c r="G1030">
        <v>1824862.85</v>
      </c>
      <c r="H1030">
        <v>5892064.29</v>
      </c>
      <c r="I1030">
        <v>4.53</v>
      </c>
      <c r="J1030">
        <v>4.78</v>
      </c>
      <c r="K1030" t="str">
        <f t="shared" si="16"/>
        <v>Jun 2022</v>
      </c>
    </row>
    <row r="1031" spans="1:11" x14ac:dyDescent="0.25">
      <c r="A1031" s="6">
        <v>44957</v>
      </c>
      <c r="B1031" t="s">
        <v>10</v>
      </c>
      <c r="C1031" t="s">
        <v>15</v>
      </c>
      <c r="D1031" t="s">
        <v>17</v>
      </c>
      <c r="E1031">
        <v>177</v>
      </c>
      <c r="F1031" s="3">
        <v>10273670.75</v>
      </c>
      <c r="G1031">
        <v>3168341.26</v>
      </c>
      <c r="H1031">
        <v>7105329.4900000002</v>
      </c>
      <c r="I1031">
        <v>1.65</v>
      </c>
      <c r="J1031">
        <v>4.63</v>
      </c>
      <c r="K1031" t="str">
        <f t="shared" si="16"/>
        <v>Jan 2023</v>
      </c>
    </row>
    <row r="1032" spans="1:11" x14ac:dyDescent="0.25">
      <c r="A1032" s="6">
        <v>44699</v>
      </c>
      <c r="B1032" t="s">
        <v>10</v>
      </c>
      <c r="C1032" t="s">
        <v>16</v>
      </c>
      <c r="D1032" t="s">
        <v>14</v>
      </c>
      <c r="E1032">
        <v>134</v>
      </c>
      <c r="F1032" s="3">
        <v>9560085.1600000001</v>
      </c>
      <c r="G1032">
        <v>2396975.52</v>
      </c>
      <c r="H1032">
        <v>7163109.6500000004</v>
      </c>
      <c r="I1032">
        <v>1.9</v>
      </c>
      <c r="J1032">
        <v>4.7699999999999996</v>
      </c>
      <c r="K1032" t="str">
        <f t="shared" si="16"/>
        <v>May 2022</v>
      </c>
    </row>
    <row r="1033" spans="1:11" x14ac:dyDescent="0.25">
      <c r="A1033" s="6">
        <v>44570</v>
      </c>
      <c r="B1033" t="s">
        <v>10</v>
      </c>
      <c r="C1033" t="s">
        <v>16</v>
      </c>
      <c r="D1033" t="s">
        <v>12</v>
      </c>
      <c r="E1033">
        <v>118</v>
      </c>
      <c r="F1033" s="3">
        <v>10105287.189999999</v>
      </c>
      <c r="G1033">
        <v>3344816.03</v>
      </c>
      <c r="H1033">
        <v>6760471.1699999999</v>
      </c>
      <c r="I1033">
        <v>0.75</v>
      </c>
      <c r="J1033">
        <v>3.81</v>
      </c>
      <c r="K1033" t="str">
        <f t="shared" si="16"/>
        <v>Jan 2022</v>
      </c>
    </row>
    <row r="1034" spans="1:11" x14ac:dyDescent="0.25">
      <c r="A1034" s="6">
        <v>45359</v>
      </c>
      <c r="B1034" t="s">
        <v>10</v>
      </c>
      <c r="C1034" t="s">
        <v>11</v>
      </c>
      <c r="D1034" t="s">
        <v>14</v>
      </c>
      <c r="E1034">
        <v>246</v>
      </c>
      <c r="F1034" s="3">
        <v>20273890.210000001</v>
      </c>
      <c r="G1034">
        <v>7682161.04</v>
      </c>
      <c r="H1034">
        <v>12591729.16</v>
      </c>
      <c r="I1034">
        <v>2.99</v>
      </c>
      <c r="J1034">
        <v>4.2699999999999996</v>
      </c>
      <c r="K1034" t="str">
        <f t="shared" si="16"/>
        <v>Mar 2024</v>
      </c>
    </row>
    <row r="1035" spans="1:11" x14ac:dyDescent="0.25">
      <c r="A1035" s="6">
        <v>44964</v>
      </c>
      <c r="B1035" t="s">
        <v>10</v>
      </c>
      <c r="C1035" t="s">
        <v>16</v>
      </c>
      <c r="D1035" t="s">
        <v>12</v>
      </c>
      <c r="E1035">
        <v>263</v>
      </c>
      <c r="F1035" s="3">
        <v>19942257.129999999</v>
      </c>
      <c r="G1035">
        <v>7307582.4900000002</v>
      </c>
      <c r="H1035">
        <v>12634674.640000001</v>
      </c>
      <c r="I1035">
        <v>1.04</v>
      </c>
      <c r="J1035">
        <v>3.6</v>
      </c>
      <c r="K1035" t="str">
        <f t="shared" si="16"/>
        <v>Feb 2023</v>
      </c>
    </row>
    <row r="1036" spans="1:11" x14ac:dyDescent="0.25">
      <c r="A1036" s="6">
        <v>44985</v>
      </c>
      <c r="B1036" t="s">
        <v>10</v>
      </c>
      <c r="C1036" t="s">
        <v>11</v>
      </c>
      <c r="D1036" t="s">
        <v>12</v>
      </c>
      <c r="E1036">
        <v>67</v>
      </c>
      <c r="F1036" s="3">
        <v>5008461.25</v>
      </c>
      <c r="G1036">
        <v>1771150.88</v>
      </c>
      <c r="H1036">
        <v>3237310.38</v>
      </c>
      <c r="I1036">
        <v>3.68</v>
      </c>
      <c r="J1036">
        <v>3.96</v>
      </c>
      <c r="K1036" t="str">
        <f t="shared" si="16"/>
        <v>Feb 2023</v>
      </c>
    </row>
    <row r="1037" spans="1:11" x14ac:dyDescent="0.25">
      <c r="A1037" s="6">
        <v>45132</v>
      </c>
      <c r="B1037" t="s">
        <v>10</v>
      </c>
      <c r="C1037" t="s">
        <v>15</v>
      </c>
      <c r="D1037" t="s">
        <v>17</v>
      </c>
      <c r="E1037">
        <v>174</v>
      </c>
      <c r="F1037" s="3">
        <v>9428321.3499999996</v>
      </c>
      <c r="G1037">
        <v>3064534.57</v>
      </c>
      <c r="H1037">
        <v>6363786.7800000003</v>
      </c>
      <c r="I1037">
        <v>3.3</v>
      </c>
      <c r="J1037">
        <v>4.58</v>
      </c>
      <c r="K1037" t="str">
        <f t="shared" si="16"/>
        <v>Jul 2023</v>
      </c>
    </row>
    <row r="1038" spans="1:11" x14ac:dyDescent="0.25">
      <c r="A1038" s="6">
        <v>44756</v>
      </c>
      <c r="B1038" t="s">
        <v>10</v>
      </c>
      <c r="C1038" t="s">
        <v>11</v>
      </c>
      <c r="D1038" t="s">
        <v>12</v>
      </c>
      <c r="E1038">
        <v>154</v>
      </c>
      <c r="F1038" s="3">
        <v>11737240.27</v>
      </c>
      <c r="G1038">
        <v>2540312.31</v>
      </c>
      <c r="H1038">
        <v>9196927.9600000009</v>
      </c>
      <c r="I1038">
        <v>0.99</v>
      </c>
      <c r="J1038">
        <v>3.85</v>
      </c>
      <c r="K1038" t="str">
        <f t="shared" si="16"/>
        <v>Jul 2022</v>
      </c>
    </row>
    <row r="1039" spans="1:11" x14ac:dyDescent="0.25">
      <c r="A1039" s="6">
        <v>44677</v>
      </c>
      <c r="B1039" t="s">
        <v>10</v>
      </c>
      <c r="C1039" t="s">
        <v>13</v>
      </c>
      <c r="D1039" t="s">
        <v>17</v>
      </c>
      <c r="E1039">
        <v>419</v>
      </c>
      <c r="F1039" s="3">
        <v>19040676.960000001</v>
      </c>
      <c r="G1039">
        <v>7467914.0300000003</v>
      </c>
      <c r="H1039">
        <v>11572762.93</v>
      </c>
      <c r="I1039">
        <v>2.2599999999999998</v>
      </c>
      <c r="J1039">
        <v>4.7</v>
      </c>
      <c r="K1039" t="str">
        <f t="shared" si="16"/>
        <v>Apr 2022</v>
      </c>
    </row>
    <row r="1040" spans="1:11" x14ac:dyDescent="0.25">
      <c r="A1040" s="6">
        <v>44373</v>
      </c>
      <c r="B1040" t="s">
        <v>10</v>
      </c>
      <c r="C1040" t="s">
        <v>11</v>
      </c>
      <c r="D1040" t="s">
        <v>17</v>
      </c>
      <c r="E1040">
        <v>162</v>
      </c>
      <c r="F1040" s="3">
        <v>9627674.1600000001</v>
      </c>
      <c r="G1040">
        <v>2550203.7999999998</v>
      </c>
      <c r="H1040">
        <v>7077470.3600000003</v>
      </c>
      <c r="I1040">
        <v>2.79</v>
      </c>
      <c r="J1040">
        <v>4.79</v>
      </c>
      <c r="K1040" t="str">
        <f t="shared" si="16"/>
        <v>Jun 2021</v>
      </c>
    </row>
    <row r="1041" spans="1:11" x14ac:dyDescent="0.25">
      <c r="A1041" s="6">
        <v>44733</v>
      </c>
      <c r="B1041" t="s">
        <v>10</v>
      </c>
      <c r="C1041" t="s">
        <v>13</v>
      </c>
      <c r="D1041" t="s">
        <v>17</v>
      </c>
      <c r="E1041">
        <v>456</v>
      </c>
      <c r="F1041" s="3">
        <v>32803420.59</v>
      </c>
      <c r="G1041">
        <v>12913246.99</v>
      </c>
      <c r="H1041">
        <v>19890173.600000001</v>
      </c>
      <c r="I1041">
        <v>2.91</v>
      </c>
      <c r="J1041">
        <v>3.56</v>
      </c>
      <c r="K1041" t="str">
        <f t="shared" si="16"/>
        <v>Jun 2022</v>
      </c>
    </row>
    <row r="1042" spans="1:11" x14ac:dyDescent="0.25">
      <c r="A1042" s="6">
        <v>44046</v>
      </c>
      <c r="B1042" t="s">
        <v>10</v>
      </c>
      <c r="C1042" t="s">
        <v>16</v>
      </c>
      <c r="D1042" t="s">
        <v>17</v>
      </c>
      <c r="E1042">
        <v>120</v>
      </c>
      <c r="F1042" s="3">
        <v>7389331.7000000002</v>
      </c>
      <c r="G1042">
        <v>1497232.38</v>
      </c>
      <c r="H1042">
        <v>5892099.3200000003</v>
      </c>
      <c r="I1042">
        <v>3.9</v>
      </c>
      <c r="J1042">
        <v>3.87</v>
      </c>
      <c r="K1042" t="str">
        <f t="shared" si="16"/>
        <v>Aug 2020</v>
      </c>
    </row>
    <row r="1043" spans="1:11" x14ac:dyDescent="0.25">
      <c r="A1043" s="6">
        <v>45336</v>
      </c>
      <c r="B1043" t="s">
        <v>10</v>
      </c>
      <c r="C1043" t="s">
        <v>16</v>
      </c>
      <c r="D1043" t="s">
        <v>17</v>
      </c>
      <c r="E1043">
        <v>242</v>
      </c>
      <c r="F1043" s="3">
        <v>20269348.629999999</v>
      </c>
      <c r="G1043">
        <v>6491694.71</v>
      </c>
      <c r="H1043">
        <v>13777653.92</v>
      </c>
      <c r="I1043">
        <v>4.38</v>
      </c>
      <c r="J1043">
        <v>3.9</v>
      </c>
      <c r="K1043" t="str">
        <f t="shared" si="16"/>
        <v>Feb 2024</v>
      </c>
    </row>
    <row r="1044" spans="1:11" x14ac:dyDescent="0.25">
      <c r="A1044" s="6">
        <v>45073</v>
      </c>
      <c r="B1044" t="s">
        <v>10</v>
      </c>
      <c r="C1044" t="s">
        <v>16</v>
      </c>
      <c r="D1044" t="s">
        <v>17</v>
      </c>
      <c r="E1044">
        <v>383</v>
      </c>
      <c r="F1044" s="3">
        <v>31494809.52</v>
      </c>
      <c r="G1044">
        <v>10545209.65</v>
      </c>
      <c r="H1044">
        <v>20949599.870000001</v>
      </c>
      <c r="I1044">
        <v>4.79</v>
      </c>
      <c r="J1044">
        <v>3.68</v>
      </c>
      <c r="K1044" t="str">
        <f t="shared" si="16"/>
        <v>May 2023</v>
      </c>
    </row>
    <row r="1045" spans="1:11" x14ac:dyDescent="0.25">
      <c r="A1045" s="6">
        <v>45132</v>
      </c>
      <c r="B1045" t="s">
        <v>10</v>
      </c>
      <c r="C1045" t="s">
        <v>16</v>
      </c>
      <c r="D1045" t="s">
        <v>17</v>
      </c>
      <c r="E1045">
        <v>247</v>
      </c>
      <c r="F1045" s="3">
        <v>13227636.32</v>
      </c>
      <c r="G1045">
        <v>3101818.03</v>
      </c>
      <c r="H1045">
        <v>10125818.289999999</v>
      </c>
      <c r="I1045">
        <v>0.5</v>
      </c>
      <c r="J1045">
        <v>3.96</v>
      </c>
      <c r="K1045" t="str">
        <f t="shared" si="16"/>
        <v>Jul 2023</v>
      </c>
    </row>
    <row r="1046" spans="1:11" x14ac:dyDescent="0.25">
      <c r="A1046" s="6">
        <v>45093</v>
      </c>
      <c r="B1046" t="s">
        <v>10</v>
      </c>
      <c r="C1046" t="s">
        <v>16</v>
      </c>
      <c r="D1046" t="s">
        <v>12</v>
      </c>
      <c r="E1046">
        <v>290</v>
      </c>
      <c r="F1046" s="3">
        <v>12335483.52</v>
      </c>
      <c r="G1046">
        <v>3607920.15</v>
      </c>
      <c r="H1046">
        <v>8727563.3699999992</v>
      </c>
      <c r="I1046">
        <v>1.33</v>
      </c>
      <c r="J1046">
        <v>4.1399999999999997</v>
      </c>
      <c r="K1046" t="str">
        <f t="shared" si="16"/>
        <v>Jun 2023</v>
      </c>
    </row>
    <row r="1047" spans="1:11" x14ac:dyDescent="0.25">
      <c r="A1047" s="6">
        <v>44348</v>
      </c>
      <c r="B1047" t="s">
        <v>10</v>
      </c>
      <c r="C1047" t="s">
        <v>13</v>
      </c>
      <c r="D1047" t="s">
        <v>17</v>
      </c>
      <c r="E1047">
        <v>234</v>
      </c>
      <c r="F1047" s="3">
        <v>11939817.01</v>
      </c>
      <c r="G1047">
        <v>3779203.34</v>
      </c>
      <c r="H1047">
        <v>8160613.6699999999</v>
      </c>
      <c r="I1047">
        <v>2.2000000000000002</v>
      </c>
      <c r="J1047">
        <v>4.8099999999999996</v>
      </c>
      <c r="K1047" t="str">
        <f t="shared" si="16"/>
        <v>Jun 2021</v>
      </c>
    </row>
    <row r="1048" spans="1:11" x14ac:dyDescent="0.25">
      <c r="A1048" s="6">
        <v>45098</v>
      </c>
      <c r="B1048" t="s">
        <v>10</v>
      </c>
      <c r="C1048" t="s">
        <v>11</v>
      </c>
      <c r="D1048" t="s">
        <v>17</v>
      </c>
      <c r="E1048">
        <v>261</v>
      </c>
      <c r="F1048" s="3">
        <v>20731911.34</v>
      </c>
      <c r="G1048">
        <v>5235181.0199999996</v>
      </c>
      <c r="H1048">
        <v>15496730.32</v>
      </c>
      <c r="I1048">
        <v>2.92</v>
      </c>
      <c r="J1048">
        <v>4.76</v>
      </c>
      <c r="K1048" t="str">
        <f t="shared" si="16"/>
        <v>Jun 2023</v>
      </c>
    </row>
    <row r="1049" spans="1:11" x14ac:dyDescent="0.25">
      <c r="A1049" s="6">
        <v>45508</v>
      </c>
      <c r="B1049" t="s">
        <v>10</v>
      </c>
      <c r="C1049" t="s">
        <v>13</v>
      </c>
      <c r="D1049" t="s">
        <v>17</v>
      </c>
      <c r="E1049">
        <v>207</v>
      </c>
      <c r="F1049" s="3">
        <v>7930683.7699999996</v>
      </c>
      <c r="G1049">
        <v>2700159.46</v>
      </c>
      <c r="H1049">
        <v>5230524.3099999996</v>
      </c>
      <c r="I1049">
        <v>1.84</v>
      </c>
      <c r="J1049">
        <v>3.98</v>
      </c>
      <c r="K1049" t="str">
        <f t="shared" si="16"/>
        <v>Aug 2024</v>
      </c>
    </row>
    <row r="1050" spans="1:11" x14ac:dyDescent="0.25">
      <c r="A1050" s="6">
        <v>44873</v>
      </c>
      <c r="B1050" t="s">
        <v>10</v>
      </c>
      <c r="C1050" t="s">
        <v>15</v>
      </c>
      <c r="D1050" t="s">
        <v>17</v>
      </c>
      <c r="E1050">
        <v>256</v>
      </c>
      <c r="F1050" s="3">
        <v>19986912.949999999</v>
      </c>
      <c r="G1050">
        <v>7505094.3600000003</v>
      </c>
      <c r="H1050">
        <v>12481818.59</v>
      </c>
      <c r="I1050">
        <v>3.36</v>
      </c>
      <c r="J1050">
        <v>3.69</v>
      </c>
      <c r="K1050" t="str">
        <f t="shared" si="16"/>
        <v>Nov 2022</v>
      </c>
    </row>
    <row r="1051" spans="1:11" x14ac:dyDescent="0.25">
      <c r="A1051" s="6">
        <v>44904</v>
      </c>
      <c r="B1051" t="s">
        <v>10</v>
      </c>
      <c r="C1051" t="s">
        <v>16</v>
      </c>
      <c r="D1051" t="s">
        <v>17</v>
      </c>
      <c r="E1051">
        <v>477</v>
      </c>
      <c r="F1051" s="3">
        <v>17239586.969999999</v>
      </c>
      <c r="G1051">
        <v>4272362.79</v>
      </c>
      <c r="H1051">
        <v>12967224.18</v>
      </c>
      <c r="I1051">
        <v>0.69</v>
      </c>
      <c r="J1051">
        <v>4.8</v>
      </c>
      <c r="K1051" t="str">
        <f t="shared" si="16"/>
        <v>Dec 2022</v>
      </c>
    </row>
    <row r="1052" spans="1:11" x14ac:dyDescent="0.25">
      <c r="A1052" s="6">
        <v>45239</v>
      </c>
      <c r="B1052" t="s">
        <v>10</v>
      </c>
      <c r="C1052" t="s">
        <v>13</v>
      </c>
      <c r="D1052" t="s">
        <v>17</v>
      </c>
      <c r="E1052">
        <v>247</v>
      </c>
      <c r="F1052" s="3">
        <v>9702680.8200000003</v>
      </c>
      <c r="G1052">
        <v>2026990.56</v>
      </c>
      <c r="H1052">
        <v>7675690.2599999998</v>
      </c>
      <c r="I1052">
        <v>1.61</v>
      </c>
      <c r="J1052">
        <v>4.79</v>
      </c>
      <c r="K1052" t="str">
        <f t="shared" si="16"/>
        <v>Nov 2023</v>
      </c>
    </row>
    <row r="1053" spans="1:11" x14ac:dyDescent="0.25">
      <c r="A1053" s="6">
        <v>45570</v>
      </c>
      <c r="B1053" t="s">
        <v>10</v>
      </c>
      <c r="C1053" t="s">
        <v>11</v>
      </c>
      <c r="D1053" t="s">
        <v>14</v>
      </c>
      <c r="E1053">
        <v>428</v>
      </c>
      <c r="F1053" s="3">
        <v>35081815.450000003</v>
      </c>
      <c r="G1053">
        <v>13939908.02</v>
      </c>
      <c r="H1053">
        <v>21141907.420000002</v>
      </c>
      <c r="I1053">
        <v>2.8</v>
      </c>
      <c r="J1053">
        <v>4.6500000000000004</v>
      </c>
      <c r="K1053" t="str">
        <f t="shared" si="16"/>
        <v>Oct 2024</v>
      </c>
    </row>
    <row r="1054" spans="1:11" x14ac:dyDescent="0.25">
      <c r="A1054" s="6">
        <v>43937</v>
      </c>
      <c r="B1054" t="s">
        <v>10</v>
      </c>
      <c r="C1054" t="s">
        <v>13</v>
      </c>
      <c r="D1054" t="s">
        <v>17</v>
      </c>
      <c r="E1054">
        <v>123</v>
      </c>
      <c r="F1054" s="3">
        <v>7704180.1200000001</v>
      </c>
      <c r="G1054">
        <v>3059512.92</v>
      </c>
      <c r="H1054">
        <v>4644667.2</v>
      </c>
      <c r="I1054">
        <v>4.1100000000000003</v>
      </c>
      <c r="J1054">
        <v>4.97</v>
      </c>
      <c r="K1054" t="str">
        <f t="shared" si="16"/>
        <v>Apr 2020</v>
      </c>
    </row>
    <row r="1055" spans="1:11" x14ac:dyDescent="0.25">
      <c r="A1055" s="6">
        <v>43878</v>
      </c>
      <c r="B1055" t="s">
        <v>10</v>
      </c>
      <c r="C1055" t="s">
        <v>18</v>
      </c>
      <c r="D1055" t="s">
        <v>14</v>
      </c>
      <c r="E1055">
        <v>230</v>
      </c>
      <c r="F1055" s="3">
        <v>11644931.34</v>
      </c>
      <c r="G1055">
        <v>3984968.81</v>
      </c>
      <c r="H1055">
        <v>7659962.5300000003</v>
      </c>
      <c r="I1055">
        <v>2.2000000000000002</v>
      </c>
      <c r="J1055">
        <v>4.09</v>
      </c>
      <c r="K1055" t="str">
        <f t="shared" si="16"/>
        <v>Feb 2020</v>
      </c>
    </row>
    <row r="1056" spans="1:11" x14ac:dyDescent="0.25">
      <c r="A1056" s="6">
        <v>44408</v>
      </c>
      <c r="B1056" t="s">
        <v>10</v>
      </c>
      <c r="C1056" t="s">
        <v>18</v>
      </c>
      <c r="D1056" t="s">
        <v>14</v>
      </c>
      <c r="E1056">
        <v>127</v>
      </c>
      <c r="F1056" s="3">
        <v>7556488.71</v>
      </c>
      <c r="G1056">
        <v>2127572.62</v>
      </c>
      <c r="H1056">
        <v>5428916.0899999999</v>
      </c>
      <c r="I1056">
        <v>3.65</v>
      </c>
      <c r="J1056">
        <v>3.79</v>
      </c>
      <c r="K1056" t="str">
        <f t="shared" si="16"/>
        <v>Jul 2021</v>
      </c>
    </row>
    <row r="1057" spans="1:11" x14ac:dyDescent="0.25">
      <c r="A1057" s="6">
        <v>43854</v>
      </c>
      <c r="B1057" t="s">
        <v>10</v>
      </c>
      <c r="C1057" t="s">
        <v>15</v>
      </c>
      <c r="D1057" t="s">
        <v>17</v>
      </c>
      <c r="E1057">
        <v>130</v>
      </c>
      <c r="F1057" s="3">
        <v>8148917.6799999997</v>
      </c>
      <c r="G1057">
        <v>1961541.36</v>
      </c>
      <c r="H1057">
        <v>6187376.3300000001</v>
      </c>
      <c r="I1057">
        <v>3.83</v>
      </c>
      <c r="J1057">
        <v>4.47</v>
      </c>
      <c r="K1057" t="str">
        <f t="shared" si="16"/>
        <v>Jan 2020</v>
      </c>
    </row>
    <row r="1058" spans="1:11" x14ac:dyDescent="0.25">
      <c r="A1058" s="6">
        <v>44289</v>
      </c>
      <c r="B1058" t="s">
        <v>10</v>
      </c>
      <c r="C1058" t="s">
        <v>11</v>
      </c>
      <c r="D1058" t="s">
        <v>12</v>
      </c>
      <c r="E1058">
        <v>487</v>
      </c>
      <c r="F1058" s="3">
        <v>20211587.309999999</v>
      </c>
      <c r="G1058">
        <v>6461654.1200000001</v>
      </c>
      <c r="H1058">
        <v>13749933.189999999</v>
      </c>
      <c r="I1058">
        <v>4.07</v>
      </c>
      <c r="J1058">
        <v>3.83</v>
      </c>
      <c r="K1058" t="str">
        <f t="shared" si="16"/>
        <v>Apr 2021</v>
      </c>
    </row>
    <row r="1059" spans="1:11" x14ac:dyDescent="0.25">
      <c r="A1059" s="6">
        <v>45042</v>
      </c>
      <c r="B1059" t="s">
        <v>10</v>
      </c>
      <c r="C1059" t="s">
        <v>15</v>
      </c>
      <c r="D1059" t="s">
        <v>12</v>
      </c>
      <c r="E1059">
        <v>146</v>
      </c>
      <c r="F1059" s="3">
        <v>5429685.8600000003</v>
      </c>
      <c r="G1059">
        <v>1874340.48</v>
      </c>
      <c r="H1059">
        <v>3555345.38</v>
      </c>
      <c r="I1059">
        <v>4.8</v>
      </c>
      <c r="J1059">
        <v>4.93</v>
      </c>
      <c r="K1059" t="str">
        <f t="shared" si="16"/>
        <v>Apr 2023</v>
      </c>
    </row>
    <row r="1060" spans="1:11" x14ac:dyDescent="0.25">
      <c r="A1060" s="6">
        <v>44454</v>
      </c>
      <c r="B1060" t="s">
        <v>10</v>
      </c>
      <c r="C1060" t="s">
        <v>16</v>
      </c>
      <c r="D1060" t="s">
        <v>17</v>
      </c>
      <c r="E1060">
        <v>331</v>
      </c>
      <c r="F1060" s="3">
        <v>24960369.52</v>
      </c>
      <c r="G1060">
        <v>6491710.21</v>
      </c>
      <c r="H1060">
        <v>18468659.309999999</v>
      </c>
      <c r="I1060">
        <v>4.34</v>
      </c>
      <c r="J1060">
        <v>3.67</v>
      </c>
      <c r="K1060" t="str">
        <f t="shared" si="16"/>
        <v>Sep 2021</v>
      </c>
    </row>
    <row r="1061" spans="1:11" x14ac:dyDescent="0.25">
      <c r="A1061" s="6">
        <v>45639</v>
      </c>
      <c r="B1061" t="s">
        <v>10</v>
      </c>
      <c r="C1061" t="s">
        <v>18</v>
      </c>
      <c r="D1061" t="s">
        <v>12</v>
      </c>
      <c r="E1061">
        <v>118</v>
      </c>
      <c r="F1061" s="3">
        <v>5046381.92</v>
      </c>
      <c r="G1061">
        <v>1247954.26</v>
      </c>
      <c r="H1061">
        <v>3798427.66</v>
      </c>
      <c r="I1061">
        <v>0.99</v>
      </c>
      <c r="J1061">
        <v>4.97</v>
      </c>
      <c r="K1061" t="str">
        <f t="shared" si="16"/>
        <v>Dec 2024</v>
      </c>
    </row>
    <row r="1062" spans="1:11" x14ac:dyDescent="0.25">
      <c r="A1062" s="6">
        <v>44659</v>
      </c>
      <c r="B1062" t="s">
        <v>10</v>
      </c>
      <c r="C1062" t="s">
        <v>18</v>
      </c>
      <c r="D1062" t="s">
        <v>14</v>
      </c>
      <c r="E1062">
        <v>168</v>
      </c>
      <c r="F1062" s="3">
        <v>10294337.25</v>
      </c>
      <c r="G1062">
        <v>3133269.06</v>
      </c>
      <c r="H1062">
        <v>7161068.1900000004</v>
      </c>
      <c r="I1062">
        <v>3.96</v>
      </c>
      <c r="J1062">
        <v>4.4400000000000004</v>
      </c>
      <c r="K1062" t="str">
        <f t="shared" si="16"/>
        <v>Apr 2022</v>
      </c>
    </row>
    <row r="1063" spans="1:11" x14ac:dyDescent="0.25">
      <c r="A1063" s="6">
        <v>45468</v>
      </c>
      <c r="B1063" t="s">
        <v>10</v>
      </c>
      <c r="C1063" t="s">
        <v>11</v>
      </c>
      <c r="D1063" t="s">
        <v>17</v>
      </c>
      <c r="E1063">
        <v>462</v>
      </c>
      <c r="F1063" s="3">
        <v>19880394.100000001</v>
      </c>
      <c r="G1063">
        <v>4222340.68</v>
      </c>
      <c r="H1063">
        <v>15658053.42</v>
      </c>
      <c r="I1063">
        <v>4.63</v>
      </c>
      <c r="J1063">
        <v>4.83</v>
      </c>
      <c r="K1063" t="str">
        <f t="shared" si="16"/>
        <v>Jun 2024</v>
      </c>
    </row>
    <row r="1064" spans="1:11" x14ac:dyDescent="0.25">
      <c r="A1064" s="6">
        <v>44851</v>
      </c>
      <c r="B1064" t="s">
        <v>10</v>
      </c>
      <c r="C1064" t="s">
        <v>13</v>
      </c>
      <c r="D1064" t="s">
        <v>14</v>
      </c>
      <c r="E1064">
        <v>81</v>
      </c>
      <c r="F1064" s="3">
        <v>5938181.0499999998</v>
      </c>
      <c r="G1064">
        <v>1277809.8799999999</v>
      </c>
      <c r="H1064">
        <v>4660371.17</v>
      </c>
      <c r="I1064">
        <v>4.1900000000000004</v>
      </c>
      <c r="J1064">
        <v>4.34</v>
      </c>
      <c r="K1064" t="str">
        <f t="shared" si="16"/>
        <v>Oct 2022</v>
      </c>
    </row>
    <row r="1065" spans="1:11" x14ac:dyDescent="0.25">
      <c r="A1065" s="6">
        <v>44970</v>
      </c>
      <c r="B1065" t="s">
        <v>10</v>
      </c>
      <c r="C1065" t="s">
        <v>16</v>
      </c>
      <c r="D1065" t="s">
        <v>14</v>
      </c>
      <c r="E1065">
        <v>229</v>
      </c>
      <c r="F1065" s="3">
        <v>16020952.83</v>
      </c>
      <c r="G1065">
        <v>5267824.59</v>
      </c>
      <c r="H1065">
        <v>10753128.24</v>
      </c>
      <c r="I1065">
        <v>1.17</v>
      </c>
      <c r="J1065">
        <v>4.3899999999999997</v>
      </c>
      <c r="K1065" t="str">
        <f t="shared" si="16"/>
        <v>Feb 2023</v>
      </c>
    </row>
    <row r="1066" spans="1:11" x14ac:dyDescent="0.25">
      <c r="A1066" s="6">
        <v>44516</v>
      </c>
      <c r="B1066" t="s">
        <v>10</v>
      </c>
      <c r="C1066" t="s">
        <v>15</v>
      </c>
      <c r="D1066" t="s">
        <v>17</v>
      </c>
      <c r="E1066">
        <v>277</v>
      </c>
      <c r="F1066" s="3">
        <v>18103750.460000001</v>
      </c>
      <c r="G1066">
        <v>6365864.5199999996</v>
      </c>
      <c r="H1066">
        <v>11737885.939999999</v>
      </c>
      <c r="I1066">
        <v>2.42</v>
      </c>
      <c r="J1066">
        <v>4.95</v>
      </c>
      <c r="K1066" t="str">
        <f t="shared" si="16"/>
        <v>Nov 2021</v>
      </c>
    </row>
    <row r="1067" spans="1:11" x14ac:dyDescent="0.25">
      <c r="A1067" s="6">
        <v>44630</v>
      </c>
      <c r="B1067" t="s">
        <v>10</v>
      </c>
      <c r="C1067" t="s">
        <v>18</v>
      </c>
      <c r="D1067" t="s">
        <v>17</v>
      </c>
      <c r="E1067">
        <v>219</v>
      </c>
      <c r="F1067" s="3">
        <v>14463142.359999999</v>
      </c>
      <c r="G1067">
        <v>3086560.05</v>
      </c>
      <c r="H1067">
        <v>11376582.310000001</v>
      </c>
      <c r="I1067">
        <v>3.14</v>
      </c>
      <c r="J1067">
        <v>4.29</v>
      </c>
      <c r="K1067" t="str">
        <f t="shared" si="16"/>
        <v>Mar 2022</v>
      </c>
    </row>
    <row r="1068" spans="1:11" x14ac:dyDescent="0.25">
      <c r="A1068" s="6">
        <v>44181</v>
      </c>
      <c r="B1068" t="s">
        <v>10</v>
      </c>
      <c r="C1068" t="s">
        <v>15</v>
      </c>
      <c r="D1068" t="s">
        <v>12</v>
      </c>
      <c r="E1068">
        <v>111</v>
      </c>
      <c r="F1068" s="3">
        <v>8915505.6600000001</v>
      </c>
      <c r="G1068">
        <v>3202293.33</v>
      </c>
      <c r="H1068">
        <v>5713212.3399999999</v>
      </c>
      <c r="I1068">
        <v>2.61</v>
      </c>
      <c r="J1068">
        <v>4.7</v>
      </c>
      <c r="K1068" t="str">
        <f t="shared" si="16"/>
        <v>Dec 2020</v>
      </c>
    </row>
    <row r="1069" spans="1:11" x14ac:dyDescent="0.25">
      <c r="A1069" s="6">
        <v>44973</v>
      </c>
      <c r="B1069" t="s">
        <v>10</v>
      </c>
      <c r="C1069" t="s">
        <v>13</v>
      </c>
      <c r="D1069" t="s">
        <v>17</v>
      </c>
      <c r="E1069">
        <v>179</v>
      </c>
      <c r="F1069" s="3">
        <v>9988620.3499999996</v>
      </c>
      <c r="G1069">
        <v>2962038.5</v>
      </c>
      <c r="H1069">
        <v>7026581.8499999996</v>
      </c>
      <c r="I1069">
        <v>2.36</v>
      </c>
      <c r="J1069">
        <v>3.8</v>
      </c>
      <c r="K1069" t="str">
        <f t="shared" si="16"/>
        <v>Feb 2023</v>
      </c>
    </row>
    <row r="1070" spans="1:11" x14ac:dyDescent="0.25">
      <c r="A1070" s="6">
        <v>44318</v>
      </c>
      <c r="B1070" t="s">
        <v>10</v>
      </c>
      <c r="C1070" t="s">
        <v>18</v>
      </c>
      <c r="D1070" t="s">
        <v>12</v>
      </c>
      <c r="E1070">
        <v>493</v>
      </c>
      <c r="F1070" s="3">
        <v>17942327.399999999</v>
      </c>
      <c r="G1070">
        <v>4700721.5199999996</v>
      </c>
      <c r="H1070">
        <v>13241605.880000001</v>
      </c>
      <c r="I1070">
        <v>1.92</v>
      </c>
      <c r="J1070">
        <v>3.58</v>
      </c>
      <c r="K1070" t="str">
        <f t="shared" si="16"/>
        <v>May 2021</v>
      </c>
    </row>
    <row r="1071" spans="1:11" x14ac:dyDescent="0.25">
      <c r="A1071" s="6">
        <v>45048</v>
      </c>
      <c r="B1071" t="s">
        <v>10</v>
      </c>
      <c r="C1071" t="s">
        <v>16</v>
      </c>
      <c r="D1071" t="s">
        <v>14</v>
      </c>
      <c r="E1071">
        <v>150</v>
      </c>
      <c r="F1071" s="3">
        <v>8223250.8300000001</v>
      </c>
      <c r="G1071">
        <v>3146098.66</v>
      </c>
      <c r="H1071">
        <v>5077152.17</v>
      </c>
      <c r="I1071">
        <v>1.41</v>
      </c>
      <c r="J1071">
        <v>4.32</v>
      </c>
      <c r="K1071" t="str">
        <f t="shared" si="16"/>
        <v>May 2023</v>
      </c>
    </row>
    <row r="1072" spans="1:11" x14ac:dyDescent="0.25">
      <c r="A1072" s="6">
        <v>45081</v>
      </c>
      <c r="B1072" t="s">
        <v>10</v>
      </c>
      <c r="C1072" t="s">
        <v>16</v>
      </c>
      <c r="D1072" t="s">
        <v>12</v>
      </c>
      <c r="E1072">
        <v>415</v>
      </c>
      <c r="F1072" s="3">
        <v>21326330.399999999</v>
      </c>
      <c r="G1072">
        <v>8147684.0099999998</v>
      </c>
      <c r="H1072">
        <v>13178646.390000001</v>
      </c>
      <c r="I1072">
        <v>4.5999999999999996</v>
      </c>
      <c r="J1072">
        <v>3.51</v>
      </c>
      <c r="K1072" t="str">
        <f t="shared" si="16"/>
        <v>Jun 2023</v>
      </c>
    </row>
    <row r="1073" spans="1:11" x14ac:dyDescent="0.25">
      <c r="A1073" s="6">
        <v>45204</v>
      </c>
      <c r="B1073" t="s">
        <v>10</v>
      </c>
      <c r="C1073" t="s">
        <v>16</v>
      </c>
      <c r="D1073" t="s">
        <v>14</v>
      </c>
      <c r="E1073">
        <v>426</v>
      </c>
      <c r="F1073" s="3">
        <v>20663251.170000002</v>
      </c>
      <c r="G1073">
        <v>4908240.49</v>
      </c>
      <c r="H1073">
        <v>15755010.68</v>
      </c>
      <c r="I1073">
        <v>2.04</v>
      </c>
      <c r="J1073">
        <v>3.67</v>
      </c>
      <c r="K1073" t="str">
        <f t="shared" si="16"/>
        <v>Oct 2023</v>
      </c>
    </row>
    <row r="1074" spans="1:11" x14ac:dyDescent="0.25">
      <c r="A1074" s="6">
        <v>45411</v>
      </c>
      <c r="B1074" t="s">
        <v>10</v>
      </c>
      <c r="C1074" t="s">
        <v>18</v>
      </c>
      <c r="D1074" t="s">
        <v>12</v>
      </c>
      <c r="E1074">
        <v>355</v>
      </c>
      <c r="F1074" s="3">
        <v>31282876.039999999</v>
      </c>
      <c r="G1074">
        <v>11225582.42</v>
      </c>
      <c r="H1074">
        <v>20057293.620000001</v>
      </c>
      <c r="I1074">
        <v>3.84</v>
      </c>
      <c r="J1074">
        <v>4.32</v>
      </c>
      <c r="K1074" t="str">
        <f t="shared" si="16"/>
        <v>Apr 2024</v>
      </c>
    </row>
    <row r="1075" spans="1:11" x14ac:dyDescent="0.25">
      <c r="A1075" s="6">
        <v>45088</v>
      </c>
      <c r="B1075" t="s">
        <v>10</v>
      </c>
      <c r="C1075" t="s">
        <v>13</v>
      </c>
      <c r="D1075" t="s">
        <v>14</v>
      </c>
      <c r="E1075">
        <v>232</v>
      </c>
      <c r="F1075" s="3">
        <v>11723014.65</v>
      </c>
      <c r="G1075">
        <v>4499401.49</v>
      </c>
      <c r="H1075">
        <v>7223613.1600000001</v>
      </c>
      <c r="I1075">
        <v>4.4400000000000004</v>
      </c>
      <c r="J1075">
        <v>4.59</v>
      </c>
      <c r="K1075" t="str">
        <f t="shared" si="16"/>
        <v>Jun 2023</v>
      </c>
    </row>
    <row r="1076" spans="1:11" x14ac:dyDescent="0.25">
      <c r="A1076" s="6">
        <v>45391</v>
      </c>
      <c r="B1076" t="s">
        <v>10</v>
      </c>
      <c r="C1076" t="s">
        <v>15</v>
      </c>
      <c r="D1076" t="s">
        <v>17</v>
      </c>
      <c r="E1076">
        <v>261</v>
      </c>
      <c r="F1076" s="3">
        <v>22291201.760000002</v>
      </c>
      <c r="G1076">
        <v>7454899.2199999997</v>
      </c>
      <c r="H1076">
        <v>14836302.550000001</v>
      </c>
      <c r="I1076">
        <v>2.17</v>
      </c>
      <c r="J1076">
        <v>4.6399999999999997</v>
      </c>
      <c r="K1076" t="str">
        <f t="shared" si="16"/>
        <v>Apr 2024</v>
      </c>
    </row>
    <row r="1077" spans="1:11" x14ac:dyDescent="0.25">
      <c r="A1077" s="6">
        <v>43985</v>
      </c>
      <c r="B1077" t="s">
        <v>10</v>
      </c>
      <c r="C1077" t="s">
        <v>18</v>
      </c>
      <c r="D1077" t="s">
        <v>12</v>
      </c>
      <c r="E1077">
        <v>272</v>
      </c>
      <c r="F1077" s="3">
        <v>9577403.6999999993</v>
      </c>
      <c r="G1077">
        <v>2869374.44</v>
      </c>
      <c r="H1077">
        <v>6708029.25</v>
      </c>
      <c r="I1077">
        <v>3.12</v>
      </c>
      <c r="J1077">
        <v>4.37</v>
      </c>
      <c r="K1077" t="str">
        <f t="shared" si="16"/>
        <v>Jun 2020</v>
      </c>
    </row>
    <row r="1078" spans="1:11" x14ac:dyDescent="0.25">
      <c r="A1078" s="6">
        <v>45392</v>
      </c>
      <c r="B1078" t="s">
        <v>10</v>
      </c>
      <c r="C1078" t="s">
        <v>16</v>
      </c>
      <c r="D1078" t="s">
        <v>14</v>
      </c>
      <c r="E1078">
        <v>157</v>
      </c>
      <c r="F1078" s="3">
        <v>5923347.0199999996</v>
      </c>
      <c r="G1078">
        <v>2064804.5</v>
      </c>
      <c r="H1078">
        <v>3858542.52</v>
      </c>
      <c r="I1078">
        <v>2.59</v>
      </c>
      <c r="J1078">
        <v>3.84</v>
      </c>
      <c r="K1078" t="str">
        <f t="shared" si="16"/>
        <v>Apr 2024</v>
      </c>
    </row>
    <row r="1079" spans="1:11" x14ac:dyDescent="0.25">
      <c r="A1079" s="6">
        <v>44414</v>
      </c>
      <c r="B1079" t="s">
        <v>10</v>
      </c>
      <c r="C1079" t="s">
        <v>15</v>
      </c>
      <c r="D1079" t="s">
        <v>12</v>
      </c>
      <c r="E1079">
        <v>68</v>
      </c>
      <c r="F1079" s="3">
        <v>2705788.74</v>
      </c>
      <c r="G1079">
        <v>818563.63</v>
      </c>
      <c r="H1079">
        <v>1887225.11</v>
      </c>
      <c r="I1079">
        <v>3.61</v>
      </c>
      <c r="J1079">
        <v>3.89</v>
      </c>
      <c r="K1079" t="str">
        <f t="shared" si="16"/>
        <v>Aug 2021</v>
      </c>
    </row>
    <row r="1080" spans="1:11" x14ac:dyDescent="0.25">
      <c r="A1080" s="6">
        <v>45197</v>
      </c>
      <c r="B1080" t="s">
        <v>10</v>
      </c>
      <c r="C1080" t="s">
        <v>13</v>
      </c>
      <c r="D1080" t="s">
        <v>12</v>
      </c>
      <c r="E1080">
        <v>482</v>
      </c>
      <c r="F1080" s="3">
        <v>28663037.989999998</v>
      </c>
      <c r="G1080">
        <v>8661692.6199999992</v>
      </c>
      <c r="H1080">
        <v>20001345.370000001</v>
      </c>
      <c r="I1080">
        <v>2.08</v>
      </c>
      <c r="J1080">
        <v>4.8600000000000003</v>
      </c>
      <c r="K1080" t="str">
        <f t="shared" si="16"/>
        <v>Sep 2023</v>
      </c>
    </row>
    <row r="1081" spans="1:11" x14ac:dyDescent="0.25">
      <c r="A1081" s="6">
        <v>44267</v>
      </c>
      <c r="B1081" t="s">
        <v>10</v>
      </c>
      <c r="C1081" t="s">
        <v>18</v>
      </c>
      <c r="D1081" t="s">
        <v>14</v>
      </c>
      <c r="E1081">
        <v>322</v>
      </c>
      <c r="F1081" s="3">
        <v>16569398.800000001</v>
      </c>
      <c r="G1081">
        <v>5199947</v>
      </c>
      <c r="H1081">
        <v>11369451.800000001</v>
      </c>
      <c r="I1081">
        <v>1.9</v>
      </c>
      <c r="J1081">
        <v>4.59</v>
      </c>
      <c r="K1081" t="str">
        <f t="shared" si="16"/>
        <v>Mar 2021</v>
      </c>
    </row>
    <row r="1082" spans="1:11" x14ac:dyDescent="0.25">
      <c r="A1082" s="6">
        <v>45273</v>
      </c>
      <c r="B1082" t="s">
        <v>10</v>
      </c>
      <c r="C1082" t="s">
        <v>16</v>
      </c>
      <c r="D1082" t="s">
        <v>12</v>
      </c>
      <c r="E1082">
        <v>98</v>
      </c>
      <c r="F1082" s="3">
        <v>8003262.8600000003</v>
      </c>
      <c r="G1082">
        <v>2619859.5299999998</v>
      </c>
      <c r="H1082">
        <v>5383403.3300000001</v>
      </c>
      <c r="I1082">
        <v>4.07</v>
      </c>
      <c r="J1082">
        <v>4.91</v>
      </c>
      <c r="K1082" t="str">
        <f t="shared" si="16"/>
        <v>Dec 2023</v>
      </c>
    </row>
    <row r="1083" spans="1:11" x14ac:dyDescent="0.25">
      <c r="A1083" s="6">
        <v>45117</v>
      </c>
      <c r="B1083" t="s">
        <v>10</v>
      </c>
      <c r="C1083" t="s">
        <v>18</v>
      </c>
      <c r="D1083" t="s">
        <v>14</v>
      </c>
      <c r="E1083">
        <v>312</v>
      </c>
      <c r="F1083" s="3">
        <v>16741020.32</v>
      </c>
      <c r="G1083">
        <v>4872991.43</v>
      </c>
      <c r="H1083">
        <v>11868028.890000001</v>
      </c>
      <c r="I1083">
        <v>0.68</v>
      </c>
      <c r="J1083">
        <v>4.62</v>
      </c>
      <c r="K1083" t="str">
        <f t="shared" si="16"/>
        <v>Jul 2023</v>
      </c>
    </row>
    <row r="1084" spans="1:11" x14ac:dyDescent="0.25">
      <c r="A1084" s="6">
        <v>44955</v>
      </c>
      <c r="B1084" t="s">
        <v>10</v>
      </c>
      <c r="C1084" t="s">
        <v>15</v>
      </c>
      <c r="D1084" t="s">
        <v>12</v>
      </c>
      <c r="E1084">
        <v>178</v>
      </c>
      <c r="F1084" s="3">
        <v>6731869.2699999996</v>
      </c>
      <c r="G1084">
        <v>2151672</v>
      </c>
      <c r="H1084">
        <v>4580197.26</v>
      </c>
      <c r="I1084">
        <v>3.53</v>
      </c>
      <c r="J1084">
        <v>4.18</v>
      </c>
      <c r="K1084" t="str">
        <f t="shared" si="16"/>
        <v>Jan 2023</v>
      </c>
    </row>
    <row r="1085" spans="1:11" x14ac:dyDescent="0.25">
      <c r="A1085" s="6">
        <v>45026</v>
      </c>
      <c r="B1085" t="s">
        <v>10</v>
      </c>
      <c r="C1085" t="s">
        <v>18</v>
      </c>
      <c r="D1085" t="s">
        <v>17</v>
      </c>
      <c r="E1085">
        <v>206</v>
      </c>
      <c r="F1085" s="3">
        <v>12469430.74</v>
      </c>
      <c r="G1085">
        <v>3443547.23</v>
      </c>
      <c r="H1085">
        <v>9025883.5099999998</v>
      </c>
      <c r="I1085">
        <v>2.66</v>
      </c>
      <c r="J1085">
        <v>4.49</v>
      </c>
      <c r="K1085" t="str">
        <f t="shared" si="16"/>
        <v>Apr 2023</v>
      </c>
    </row>
    <row r="1086" spans="1:11" x14ac:dyDescent="0.25">
      <c r="A1086" s="6">
        <v>43838</v>
      </c>
      <c r="B1086" t="s">
        <v>10</v>
      </c>
      <c r="C1086" t="s">
        <v>16</v>
      </c>
      <c r="D1086" t="s">
        <v>12</v>
      </c>
      <c r="E1086">
        <v>383</v>
      </c>
      <c r="F1086" s="3">
        <v>24900085.579999998</v>
      </c>
      <c r="G1086">
        <v>8943790.0899999999</v>
      </c>
      <c r="H1086">
        <v>15956295.5</v>
      </c>
      <c r="I1086">
        <v>1.81</v>
      </c>
      <c r="J1086">
        <v>4.62</v>
      </c>
      <c r="K1086" t="str">
        <f t="shared" si="16"/>
        <v>Jan 2020</v>
      </c>
    </row>
    <row r="1087" spans="1:11" x14ac:dyDescent="0.25">
      <c r="A1087" s="6">
        <v>45296</v>
      </c>
      <c r="B1087" t="s">
        <v>10</v>
      </c>
      <c r="C1087" t="s">
        <v>16</v>
      </c>
      <c r="D1087" t="s">
        <v>17</v>
      </c>
      <c r="E1087">
        <v>350</v>
      </c>
      <c r="F1087" s="3">
        <v>19574276.300000001</v>
      </c>
      <c r="G1087">
        <v>7414244.21</v>
      </c>
      <c r="H1087">
        <v>12160032.08</v>
      </c>
      <c r="I1087">
        <v>2.89</v>
      </c>
      <c r="J1087">
        <v>4.09</v>
      </c>
      <c r="K1087" t="str">
        <f t="shared" si="16"/>
        <v>Jan 2024</v>
      </c>
    </row>
    <row r="1088" spans="1:11" x14ac:dyDescent="0.25">
      <c r="A1088" s="6">
        <v>44822</v>
      </c>
      <c r="B1088" t="s">
        <v>10</v>
      </c>
      <c r="C1088" t="s">
        <v>16</v>
      </c>
      <c r="D1088" t="s">
        <v>14</v>
      </c>
      <c r="E1088">
        <v>51</v>
      </c>
      <c r="F1088" s="3">
        <v>2983029.65</v>
      </c>
      <c r="G1088">
        <v>909764.18</v>
      </c>
      <c r="H1088">
        <v>2073265.47</v>
      </c>
      <c r="I1088">
        <v>4.54</v>
      </c>
      <c r="J1088">
        <v>4.29</v>
      </c>
      <c r="K1088" t="str">
        <f t="shared" si="16"/>
        <v>Sep 2022</v>
      </c>
    </row>
    <row r="1089" spans="1:11" x14ac:dyDescent="0.25">
      <c r="A1089" s="6">
        <v>44420</v>
      </c>
      <c r="B1089" t="s">
        <v>10</v>
      </c>
      <c r="C1089" t="s">
        <v>16</v>
      </c>
      <c r="D1089" t="s">
        <v>14</v>
      </c>
      <c r="E1089">
        <v>318</v>
      </c>
      <c r="F1089" s="3">
        <v>21943906.07</v>
      </c>
      <c r="G1089">
        <v>5790240.2999999998</v>
      </c>
      <c r="H1089">
        <v>16153665.77</v>
      </c>
      <c r="I1089">
        <v>3.5</v>
      </c>
      <c r="J1089">
        <v>4.2699999999999996</v>
      </c>
      <c r="K1089" t="str">
        <f t="shared" si="16"/>
        <v>Aug 2021</v>
      </c>
    </row>
    <row r="1090" spans="1:11" x14ac:dyDescent="0.25">
      <c r="A1090" s="6">
        <v>45020</v>
      </c>
      <c r="B1090" t="s">
        <v>10</v>
      </c>
      <c r="C1090" t="s">
        <v>11</v>
      </c>
      <c r="D1090" t="s">
        <v>14</v>
      </c>
      <c r="E1090">
        <v>353</v>
      </c>
      <c r="F1090" s="3">
        <v>12373316.41</v>
      </c>
      <c r="G1090">
        <v>4852158.78</v>
      </c>
      <c r="H1090">
        <v>7521157.6299999999</v>
      </c>
      <c r="I1090">
        <v>4.9000000000000004</v>
      </c>
      <c r="J1090">
        <v>3.86</v>
      </c>
      <c r="K1090" t="str">
        <f t="shared" ref="K1090:K1153" si="17">TEXT(A1090,"mmm yyyy")</f>
        <v>Apr 2023</v>
      </c>
    </row>
    <row r="1091" spans="1:11" x14ac:dyDescent="0.25">
      <c r="A1091" s="6">
        <v>45598</v>
      </c>
      <c r="B1091" t="s">
        <v>10</v>
      </c>
      <c r="C1091" t="s">
        <v>13</v>
      </c>
      <c r="D1091" t="s">
        <v>17</v>
      </c>
      <c r="E1091">
        <v>328</v>
      </c>
      <c r="F1091" s="3">
        <v>18474020.59</v>
      </c>
      <c r="G1091">
        <v>6878364.8399999999</v>
      </c>
      <c r="H1091">
        <v>11595655.75</v>
      </c>
      <c r="I1091">
        <v>3.82</v>
      </c>
      <c r="J1091">
        <v>4.79</v>
      </c>
      <c r="K1091" t="str">
        <f t="shared" si="17"/>
        <v>Nov 2024</v>
      </c>
    </row>
    <row r="1092" spans="1:11" x14ac:dyDescent="0.25">
      <c r="A1092" s="6">
        <v>45509</v>
      </c>
      <c r="B1092" t="s">
        <v>10</v>
      </c>
      <c r="C1092" t="s">
        <v>15</v>
      </c>
      <c r="D1092" t="s">
        <v>12</v>
      </c>
      <c r="E1092">
        <v>95</v>
      </c>
      <c r="F1092" s="3">
        <v>6461313.6200000001</v>
      </c>
      <c r="G1092">
        <v>1639557.57</v>
      </c>
      <c r="H1092">
        <v>4821756.05</v>
      </c>
      <c r="I1092">
        <v>3.96</v>
      </c>
      <c r="J1092">
        <v>4.96</v>
      </c>
      <c r="K1092" t="str">
        <f t="shared" si="17"/>
        <v>Aug 2024</v>
      </c>
    </row>
    <row r="1093" spans="1:11" x14ac:dyDescent="0.25">
      <c r="A1093" s="6">
        <v>44463</v>
      </c>
      <c r="B1093" t="s">
        <v>10</v>
      </c>
      <c r="C1093" t="s">
        <v>18</v>
      </c>
      <c r="D1093" t="s">
        <v>17</v>
      </c>
      <c r="E1093">
        <v>321</v>
      </c>
      <c r="F1093" s="3">
        <v>16697682.890000001</v>
      </c>
      <c r="G1093">
        <v>3550847.24</v>
      </c>
      <c r="H1093">
        <v>13146835.65</v>
      </c>
      <c r="I1093">
        <v>2.82</v>
      </c>
      <c r="J1093">
        <v>4.25</v>
      </c>
      <c r="K1093" t="str">
        <f t="shared" si="17"/>
        <v>Sep 2021</v>
      </c>
    </row>
    <row r="1094" spans="1:11" x14ac:dyDescent="0.25">
      <c r="A1094" s="6">
        <v>45132</v>
      </c>
      <c r="B1094" t="s">
        <v>10</v>
      </c>
      <c r="C1094" t="s">
        <v>13</v>
      </c>
      <c r="D1094" t="s">
        <v>17</v>
      </c>
      <c r="E1094">
        <v>405</v>
      </c>
      <c r="F1094" s="3">
        <v>16834212.030000001</v>
      </c>
      <c r="G1094">
        <v>5629889.6399999997</v>
      </c>
      <c r="H1094">
        <v>11204322.390000001</v>
      </c>
      <c r="I1094">
        <v>4.17</v>
      </c>
      <c r="J1094">
        <v>4.4000000000000004</v>
      </c>
      <c r="K1094" t="str">
        <f t="shared" si="17"/>
        <v>Jul 2023</v>
      </c>
    </row>
    <row r="1095" spans="1:11" x14ac:dyDescent="0.25">
      <c r="A1095" s="6">
        <v>44471</v>
      </c>
      <c r="B1095" t="s">
        <v>10</v>
      </c>
      <c r="C1095" t="s">
        <v>11</v>
      </c>
      <c r="D1095" t="s">
        <v>14</v>
      </c>
      <c r="E1095">
        <v>100</v>
      </c>
      <c r="F1095" s="3">
        <v>4554549.2</v>
      </c>
      <c r="G1095">
        <v>1315811.74</v>
      </c>
      <c r="H1095">
        <v>3238737.46</v>
      </c>
      <c r="I1095">
        <v>3.13</v>
      </c>
      <c r="J1095">
        <v>3.81</v>
      </c>
      <c r="K1095" t="str">
        <f t="shared" si="17"/>
        <v>Oct 2021</v>
      </c>
    </row>
    <row r="1096" spans="1:11" x14ac:dyDescent="0.25">
      <c r="A1096" s="6">
        <v>43949</v>
      </c>
      <c r="B1096" t="s">
        <v>10</v>
      </c>
      <c r="C1096" t="s">
        <v>16</v>
      </c>
      <c r="D1096" t="s">
        <v>14</v>
      </c>
      <c r="E1096">
        <v>102</v>
      </c>
      <c r="F1096" s="3">
        <v>4064434.16</v>
      </c>
      <c r="G1096">
        <v>994324.44</v>
      </c>
      <c r="H1096">
        <v>3070109.72</v>
      </c>
      <c r="I1096">
        <v>4.3099999999999996</v>
      </c>
      <c r="J1096">
        <v>3.77</v>
      </c>
      <c r="K1096" t="str">
        <f t="shared" si="17"/>
        <v>Apr 2020</v>
      </c>
    </row>
    <row r="1097" spans="1:11" x14ac:dyDescent="0.25">
      <c r="A1097" s="6">
        <v>44713</v>
      </c>
      <c r="B1097" t="s">
        <v>10</v>
      </c>
      <c r="C1097" t="s">
        <v>13</v>
      </c>
      <c r="D1097" t="s">
        <v>17</v>
      </c>
      <c r="E1097">
        <v>241</v>
      </c>
      <c r="F1097" s="3">
        <v>19405834.710000001</v>
      </c>
      <c r="G1097">
        <v>4890783.33</v>
      </c>
      <c r="H1097">
        <v>14515051.369999999</v>
      </c>
      <c r="I1097">
        <v>4.05</v>
      </c>
      <c r="J1097">
        <v>3.68</v>
      </c>
      <c r="K1097" t="str">
        <f t="shared" si="17"/>
        <v>Jun 2022</v>
      </c>
    </row>
    <row r="1098" spans="1:11" x14ac:dyDescent="0.25">
      <c r="A1098" s="6">
        <v>45474</v>
      </c>
      <c r="B1098" t="s">
        <v>10</v>
      </c>
      <c r="C1098" t="s">
        <v>15</v>
      </c>
      <c r="D1098" t="s">
        <v>14</v>
      </c>
      <c r="E1098">
        <v>436</v>
      </c>
      <c r="F1098" s="3">
        <v>19971757.469999999</v>
      </c>
      <c r="G1098">
        <v>7142915.5899999999</v>
      </c>
      <c r="H1098">
        <v>12828841.880000001</v>
      </c>
      <c r="I1098">
        <v>0.69</v>
      </c>
      <c r="J1098">
        <v>3.98</v>
      </c>
      <c r="K1098" t="str">
        <f t="shared" si="17"/>
        <v>Jul 2024</v>
      </c>
    </row>
    <row r="1099" spans="1:11" x14ac:dyDescent="0.25">
      <c r="A1099" s="6">
        <v>45113</v>
      </c>
      <c r="B1099" t="s">
        <v>10</v>
      </c>
      <c r="C1099" t="s">
        <v>16</v>
      </c>
      <c r="D1099" t="s">
        <v>17</v>
      </c>
      <c r="E1099">
        <v>316</v>
      </c>
      <c r="F1099" s="3">
        <v>23301347.789999999</v>
      </c>
      <c r="G1099">
        <v>4993027.34</v>
      </c>
      <c r="H1099">
        <v>18308320.449999999</v>
      </c>
      <c r="I1099">
        <v>3.82</v>
      </c>
      <c r="J1099">
        <v>3.96</v>
      </c>
      <c r="K1099" t="str">
        <f t="shared" si="17"/>
        <v>Jul 2023</v>
      </c>
    </row>
    <row r="1100" spans="1:11" x14ac:dyDescent="0.25">
      <c r="A1100" s="6">
        <v>44824</v>
      </c>
      <c r="B1100" t="s">
        <v>10</v>
      </c>
      <c r="C1100" t="s">
        <v>18</v>
      </c>
      <c r="D1100" t="s">
        <v>17</v>
      </c>
      <c r="E1100">
        <v>63</v>
      </c>
      <c r="F1100" s="3">
        <v>4617306.84</v>
      </c>
      <c r="G1100">
        <v>1668814.22</v>
      </c>
      <c r="H1100">
        <v>2948492.62</v>
      </c>
      <c r="I1100">
        <v>0.92</v>
      </c>
      <c r="J1100">
        <v>4.3</v>
      </c>
      <c r="K1100" t="str">
        <f t="shared" si="17"/>
        <v>Sep 2022</v>
      </c>
    </row>
    <row r="1101" spans="1:11" x14ac:dyDescent="0.25">
      <c r="A1101" s="6">
        <v>44652</v>
      </c>
      <c r="B1101" t="s">
        <v>10</v>
      </c>
      <c r="C1101" t="s">
        <v>16</v>
      </c>
      <c r="D1101" t="s">
        <v>12</v>
      </c>
      <c r="E1101">
        <v>59</v>
      </c>
      <c r="F1101" s="3">
        <v>4421145.34</v>
      </c>
      <c r="G1101">
        <v>1661198.5</v>
      </c>
      <c r="H1101">
        <v>2759946.84</v>
      </c>
      <c r="I1101">
        <v>1.86</v>
      </c>
      <c r="J1101">
        <v>4.3</v>
      </c>
      <c r="K1101" t="str">
        <f t="shared" si="17"/>
        <v>Apr 2022</v>
      </c>
    </row>
    <row r="1102" spans="1:11" x14ac:dyDescent="0.25">
      <c r="A1102" s="6">
        <v>45472</v>
      </c>
      <c r="B1102" t="s">
        <v>19</v>
      </c>
      <c r="C1102" t="s">
        <v>20</v>
      </c>
      <c r="D1102" t="s">
        <v>14</v>
      </c>
      <c r="E1102">
        <v>152</v>
      </c>
      <c r="F1102" s="3">
        <v>11979099.369999999</v>
      </c>
      <c r="G1102">
        <v>4352163.03</v>
      </c>
      <c r="H1102">
        <v>7626936.3399999999</v>
      </c>
      <c r="I1102">
        <v>4.01</v>
      </c>
      <c r="J1102">
        <v>4.4000000000000004</v>
      </c>
      <c r="K1102" t="str">
        <f t="shared" si="17"/>
        <v>Jun 2024</v>
      </c>
    </row>
    <row r="1103" spans="1:11" x14ac:dyDescent="0.25">
      <c r="A1103" s="6">
        <v>45642</v>
      </c>
      <c r="B1103" t="s">
        <v>19</v>
      </c>
      <c r="C1103" t="s">
        <v>21</v>
      </c>
      <c r="D1103" t="s">
        <v>14</v>
      </c>
      <c r="E1103">
        <v>171</v>
      </c>
      <c r="F1103" s="3">
        <v>7452128.46</v>
      </c>
      <c r="G1103">
        <v>2894282.08</v>
      </c>
      <c r="H1103">
        <v>4557846.3899999997</v>
      </c>
      <c r="I1103">
        <v>4.4000000000000004</v>
      </c>
      <c r="J1103">
        <v>4.4000000000000004</v>
      </c>
      <c r="K1103" t="str">
        <f t="shared" si="17"/>
        <v>Dec 2024</v>
      </c>
    </row>
    <row r="1104" spans="1:11" x14ac:dyDescent="0.25">
      <c r="A1104" s="6">
        <v>44445</v>
      </c>
      <c r="B1104" t="s">
        <v>19</v>
      </c>
      <c r="C1104" t="s">
        <v>22</v>
      </c>
      <c r="D1104" t="s">
        <v>17</v>
      </c>
      <c r="E1104">
        <v>201</v>
      </c>
      <c r="F1104" s="3">
        <v>14230572.07</v>
      </c>
      <c r="G1104">
        <v>5531675.0199999996</v>
      </c>
      <c r="H1104">
        <v>8698897.0500000007</v>
      </c>
      <c r="I1104">
        <v>3.75</v>
      </c>
      <c r="J1104">
        <v>4.91</v>
      </c>
      <c r="K1104" t="str">
        <f t="shared" si="17"/>
        <v>Sep 2021</v>
      </c>
    </row>
    <row r="1105" spans="1:11" x14ac:dyDescent="0.25">
      <c r="A1105" s="6">
        <v>43848</v>
      </c>
      <c r="B1105" t="s">
        <v>19</v>
      </c>
      <c r="C1105" t="s">
        <v>21</v>
      </c>
      <c r="D1105" t="s">
        <v>14</v>
      </c>
      <c r="E1105">
        <v>435</v>
      </c>
      <c r="F1105" s="3">
        <v>19575162.34</v>
      </c>
      <c r="G1105">
        <v>7112030.3300000001</v>
      </c>
      <c r="H1105">
        <v>12463132.02</v>
      </c>
      <c r="I1105">
        <v>1.87</v>
      </c>
      <c r="J1105">
        <v>4.29</v>
      </c>
      <c r="K1105" t="str">
        <f t="shared" si="17"/>
        <v>Jan 2020</v>
      </c>
    </row>
    <row r="1106" spans="1:11" x14ac:dyDescent="0.25">
      <c r="A1106" s="6">
        <v>45334</v>
      </c>
      <c r="B1106" t="s">
        <v>19</v>
      </c>
      <c r="C1106" t="s">
        <v>21</v>
      </c>
      <c r="D1106" t="s">
        <v>17</v>
      </c>
      <c r="E1106">
        <v>285</v>
      </c>
      <c r="F1106" s="3">
        <v>10336503.51</v>
      </c>
      <c r="G1106">
        <v>3049734.38</v>
      </c>
      <c r="H1106">
        <v>7286769.1299999999</v>
      </c>
      <c r="I1106">
        <v>2.2999999999999998</v>
      </c>
      <c r="J1106">
        <v>3.57</v>
      </c>
      <c r="K1106" t="str">
        <f t="shared" si="17"/>
        <v>Feb 2024</v>
      </c>
    </row>
    <row r="1107" spans="1:11" x14ac:dyDescent="0.25">
      <c r="A1107" s="6">
        <v>44846</v>
      </c>
      <c r="B1107" t="s">
        <v>19</v>
      </c>
      <c r="C1107" t="s">
        <v>20</v>
      </c>
      <c r="D1107" t="s">
        <v>17</v>
      </c>
      <c r="E1107">
        <v>237</v>
      </c>
      <c r="F1107" s="3">
        <v>13070526.630000001</v>
      </c>
      <c r="G1107">
        <v>4035995.68</v>
      </c>
      <c r="H1107">
        <v>9034530.9499999993</v>
      </c>
      <c r="I1107">
        <v>4.03</v>
      </c>
      <c r="J1107">
        <v>3.8</v>
      </c>
      <c r="K1107" t="str">
        <f t="shared" si="17"/>
        <v>Oct 2022</v>
      </c>
    </row>
    <row r="1108" spans="1:11" x14ac:dyDescent="0.25">
      <c r="A1108" s="6">
        <v>44509</v>
      </c>
      <c r="B1108" t="s">
        <v>19</v>
      </c>
      <c r="C1108" t="s">
        <v>22</v>
      </c>
      <c r="D1108" t="s">
        <v>12</v>
      </c>
      <c r="E1108">
        <v>104</v>
      </c>
      <c r="F1108" s="3">
        <v>9264080.6699999999</v>
      </c>
      <c r="G1108">
        <v>2840806.45</v>
      </c>
      <c r="H1108">
        <v>6423274.2199999997</v>
      </c>
      <c r="I1108">
        <v>4.37</v>
      </c>
      <c r="J1108">
        <v>4.5199999999999996</v>
      </c>
      <c r="K1108" t="str">
        <f t="shared" si="17"/>
        <v>Nov 2021</v>
      </c>
    </row>
    <row r="1109" spans="1:11" x14ac:dyDescent="0.25">
      <c r="A1109" s="6">
        <v>45158</v>
      </c>
      <c r="B1109" t="s">
        <v>19</v>
      </c>
      <c r="C1109" t="s">
        <v>20</v>
      </c>
      <c r="D1109" t="s">
        <v>17</v>
      </c>
      <c r="E1109">
        <v>378</v>
      </c>
      <c r="F1109" s="3">
        <v>14582422.619999999</v>
      </c>
      <c r="G1109">
        <v>3065559.06</v>
      </c>
      <c r="H1109">
        <v>11516863.550000001</v>
      </c>
      <c r="I1109">
        <v>4.8499999999999996</v>
      </c>
      <c r="J1109">
        <v>4.71</v>
      </c>
      <c r="K1109" t="str">
        <f t="shared" si="17"/>
        <v>Aug 2023</v>
      </c>
    </row>
    <row r="1110" spans="1:11" x14ac:dyDescent="0.25">
      <c r="A1110" s="6">
        <v>45253</v>
      </c>
      <c r="B1110" t="s">
        <v>19</v>
      </c>
      <c r="C1110" t="s">
        <v>20</v>
      </c>
      <c r="D1110" t="s">
        <v>12</v>
      </c>
      <c r="E1110">
        <v>314</v>
      </c>
      <c r="F1110" s="3">
        <v>11265737.18</v>
      </c>
      <c r="G1110">
        <v>3986057.04</v>
      </c>
      <c r="H1110">
        <v>7279680.1399999997</v>
      </c>
      <c r="I1110">
        <v>1.58</v>
      </c>
      <c r="J1110">
        <v>4.5199999999999996</v>
      </c>
      <c r="K1110" t="str">
        <f t="shared" si="17"/>
        <v>Nov 2023</v>
      </c>
    </row>
    <row r="1111" spans="1:11" x14ac:dyDescent="0.25">
      <c r="A1111" s="6">
        <v>44233</v>
      </c>
      <c r="B1111" t="s">
        <v>19</v>
      </c>
      <c r="C1111" t="s">
        <v>21</v>
      </c>
      <c r="D1111" t="s">
        <v>12</v>
      </c>
      <c r="E1111">
        <v>477</v>
      </c>
      <c r="F1111" s="3">
        <v>29685966.239999998</v>
      </c>
      <c r="G1111">
        <v>11670215.199999999</v>
      </c>
      <c r="H1111">
        <v>18015751.039999999</v>
      </c>
      <c r="I1111">
        <v>4.59</v>
      </c>
      <c r="J1111">
        <v>3.89</v>
      </c>
      <c r="K1111" t="str">
        <f t="shared" si="17"/>
        <v>Feb 2021</v>
      </c>
    </row>
    <row r="1112" spans="1:11" x14ac:dyDescent="0.25">
      <c r="A1112" s="6">
        <v>43939</v>
      </c>
      <c r="B1112" t="s">
        <v>19</v>
      </c>
      <c r="C1112" t="s">
        <v>22</v>
      </c>
      <c r="D1112" t="s">
        <v>17</v>
      </c>
      <c r="E1112">
        <v>409</v>
      </c>
      <c r="F1112" s="3">
        <v>31306854.93</v>
      </c>
      <c r="G1112">
        <v>9860683.3100000005</v>
      </c>
      <c r="H1112">
        <v>21446171.609999999</v>
      </c>
      <c r="I1112">
        <v>1.44</v>
      </c>
      <c r="J1112">
        <v>4.3499999999999996</v>
      </c>
      <c r="K1112" t="str">
        <f t="shared" si="17"/>
        <v>Apr 2020</v>
      </c>
    </row>
    <row r="1113" spans="1:11" x14ac:dyDescent="0.25">
      <c r="A1113" s="6">
        <v>43901</v>
      </c>
      <c r="B1113" t="s">
        <v>19</v>
      </c>
      <c r="C1113" t="s">
        <v>23</v>
      </c>
      <c r="D1113" t="s">
        <v>12</v>
      </c>
      <c r="E1113">
        <v>240</v>
      </c>
      <c r="F1113" s="3">
        <v>19518159.02</v>
      </c>
      <c r="G1113">
        <v>6051589.0700000003</v>
      </c>
      <c r="H1113">
        <v>13466569.949999999</v>
      </c>
      <c r="I1113">
        <v>2.2799999999999998</v>
      </c>
      <c r="J1113">
        <v>4.8899999999999997</v>
      </c>
      <c r="K1113" t="str">
        <f t="shared" si="17"/>
        <v>Mar 2020</v>
      </c>
    </row>
    <row r="1114" spans="1:11" x14ac:dyDescent="0.25">
      <c r="A1114" s="6">
        <v>45615</v>
      </c>
      <c r="B1114" t="s">
        <v>19</v>
      </c>
      <c r="C1114" t="s">
        <v>22</v>
      </c>
      <c r="D1114" t="s">
        <v>17</v>
      </c>
      <c r="E1114">
        <v>400</v>
      </c>
      <c r="F1114" s="3">
        <v>34281233.170000002</v>
      </c>
      <c r="G1114">
        <v>13105766.85</v>
      </c>
      <c r="H1114">
        <v>21175466.32</v>
      </c>
      <c r="I1114">
        <v>1.38</v>
      </c>
      <c r="J1114">
        <v>3.57</v>
      </c>
      <c r="K1114" t="str">
        <f t="shared" si="17"/>
        <v>Nov 2024</v>
      </c>
    </row>
    <row r="1115" spans="1:11" x14ac:dyDescent="0.25">
      <c r="A1115" s="6">
        <v>45645</v>
      </c>
      <c r="B1115" t="s">
        <v>19</v>
      </c>
      <c r="C1115" t="s">
        <v>24</v>
      </c>
      <c r="D1115" t="s">
        <v>17</v>
      </c>
      <c r="E1115">
        <v>345</v>
      </c>
      <c r="F1115" s="3">
        <v>28100029.780000001</v>
      </c>
      <c r="G1115">
        <v>7040068.4400000004</v>
      </c>
      <c r="H1115">
        <v>21059961.34</v>
      </c>
      <c r="I1115">
        <v>2.93</v>
      </c>
      <c r="J1115">
        <v>4.38</v>
      </c>
      <c r="K1115" t="str">
        <f t="shared" si="17"/>
        <v>Dec 2024</v>
      </c>
    </row>
    <row r="1116" spans="1:11" x14ac:dyDescent="0.25">
      <c r="A1116" s="6">
        <v>44409</v>
      </c>
      <c r="B1116" t="s">
        <v>19</v>
      </c>
      <c r="C1116" t="s">
        <v>22</v>
      </c>
      <c r="D1116" t="s">
        <v>17</v>
      </c>
      <c r="E1116">
        <v>266</v>
      </c>
      <c r="F1116" s="3">
        <v>13420071.880000001</v>
      </c>
      <c r="G1116">
        <v>3911424.66</v>
      </c>
      <c r="H1116">
        <v>9508647.2100000009</v>
      </c>
      <c r="I1116">
        <v>1.1299999999999999</v>
      </c>
      <c r="J1116">
        <v>4.7</v>
      </c>
      <c r="K1116" t="str">
        <f t="shared" si="17"/>
        <v>Aug 2021</v>
      </c>
    </row>
    <row r="1117" spans="1:11" x14ac:dyDescent="0.25">
      <c r="A1117" s="6">
        <v>45115</v>
      </c>
      <c r="B1117" t="s">
        <v>19</v>
      </c>
      <c r="C1117" t="s">
        <v>22</v>
      </c>
      <c r="D1117" t="s">
        <v>14</v>
      </c>
      <c r="E1117">
        <v>114</v>
      </c>
      <c r="F1117" s="3">
        <v>4088040.27</v>
      </c>
      <c r="G1117">
        <v>1289039.6499999999</v>
      </c>
      <c r="H1117">
        <v>2799000.62</v>
      </c>
      <c r="I1117">
        <v>2.2799999999999998</v>
      </c>
      <c r="J1117">
        <v>3.94</v>
      </c>
      <c r="K1117" t="str">
        <f t="shared" si="17"/>
        <v>Jul 2023</v>
      </c>
    </row>
    <row r="1118" spans="1:11" x14ac:dyDescent="0.25">
      <c r="A1118" s="6">
        <v>44887</v>
      </c>
      <c r="B1118" t="s">
        <v>19</v>
      </c>
      <c r="C1118" t="s">
        <v>20</v>
      </c>
      <c r="D1118" t="s">
        <v>14</v>
      </c>
      <c r="E1118">
        <v>112</v>
      </c>
      <c r="F1118" s="3">
        <v>8943242.4000000004</v>
      </c>
      <c r="G1118">
        <v>2312977.65</v>
      </c>
      <c r="H1118">
        <v>6630264.75</v>
      </c>
      <c r="I1118">
        <v>3.78</v>
      </c>
      <c r="J1118">
        <v>4.66</v>
      </c>
      <c r="K1118" t="str">
        <f t="shared" si="17"/>
        <v>Nov 2022</v>
      </c>
    </row>
    <row r="1119" spans="1:11" x14ac:dyDescent="0.25">
      <c r="A1119" s="6">
        <v>44468</v>
      </c>
      <c r="B1119" t="s">
        <v>19</v>
      </c>
      <c r="C1119" t="s">
        <v>24</v>
      </c>
      <c r="D1119" t="s">
        <v>14</v>
      </c>
      <c r="E1119">
        <v>310</v>
      </c>
      <c r="F1119" s="3">
        <v>26643429.98</v>
      </c>
      <c r="G1119">
        <v>7187986.96</v>
      </c>
      <c r="H1119">
        <v>19455443.02</v>
      </c>
      <c r="I1119">
        <v>4.62</v>
      </c>
      <c r="J1119">
        <v>4.78</v>
      </c>
      <c r="K1119" t="str">
        <f t="shared" si="17"/>
        <v>Sep 2021</v>
      </c>
    </row>
    <row r="1120" spans="1:11" x14ac:dyDescent="0.25">
      <c r="A1120" s="6">
        <v>44146</v>
      </c>
      <c r="B1120" t="s">
        <v>19</v>
      </c>
      <c r="C1120" t="s">
        <v>23</v>
      </c>
      <c r="D1120" t="s">
        <v>14</v>
      </c>
      <c r="E1120">
        <v>317</v>
      </c>
      <c r="F1120" s="3">
        <v>16864207.059999999</v>
      </c>
      <c r="G1120">
        <v>6531310.5899999999</v>
      </c>
      <c r="H1120">
        <v>10332896.470000001</v>
      </c>
      <c r="I1120">
        <v>1.9</v>
      </c>
      <c r="J1120">
        <v>3.99</v>
      </c>
      <c r="K1120" t="str">
        <f t="shared" si="17"/>
        <v>Nov 2020</v>
      </c>
    </row>
    <row r="1121" spans="1:11" x14ac:dyDescent="0.25">
      <c r="A1121" s="6">
        <v>44666</v>
      </c>
      <c r="B1121" t="s">
        <v>19</v>
      </c>
      <c r="C1121" t="s">
        <v>21</v>
      </c>
      <c r="D1121" t="s">
        <v>12</v>
      </c>
      <c r="E1121">
        <v>148</v>
      </c>
      <c r="F1121" s="3">
        <v>9993163.9900000002</v>
      </c>
      <c r="G1121">
        <v>3448197.61</v>
      </c>
      <c r="H1121">
        <v>6544966.3799999999</v>
      </c>
      <c r="I1121">
        <v>3.03</v>
      </c>
      <c r="J1121">
        <v>4.07</v>
      </c>
      <c r="K1121" t="str">
        <f t="shared" si="17"/>
        <v>Apr 2022</v>
      </c>
    </row>
    <row r="1122" spans="1:11" x14ac:dyDescent="0.25">
      <c r="A1122" s="6">
        <v>44723</v>
      </c>
      <c r="B1122" t="s">
        <v>19</v>
      </c>
      <c r="C1122" t="s">
        <v>24</v>
      </c>
      <c r="D1122" t="s">
        <v>12</v>
      </c>
      <c r="E1122">
        <v>480</v>
      </c>
      <c r="F1122" s="3">
        <v>35629662.380000003</v>
      </c>
      <c r="G1122">
        <v>8830562.0700000003</v>
      </c>
      <c r="H1122">
        <v>26799100.32</v>
      </c>
      <c r="I1122">
        <v>3.03</v>
      </c>
      <c r="J1122">
        <v>4.66</v>
      </c>
      <c r="K1122" t="str">
        <f t="shared" si="17"/>
        <v>Jun 2022</v>
      </c>
    </row>
    <row r="1123" spans="1:11" x14ac:dyDescent="0.25">
      <c r="A1123" s="6">
        <v>45570</v>
      </c>
      <c r="B1123" t="s">
        <v>19</v>
      </c>
      <c r="C1123" t="s">
        <v>22</v>
      </c>
      <c r="D1123" t="s">
        <v>12</v>
      </c>
      <c r="E1123">
        <v>408</v>
      </c>
      <c r="F1123" s="3">
        <v>15187329.75</v>
      </c>
      <c r="G1123">
        <v>3916317.57</v>
      </c>
      <c r="H1123">
        <v>11271012.18</v>
      </c>
      <c r="I1123">
        <v>1</v>
      </c>
      <c r="J1123">
        <v>4.16</v>
      </c>
      <c r="K1123" t="str">
        <f t="shared" si="17"/>
        <v>Oct 2024</v>
      </c>
    </row>
    <row r="1124" spans="1:11" x14ac:dyDescent="0.25">
      <c r="A1124" s="6">
        <v>44819</v>
      </c>
      <c r="B1124" t="s">
        <v>19</v>
      </c>
      <c r="C1124" t="s">
        <v>23</v>
      </c>
      <c r="D1124" t="s">
        <v>12</v>
      </c>
      <c r="E1124">
        <v>228</v>
      </c>
      <c r="F1124" s="3">
        <v>8374121.9900000002</v>
      </c>
      <c r="G1124">
        <v>2283773.11</v>
      </c>
      <c r="H1124">
        <v>6090348.8799999999</v>
      </c>
      <c r="I1124">
        <v>1.91</v>
      </c>
      <c r="J1124">
        <v>4.26</v>
      </c>
      <c r="K1124" t="str">
        <f t="shared" si="17"/>
        <v>Sep 2022</v>
      </c>
    </row>
    <row r="1125" spans="1:11" x14ac:dyDescent="0.25">
      <c r="A1125" s="6">
        <v>44606</v>
      </c>
      <c r="B1125" t="s">
        <v>19</v>
      </c>
      <c r="C1125" t="s">
        <v>23</v>
      </c>
      <c r="D1125" t="s">
        <v>12</v>
      </c>
      <c r="E1125">
        <v>271</v>
      </c>
      <c r="F1125" s="3">
        <v>11561735.33</v>
      </c>
      <c r="G1125">
        <v>3227071.38</v>
      </c>
      <c r="H1125">
        <v>8334663.9500000002</v>
      </c>
      <c r="I1125">
        <v>2.93</v>
      </c>
      <c r="J1125">
        <v>3.8</v>
      </c>
      <c r="K1125" t="str">
        <f t="shared" si="17"/>
        <v>Feb 2022</v>
      </c>
    </row>
    <row r="1126" spans="1:11" x14ac:dyDescent="0.25">
      <c r="A1126" s="6">
        <v>44954</v>
      </c>
      <c r="B1126" t="s">
        <v>19</v>
      </c>
      <c r="C1126" t="s">
        <v>22</v>
      </c>
      <c r="D1126" t="s">
        <v>12</v>
      </c>
      <c r="E1126">
        <v>62</v>
      </c>
      <c r="F1126" s="3">
        <v>2432501.4900000002</v>
      </c>
      <c r="G1126">
        <v>832036.43</v>
      </c>
      <c r="H1126">
        <v>1600465.06</v>
      </c>
      <c r="I1126">
        <v>1.23</v>
      </c>
      <c r="J1126">
        <v>4.8899999999999997</v>
      </c>
      <c r="K1126" t="str">
        <f t="shared" si="17"/>
        <v>Jan 2023</v>
      </c>
    </row>
    <row r="1127" spans="1:11" x14ac:dyDescent="0.25">
      <c r="A1127" s="6">
        <v>45455</v>
      </c>
      <c r="B1127" t="s">
        <v>19</v>
      </c>
      <c r="C1127" t="s">
        <v>20</v>
      </c>
      <c r="D1127" t="s">
        <v>17</v>
      </c>
      <c r="E1127">
        <v>94</v>
      </c>
      <c r="F1127" s="3">
        <v>4818426.16</v>
      </c>
      <c r="G1127">
        <v>1825707.2</v>
      </c>
      <c r="H1127">
        <v>2992718.95</v>
      </c>
      <c r="I1127">
        <v>2.5499999999999998</v>
      </c>
      <c r="J1127">
        <v>3.83</v>
      </c>
      <c r="K1127" t="str">
        <f t="shared" si="17"/>
        <v>Jun 2024</v>
      </c>
    </row>
    <row r="1128" spans="1:11" x14ac:dyDescent="0.25">
      <c r="A1128" s="6">
        <v>43848</v>
      </c>
      <c r="B1128" t="s">
        <v>19</v>
      </c>
      <c r="C1128" t="s">
        <v>23</v>
      </c>
      <c r="D1128" t="s">
        <v>14</v>
      </c>
      <c r="E1128">
        <v>389</v>
      </c>
      <c r="F1128" s="3">
        <v>32711299.77</v>
      </c>
      <c r="G1128">
        <v>9556002.7599999998</v>
      </c>
      <c r="H1128">
        <v>23155297.010000002</v>
      </c>
      <c r="I1128">
        <v>4.13</v>
      </c>
      <c r="J1128">
        <v>4.84</v>
      </c>
      <c r="K1128" t="str">
        <f t="shared" si="17"/>
        <v>Jan 2020</v>
      </c>
    </row>
    <row r="1129" spans="1:11" x14ac:dyDescent="0.25">
      <c r="A1129" s="6">
        <v>44773</v>
      </c>
      <c r="B1129" t="s">
        <v>19</v>
      </c>
      <c r="C1129" t="s">
        <v>21</v>
      </c>
      <c r="D1129" t="s">
        <v>12</v>
      </c>
      <c r="E1129">
        <v>280</v>
      </c>
      <c r="F1129" s="3">
        <v>23765158</v>
      </c>
      <c r="G1129">
        <v>8212610.0199999996</v>
      </c>
      <c r="H1129">
        <v>15552547.98</v>
      </c>
      <c r="I1129">
        <v>3.41</v>
      </c>
      <c r="J1129">
        <v>3.5</v>
      </c>
      <c r="K1129" t="str">
        <f t="shared" si="17"/>
        <v>Jul 2022</v>
      </c>
    </row>
    <row r="1130" spans="1:11" x14ac:dyDescent="0.25">
      <c r="A1130" s="6">
        <v>44146</v>
      </c>
      <c r="B1130" t="s">
        <v>19</v>
      </c>
      <c r="C1130" t="s">
        <v>24</v>
      </c>
      <c r="D1130" t="s">
        <v>14</v>
      </c>
      <c r="E1130">
        <v>282</v>
      </c>
      <c r="F1130" s="3">
        <v>14597157.310000001</v>
      </c>
      <c r="G1130">
        <v>5358161.45</v>
      </c>
      <c r="H1130">
        <v>9238995.8699999992</v>
      </c>
      <c r="I1130">
        <v>2.9</v>
      </c>
      <c r="J1130">
        <v>4.2300000000000004</v>
      </c>
      <c r="K1130" t="str">
        <f t="shared" si="17"/>
        <v>Nov 2020</v>
      </c>
    </row>
    <row r="1131" spans="1:11" x14ac:dyDescent="0.25">
      <c r="A1131" s="6">
        <v>45651</v>
      </c>
      <c r="B1131" t="s">
        <v>19</v>
      </c>
      <c r="C1131" t="s">
        <v>21</v>
      </c>
      <c r="D1131" t="s">
        <v>12</v>
      </c>
      <c r="E1131">
        <v>274</v>
      </c>
      <c r="F1131" s="3">
        <v>11396371.09</v>
      </c>
      <c r="G1131">
        <v>3789030.88</v>
      </c>
      <c r="H1131">
        <v>7607340.21</v>
      </c>
      <c r="I1131">
        <v>4.74</v>
      </c>
      <c r="J1131">
        <v>3.98</v>
      </c>
      <c r="K1131" t="str">
        <f t="shared" si="17"/>
        <v>Dec 2024</v>
      </c>
    </row>
    <row r="1132" spans="1:11" x14ac:dyDescent="0.25">
      <c r="A1132" s="6">
        <v>45143</v>
      </c>
      <c r="B1132" t="s">
        <v>19</v>
      </c>
      <c r="C1132" t="s">
        <v>23</v>
      </c>
      <c r="D1132" t="s">
        <v>17</v>
      </c>
      <c r="E1132">
        <v>145</v>
      </c>
      <c r="F1132" s="3">
        <v>9525863.4700000007</v>
      </c>
      <c r="G1132">
        <v>3040967.74</v>
      </c>
      <c r="H1132">
        <v>6484895.7300000004</v>
      </c>
      <c r="I1132">
        <v>0.79</v>
      </c>
      <c r="J1132">
        <v>3.88</v>
      </c>
      <c r="K1132" t="str">
        <f t="shared" si="17"/>
        <v>Aug 2023</v>
      </c>
    </row>
    <row r="1133" spans="1:11" x14ac:dyDescent="0.25">
      <c r="A1133" s="6">
        <v>45124</v>
      </c>
      <c r="B1133" t="s">
        <v>19</v>
      </c>
      <c r="C1133" t="s">
        <v>23</v>
      </c>
      <c r="D1133" t="s">
        <v>14</v>
      </c>
      <c r="E1133">
        <v>317</v>
      </c>
      <c r="F1133" s="3">
        <v>15484824.33</v>
      </c>
      <c r="G1133">
        <v>4653968.58</v>
      </c>
      <c r="H1133">
        <v>10830855.75</v>
      </c>
      <c r="I1133">
        <v>1.85</v>
      </c>
      <c r="J1133">
        <v>3.93</v>
      </c>
      <c r="K1133" t="str">
        <f t="shared" si="17"/>
        <v>Jul 2023</v>
      </c>
    </row>
    <row r="1134" spans="1:11" x14ac:dyDescent="0.25">
      <c r="A1134" s="6">
        <v>43925</v>
      </c>
      <c r="B1134" t="s">
        <v>19</v>
      </c>
      <c r="C1134" t="s">
        <v>23</v>
      </c>
      <c r="D1134" t="s">
        <v>12</v>
      </c>
      <c r="E1134">
        <v>130</v>
      </c>
      <c r="F1134" s="3">
        <v>6457484.25</v>
      </c>
      <c r="G1134">
        <v>1321698.56</v>
      </c>
      <c r="H1134">
        <v>5135785.6900000004</v>
      </c>
      <c r="I1134">
        <v>2.35</v>
      </c>
      <c r="J1134">
        <v>3.55</v>
      </c>
      <c r="K1134" t="str">
        <f t="shared" si="17"/>
        <v>Apr 2020</v>
      </c>
    </row>
    <row r="1135" spans="1:11" x14ac:dyDescent="0.25">
      <c r="A1135" s="6">
        <v>44307</v>
      </c>
      <c r="B1135" t="s">
        <v>19</v>
      </c>
      <c r="C1135" t="s">
        <v>20</v>
      </c>
      <c r="D1135" t="s">
        <v>14</v>
      </c>
      <c r="E1135">
        <v>273</v>
      </c>
      <c r="F1135" s="3">
        <v>23192612.280000001</v>
      </c>
      <c r="G1135">
        <v>8165831.7000000002</v>
      </c>
      <c r="H1135">
        <v>15026780.58</v>
      </c>
      <c r="I1135">
        <v>1.1499999999999999</v>
      </c>
      <c r="J1135">
        <v>4.2300000000000004</v>
      </c>
      <c r="K1135" t="str">
        <f t="shared" si="17"/>
        <v>Apr 2021</v>
      </c>
    </row>
    <row r="1136" spans="1:11" x14ac:dyDescent="0.25">
      <c r="A1136" s="6">
        <v>44426</v>
      </c>
      <c r="B1136" t="s">
        <v>19</v>
      </c>
      <c r="C1136" t="s">
        <v>20</v>
      </c>
      <c r="D1136" t="s">
        <v>14</v>
      </c>
      <c r="E1136">
        <v>209</v>
      </c>
      <c r="F1136" s="3">
        <v>13670506.060000001</v>
      </c>
      <c r="G1136">
        <v>3847709.59</v>
      </c>
      <c r="H1136">
        <v>9822796.4700000007</v>
      </c>
      <c r="I1136">
        <v>0.86</v>
      </c>
      <c r="J1136">
        <v>4.05</v>
      </c>
      <c r="K1136" t="str">
        <f t="shared" si="17"/>
        <v>Aug 2021</v>
      </c>
    </row>
    <row r="1137" spans="1:11" x14ac:dyDescent="0.25">
      <c r="A1137" s="6">
        <v>44323</v>
      </c>
      <c r="B1137" t="s">
        <v>19</v>
      </c>
      <c r="C1137" t="s">
        <v>22</v>
      </c>
      <c r="D1137" t="s">
        <v>14</v>
      </c>
      <c r="E1137">
        <v>450</v>
      </c>
      <c r="F1137" s="3">
        <v>33773354.630000003</v>
      </c>
      <c r="G1137">
        <v>11025087.82</v>
      </c>
      <c r="H1137">
        <v>22748266.809999999</v>
      </c>
      <c r="I1137">
        <v>3.35</v>
      </c>
      <c r="J1137">
        <v>4.45</v>
      </c>
      <c r="K1137" t="str">
        <f t="shared" si="17"/>
        <v>May 2021</v>
      </c>
    </row>
    <row r="1138" spans="1:11" x14ac:dyDescent="0.25">
      <c r="A1138" s="6">
        <v>43838</v>
      </c>
      <c r="B1138" t="s">
        <v>19</v>
      </c>
      <c r="C1138" t="s">
        <v>21</v>
      </c>
      <c r="D1138" t="s">
        <v>17</v>
      </c>
      <c r="E1138">
        <v>444</v>
      </c>
      <c r="F1138" s="3">
        <v>35477266.340000004</v>
      </c>
      <c r="G1138">
        <v>8526286.0099999998</v>
      </c>
      <c r="H1138">
        <v>26950980.329999998</v>
      </c>
      <c r="I1138">
        <v>1.18</v>
      </c>
      <c r="J1138">
        <v>4.26</v>
      </c>
      <c r="K1138" t="str">
        <f t="shared" si="17"/>
        <v>Jan 2020</v>
      </c>
    </row>
    <row r="1139" spans="1:11" x14ac:dyDescent="0.25">
      <c r="A1139" s="6">
        <v>44534</v>
      </c>
      <c r="B1139" t="s">
        <v>19</v>
      </c>
      <c r="C1139" t="s">
        <v>24</v>
      </c>
      <c r="D1139" t="s">
        <v>17</v>
      </c>
      <c r="E1139">
        <v>398</v>
      </c>
      <c r="F1139" s="3">
        <v>32719474.239999998</v>
      </c>
      <c r="G1139">
        <v>10954748.890000001</v>
      </c>
      <c r="H1139">
        <v>21764725.34</v>
      </c>
      <c r="I1139">
        <v>1.49</v>
      </c>
      <c r="J1139">
        <v>4.57</v>
      </c>
      <c r="K1139" t="str">
        <f t="shared" si="17"/>
        <v>Dec 2021</v>
      </c>
    </row>
    <row r="1140" spans="1:11" x14ac:dyDescent="0.25">
      <c r="A1140" s="6">
        <v>45550</v>
      </c>
      <c r="B1140" t="s">
        <v>19</v>
      </c>
      <c r="C1140" t="s">
        <v>23</v>
      </c>
      <c r="D1140" t="s">
        <v>14</v>
      </c>
      <c r="E1140">
        <v>196</v>
      </c>
      <c r="F1140" s="3">
        <v>10618619.34</v>
      </c>
      <c r="G1140">
        <v>4043195.3</v>
      </c>
      <c r="H1140">
        <v>6575424.04</v>
      </c>
      <c r="I1140">
        <v>4.7300000000000004</v>
      </c>
      <c r="J1140">
        <v>4.0999999999999996</v>
      </c>
      <c r="K1140" t="str">
        <f t="shared" si="17"/>
        <v>Sep 2024</v>
      </c>
    </row>
    <row r="1141" spans="1:11" x14ac:dyDescent="0.25">
      <c r="A1141" s="6">
        <v>44577</v>
      </c>
      <c r="B1141" t="s">
        <v>19</v>
      </c>
      <c r="C1141" t="s">
        <v>20</v>
      </c>
      <c r="D1141" t="s">
        <v>12</v>
      </c>
      <c r="E1141">
        <v>88</v>
      </c>
      <c r="F1141" s="3">
        <v>7613773.1500000004</v>
      </c>
      <c r="G1141">
        <v>2836098.6</v>
      </c>
      <c r="H1141">
        <v>4777674.54</v>
      </c>
      <c r="I1141">
        <v>2.0299999999999998</v>
      </c>
      <c r="J1141">
        <v>3.67</v>
      </c>
      <c r="K1141" t="str">
        <f t="shared" si="17"/>
        <v>Jan 2022</v>
      </c>
    </row>
    <row r="1142" spans="1:11" x14ac:dyDescent="0.25">
      <c r="A1142" s="6">
        <v>44392</v>
      </c>
      <c r="B1142" t="s">
        <v>19</v>
      </c>
      <c r="C1142" t="s">
        <v>21</v>
      </c>
      <c r="D1142" t="s">
        <v>14</v>
      </c>
      <c r="E1142">
        <v>200</v>
      </c>
      <c r="F1142" s="3">
        <v>12955927.710000001</v>
      </c>
      <c r="G1142">
        <v>3379464.61</v>
      </c>
      <c r="H1142">
        <v>9576463.0999999996</v>
      </c>
      <c r="I1142">
        <v>1.53</v>
      </c>
      <c r="J1142">
        <v>3.76</v>
      </c>
      <c r="K1142" t="str">
        <f t="shared" si="17"/>
        <v>Jul 2021</v>
      </c>
    </row>
    <row r="1143" spans="1:11" x14ac:dyDescent="0.25">
      <c r="A1143" s="6">
        <v>44018</v>
      </c>
      <c r="B1143" t="s">
        <v>19</v>
      </c>
      <c r="C1143" t="s">
        <v>22</v>
      </c>
      <c r="D1143" t="s">
        <v>14</v>
      </c>
      <c r="E1143">
        <v>161</v>
      </c>
      <c r="F1143" s="3">
        <v>10551303.189999999</v>
      </c>
      <c r="G1143">
        <v>3102820.51</v>
      </c>
      <c r="H1143">
        <v>7448482.6799999997</v>
      </c>
      <c r="I1143">
        <v>1.59</v>
      </c>
      <c r="J1143">
        <v>3.64</v>
      </c>
      <c r="K1143" t="str">
        <f t="shared" si="17"/>
        <v>Jul 2020</v>
      </c>
    </row>
    <row r="1144" spans="1:11" x14ac:dyDescent="0.25">
      <c r="A1144" s="6">
        <v>44205</v>
      </c>
      <c r="B1144" t="s">
        <v>19</v>
      </c>
      <c r="C1144" t="s">
        <v>24</v>
      </c>
      <c r="D1144" t="s">
        <v>17</v>
      </c>
      <c r="E1144">
        <v>189</v>
      </c>
      <c r="F1144" s="3">
        <v>12418460.449999999</v>
      </c>
      <c r="G1144">
        <v>2775187.28</v>
      </c>
      <c r="H1144">
        <v>9643273.1699999999</v>
      </c>
      <c r="I1144">
        <v>1.35</v>
      </c>
      <c r="J1144">
        <v>3.92</v>
      </c>
      <c r="K1144" t="str">
        <f t="shared" si="17"/>
        <v>Jan 2021</v>
      </c>
    </row>
    <row r="1145" spans="1:11" x14ac:dyDescent="0.25">
      <c r="A1145" s="6">
        <v>45019</v>
      </c>
      <c r="B1145" t="s">
        <v>19</v>
      </c>
      <c r="C1145" t="s">
        <v>24</v>
      </c>
      <c r="D1145" t="s">
        <v>12</v>
      </c>
      <c r="E1145">
        <v>196</v>
      </c>
      <c r="F1145" s="3">
        <v>14685802.220000001</v>
      </c>
      <c r="G1145">
        <v>3239364.12</v>
      </c>
      <c r="H1145">
        <v>11446438.1</v>
      </c>
      <c r="I1145">
        <v>4.49</v>
      </c>
      <c r="J1145">
        <v>4.67</v>
      </c>
      <c r="K1145" t="str">
        <f t="shared" si="17"/>
        <v>Apr 2023</v>
      </c>
    </row>
    <row r="1146" spans="1:11" x14ac:dyDescent="0.25">
      <c r="A1146" s="6">
        <v>44213</v>
      </c>
      <c r="B1146" t="s">
        <v>19</v>
      </c>
      <c r="C1146" t="s">
        <v>20</v>
      </c>
      <c r="D1146" t="s">
        <v>14</v>
      </c>
      <c r="E1146">
        <v>457</v>
      </c>
      <c r="F1146" s="3">
        <v>37383086.560000002</v>
      </c>
      <c r="G1146">
        <v>7957849.8300000001</v>
      </c>
      <c r="H1146">
        <v>29425236.73</v>
      </c>
      <c r="I1146">
        <v>4.03</v>
      </c>
      <c r="J1146">
        <v>4.5</v>
      </c>
      <c r="K1146" t="str">
        <f t="shared" si="17"/>
        <v>Jan 2021</v>
      </c>
    </row>
    <row r="1147" spans="1:11" x14ac:dyDescent="0.25">
      <c r="A1147" s="6">
        <v>43990</v>
      </c>
      <c r="B1147" t="s">
        <v>19</v>
      </c>
      <c r="C1147" t="s">
        <v>24</v>
      </c>
      <c r="D1147" t="s">
        <v>14</v>
      </c>
      <c r="E1147">
        <v>303</v>
      </c>
      <c r="F1147" s="3">
        <v>10758268.869999999</v>
      </c>
      <c r="G1147">
        <v>4084975.92</v>
      </c>
      <c r="H1147">
        <v>6673292.9500000002</v>
      </c>
      <c r="I1147">
        <v>3.49</v>
      </c>
      <c r="J1147">
        <v>3.51</v>
      </c>
      <c r="K1147" t="str">
        <f t="shared" si="17"/>
        <v>Jun 2020</v>
      </c>
    </row>
    <row r="1148" spans="1:11" x14ac:dyDescent="0.25">
      <c r="A1148" s="6">
        <v>45571</v>
      </c>
      <c r="B1148" t="s">
        <v>19</v>
      </c>
      <c r="C1148" t="s">
        <v>22</v>
      </c>
      <c r="D1148" t="s">
        <v>14</v>
      </c>
      <c r="E1148">
        <v>433</v>
      </c>
      <c r="F1148" s="3">
        <v>22427240.329999998</v>
      </c>
      <c r="G1148">
        <v>6792700.8600000003</v>
      </c>
      <c r="H1148">
        <v>15634539.470000001</v>
      </c>
      <c r="I1148">
        <v>2.52</v>
      </c>
      <c r="J1148">
        <v>4.99</v>
      </c>
      <c r="K1148" t="str">
        <f t="shared" si="17"/>
        <v>Oct 2024</v>
      </c>
    </row>
    <row r="1149" spans="1:11" x14ac:dyDescent="0.25">
      <c r="A1149" s="6">
        <v>44073</v>
      </c>
      <c r="B1149" t="s">
        <v>19</v>
      </c>
      <c r="C1149" t="s">
        <v>21</v>
      </c>
      <c r="D1149" t="s">
        <v>17</v>
      </c>
      <c r="E1149">
        <v>210</v>
      </c>
      <c r="F1149" s="3">
        <v>7558770.4500000002</v>
      </c>
      <c r="G1149">
        <v>2276862.34</v>
      </c>
      <c r="H1149">
        <v>5281908.1100000003</v>
      </c>
      <c r="I1149">
        <v>1.3</v>
      </c>
      <c r="J1149">
        <v>4.05</v>
      </c>
      <c r="K1149" t="str">
        <f t="shared" si="17"/>
        <v>Aug 2020</v>
      </c>
    </row>
    <row r="1150" spans="1:11" x14ac:dyDescent="0.25">
      <c r="A1150" s="6">
        <v>44303</v>
      </c>
      <c r="B1150" t="s">
        <v>19</v>
      </c>
      <c r="C1150" t="s">
        <v>20</v>
      </c>
      <c r="D1150" t="s">
        <v>14</v>
      </c>
      <c r="E1150">
        <v>441</v>
      </c>
      <c r="F1150" s="3">
        <v>36032913.82</v>
      </c>
      <c r="G1150">
        <v>9674023.7899999991</v>
      </c>
      <c r="H1150">
        <v>26358890.030000001</v>
      </c>
      <c r="I1150">
        <v>3.06</v>
      </c>
      <c r="J1150">
        <v>3.64</v>
      </c>
      <c r="K1150" t="str">
        <f t="shared" si="17"/>
        <v>Apr 2021</v>
      </c>
    </row>
    <row r="1151" spans="1:11" x14ac:dyDescent="0.25">
      <c r="A1151" s="6">
        <v>44283</v>
      </c>
      <c r="B1151" t="s">
        <v>19</v>
      </c>
      <c r="C1151" t="s">
        <v>22</v>
      </c>
      <c r="D1151" t="s">
        <v>14</v>
      </c>
      <c r="E1151">
        <v>420</v>
      </c>
      <c r="F1151" s="3">
        <v>29399283.48</v>
      </c>
      <c r="G1151">
        <v>10287033.789999999</v>
      </c>
      <c r="H1151">
        <v>19112249.690000001</v>
      </c>
      <c r="I1151">
        <v>3.15</v>
      </c>
      <c r="J1151">
        <v>4.97</v>
      </c>
      <c r="K1151" t="str">
        <f t="shared" si="17"/>
        <v>Mar 2021</v>
      </c>
    </row>
    <row r="1152" spans="1:11" x14ac:dyDescent="0.25">
      <c r="A1152" s="6">
        <v>44219</v>
      </c>
      <c r="B1152" t="s">
        <v>19</v>
      </c>
      <c r="C1152" t="s">
        <v>24</v>
      </c>
      <c r="D1152" t="s">
        <v>12</v>
      </c>
      <c r="E1152">
        <v>100</v>
      </c>
      <c r="F1152" s="3">
        <v>8406256.0500000007</v>
      </c>
      <c r="G1152">
        <v>2301399.84</v>
      </c>
      <c r="H1152">
        <v>6104856.21</v>
      </c>
      <c r="I1152">
        <v>4.08</v>
      </c>
      <c r="J1152">
        <v>4.25</v>
      </c>
      <c r="K1152" t="str">
        <f t="shared" si="17"/>
        <v>Jan 2021</v>
      </c>
    </row>
    <row r="1153" spans="1:11" x14ac:dyDescent="0.25">
      <c r="A1153" s="6">
        <v>45409</v>
      </c>
      <c r="B1153" t="s">
        <v>19</v>
      </c>
      <c r="C1153" t="s">
        <v>22</v>
      </c>
      <c r="D1153" t="s">
        <v>14</v>
      </c>
      <c r="E1153">
        <v>333</v>
      </c>
      <c r="F1153" s="3">
        <v>23906344.149999999</v>
      </c>
      <c r="G1153">
        <v>5430720.2199999997</v>
      </c>
      <c r="H1153">
        <v>18475623.93</v>
      </c>
      <c r="I1153">
        <v>1.54</v>
      </c>
      <c r="J1153">
        <v>4.25</v>
      </c>
      <c r="K1153" t="str">
        <f t="shared" si="17"/>
        <v>Apr 2024</v>
      </c>
    </row>
    <row r="1154" spans="1:11" x14ac:dyDescent="0.25">
      <c r="A1154" s="6">
        <v>45303</v>
      </c>
      <c r="B1154" t="s">
        <v>19</v>
      </c>
      <c r="C1154" t="s">
        <v>21</v>
      </c>
      <c r="D1154" t="s">
        <v>12</v>
      </c>
      <c r="E1154">
        <v>53</v>
      </c>
      <c r="F1154" s="3">
        <v>1925881.04</v>
      </c>
      <c r="G1154">
        <v>521731.85</v>
      </c>
      <c r="H1154">
        <v>1404149.2</v>
      </c>
      <c r="I1154">
        <v>1.3</v>
      </c>
      <c r="J1154">
        <v>4.91</v>
      </c>
      <c r="K1154" t="str">
        <f t="shared" ref="K1154:K1217" si="18">TEXT(A1154,"mmm yyyy")</f>
        <v>Jan 2024</v>
      </c>
    </row>
    <row r="1155" spans="1:11" x14ac:dyDescent="0.25">
      <c r="A1155" s="6">
        <v>44869</v>
      </c>
      <c r="B1155" t="s">
        <v>19</v>
      </c>
      <c r="C1155" t="s">
        <v>23</v>
      </c>
      <c r="D1155" t="s">
        <v>12</v>
      </c>
      <c r="E1155">
        <v>95</v>
      </c>
      <c r="F1155" s="3">
        <v>8105166.4400000004</v>
      </c>
      <c r="G1155">
        <v>2642027</v>
      </c>
      <c r="H1155">
        <v>5463139.4400000004</v>
      </c>
      <c r="I1155">
        <v>0.56999999999999995</v>
      </c>
      <c r="J1155">
        <v>4.8899999999999997</v>
      </c>
      <c r="K1155" t="str">
        <f t="shared" si="18"/>
        <v>Nov 2022</v>
      </c>
    </row>
    <row r="1156" spans="1:11" x14ac:dyDescent="0.25">
      <c r="A1156" s="6">
        <v>44430</v>
      </c>
      <c r="B1156" t="s">
        <v>19</v>
      </c>
      <c r="C1156" t="s">
        <v>24</v>
      </c>
      <c r="D1156" t="s">
        <v>14</v>
      </c>
      <c r="E1156">
        <v>351</v>
      </c>
      <c r="F1156" s="3">
        <v>30946271.280000001</v>
      </c>
      <c r="G1156">
        <v>6414419.4699999997</v>
      </c>
      <c r="H1156">
        <v>24531851.809999999</v>
      </c>
      <c r="I1156">
        <v>4.34</v>
      </c>
      <c r="J1156">
        <v>3.94</v>
      </c>
      <c r="K1156" t="str">
        <f t="shared" si="18"/>
        <v>Aug 2021</v>
      </c>
    </row>
    <row r="1157" spans="1:11" x14ac:dyDescent="0.25">
      <c r="A1157" s="6">
        <v>45221</v>
      </c>
      <c r="B1157" t="s">
        <v>19</v>
      </c>
      <c r="C1157" t="s">
        <v>24</v>
      </c>
      <c r="D1157" t="s">
        <v>14</v>
      </c>
      <c r="E1157">
        <v>465</v>
      </c>
      <c r="F1157" s="3">
        <v>38042820.369999997</v>
      </c>
      <c r="G1157">
        <v>12805806.77</v>
      </c>
      <c r="H1157">
        <v>25237013.609999999</v>
      </c>
      <c r="I1157">
        <v>1.26</v>
      </c>
      <c r="J1157">
        <v>4.34</v>
      </c>
      <c r="K1157" t="str">
        <f t="shared" si="18"/>
        <v>Oct 2023</v>
      </c>
    </row>
    <row r="1158" spans="1:11" x14ac:dyDescent="0.25">
      <c r="A1158" s="6">
        <v>44561</v>
      </c>
      <c r="B1158" t="s">
        <v>19</v>
      </c>
      <c r="C1158" t="s">
        <v>24</v>
      </c>
      <c r="D1158" t="s">
        <v>17</v>
      </c>
      <c r="E1158">
        <v>272</v>
      </c>
      <c r="F1158" s="3">
        <v>22149428.59</v>
      </c>
      <c r="G1158">
        <v>4739903.1399999997</v>
      </c>
      <c r="H1158">
        <v>17409525.440000001</v>
      </c>
      <c r="I1158">
        <v>0.82</v>
      </c>
      <c r="J1158">
        <v>3.81</v>
      </c>
      <c r="K1158" t="str">
        <f t="shared" si="18"/>
        <v>Dec 2021</v>
      </c>
    </row>
    <row r="1159" spans="1:11" x14ac:dyDescent="0.25">
      <c r="A1159" s="6">
        <v>45161</v>
      </c>
      <c r="B1159" t="s">
        <v>19</v>
      </c>
      <c r="C1159" t="s">
        <v>21</v>
      </c>
      <c r="D1159" t="s">
        <v>17</v>
      </c>
      <c r="E1159">
        <v>480</v>
      </c>
      <c r="F1159" s="3">
        <v>42937421.640000001</v>
      </c>
      <c r="G1159">
        <v>15971999.369999999</v>
      </c>
      <c r="H1159">
        <v>26965422.27</v>
      </c>
      <c r="I1159">
        <v>2.83</v>
      </c>
      <c r="J1159">
        <v>4.82</v>
      </c>
      <c r="K1159" t="str">
        <f t="shared" si="18"/>
        <v>Aug 2023</v>
      </c>
    </row>
    <row r="1160" spans="1:11" x14ac:dyDescent="0.25">
      <c r="A1160" s="6">
        <v>44478</v>
      </c>
      <c r="B1160" t="s">
        <v>19</v>
      </c>
      <c r="C1160" t="s">
        <v>24</v>
      </c>
      <c r="D1160" t="s">
        <v>14</v>
      </c>
      <c r="E1160">
        <v>322</v>
      </c>
      <c r="F1160" s="3">
        <v>26299942.07</v>
      </c>
      <c r="G1160">
        <v>9801350.2100000009</v>
      </c>
      <c r="H1160">
        <v>16498591.859999999</v>
      </c>
      <c r="I1160">
        <v>3.69</v>
      </c>
      <c r="J1160">
        <v>4.33</v>
      </c>
      <c r="K1160" t="str">
        <f t="shared" si="18"/>
        <v>Oct 2021</v>
      </c>
    </row>
    <row r="1161" spans="1:11" x14ac:dyDescent="0.25">
      <c r="A1161" s="6">
        <v>44028</v>
      </c>
      <c r="B1161" t="s">
        <v>19</v>
      </c>
      <c r="C1161" t="s">
        <v>20</v>
      </c>
      <c r="D1161" t="s">
        <v>14</v>
      </c>
      <c r="E1161">
        <v>219</v>
      </c>
      <c r="F1161" s="3">
        <v>17413755.120000001</v>
      </c>
      <c r="G1161">
        <v>4144078.79</v>
      </c>
      <c r="H1161">
        <v>13269676.33</v>
      </c>
      <c r="I1161">
        <v>4.4000000000000004</v>
      </c>
      <c r="J1161">
        <v>4.87</v>
      </c>
      <c r="K1161" t="str">
        <f t="shared" si="18"/>
        <v>Jul 2020</v>
      </c>
    </row>
    <row r="1162" spans="1:11" x14ac:dyDescent="0.25">
      <c r="A1162" s="6">
        <v>45486</v>
      </c>
      <c r="B1162" t="s">
        <v>19</v>
      </c>
      <c r="C1162" t="s">
        <v>23</v>
      </c>
      <c r="D1162" t="s">
        <v>12</v>
      </c>
      <c r="E1162">
        <v>440</v>
      </c>
      <c r="F1162" s="3">
        <v>27536694.329999998</v>
      </c>
      <c r="G1162">
        <v>6618195.6699999999</v>
      </c>
      <c r="H1162">
        <v>20918498.66</v>
      </c>
      <c r="I1162">
        <v>3.42</v>
      </c>
      <c r="J1162">
        <v>4.55</v>
      </c>
      <c r="K1162" t="str">
        <f t="shared" si="18"/>
        <v>Jul 2024</v>
      </c>
    </row>
    <row r="1163" spans="1:11" x14ac:dyDescent="0.25">
      <c r="A1163" s="6">
        <v>45594</v>
      </c>
      <c r="B1163" t="s">
        <v>19</v>
      </c>
      <c r="C1163" t="s">
        <v>20</v>
      </c>
      <c r="D1163" t="s">
        <v>17</v>
      </c>
      <c r="E1163">
        <v>449</v>
      </c>
      <c r="F1163" s="3">
        <v>16968728.870000001</v>
      </c>
      <c r="G1163">
        <v>3778538.35</v>
      </c>
      <c r="H1163">
        <v>13190190.529999999</v>
      </c>
      <c r="I1163">
        <v>0.62</v>
      </c>
      <c r="J1163">
        <v>4.37</v>
      </c>
      <c r="K1163" t="str">
        <f t="shared" si="18"/>
        <v>Oct 2024</v>
      </c>
    </row>
    <row r="1164" spans="1:11" x14ac:dyDescent="0.25">
      <c r="A1164" s="6">
        <v>44518</v>
      </c>
      <c r="B1164" t="s">
        <v>19</v>
      </c>
      <c r="C1164" t="s">
        <v>20</v>
      </c>
      <c r="D1164" t="s">
        <v>12</v>
      </c>
      <c r="E1164">
        <v>337</v>
      </c>
      <c r="F1164" s="3">
        <v>22513422.41</v>
      </c>
      <c r="G1164">
        <v>8843532.25</v>
      </c>
      <c r="H1164">
        <v>13669890.17</v>
      </c>
      <c r="I1164">
        <v>2.6</v>
      </c>
      <c r="J1164">
        <v>4.3099999999999996</v>
      </c>
      <c r="K1164" t="str">
        <f t="shared" si="18"/>
        <v>Nov 2021</v>
      </c>
    </row>
    <row r="1165" spans="1:11" x14ac:dyDescent="0.25">
      <c r="A1165" s="6">
        <v>44347</v>
      </c>
      <c r="B1165" t="s">
        <v>19</v>
      </c>
      <c r="C1165" t="s">
        <v>24</v>
      </c>
      <c r="D1165" t="s">
        <v>12</v>
      </c>
      <c r="E1165">
        <v>174</v>
      </c>
      <c r="F1165" s="3">
        <v>14118593.609999999</v>
      </c>
      <c r="G1165">
        <v>3217896.82</v>
      </c>
      <c r="H1165">
        <v>10900696.800000001</v>
      </c>
      <c r="I1165">
        <v>1.63</v>
      </c>
      <c r="J1165">
        <v>3.56</v>
      </c>
      <c r="K1165" t="str">
        <f t="shared" si="18"/>
        <v>May 2021</v>
      </c>
    </row>
    <row r="1166" spans="1:11" x14ac:dyDescent="0.25">
      <c r="A1166" s="6">
        <v>45146</v>
      </c>
      <c r="B1166" t="s">
        <v>19</v>
      </c>
      <c r="C1166" t="s">
        <v>24</v>
      </c>
      <c r="D1166" t="s">
        <v>12</v>
      </c>
      <c r="E1166">
        <v>320</v>
      </c>
      <c r="F1166" s="3">
        <v>17539355.289999999</v>
      </c>
      <c r="G1166">
        <v>6570030.2199999997</v>
      </c>
      <c r="H1166">
        <v>10969325.07</v>
      </c>
      <c r="I1166">
        <v>2.85</v>
      </c>
      <c r="J1166">
        <v>4.6500000000000004</v>
      </c>
      <c r="K1166" t="str">
        <f t="shared" si="18"/>
        <v>Aug 2023</v>
      </c>
    </row>
    <row r="1167" spans="1:11" x14ac:dyDescent="0.25">
      <c r="A1167" s="6">
        <v>45033</v>
      </c>
      <c r="B1167" t="s">
        <v>19</v>
      </c>
      <c r="C1167" t="s">
        <v>22</v>
      </c>
      <c r="D1167" t="s">
        <v>17</v>
      </c>
      <c r="E1167">
        <v>157</v>
      </c>
      <c r="F1167" s="3">
        <v>10873659.26</v>
      </c>
      <c r="G1167">
        <v>4163855.85</v>
      </c>
      <c r="H1167">
        <v>6709803.4100000001</v>
      </c>
      <c r="I1167">
        <v>0.73</v>
      </c>
      <c r="J1167">
        <v>4.3</v>
      </c>
      <c r="K1167" t="str">
        <f t="shared" si="18"/>
        <v>Apr 2023</v>
      </c>
    </row>
    <row r="1168" spans="1:11" x14ac:dyDescent="0.25">
      <c r="A1168" s="6">
        <v>44121</v>
      </c>
      <c r="B1168" t="s">
        <v>19</v>
      </c>
      <c r="C1168" t="s">
        <v>24</v>
      </c>
      <c r="D1168" t="s">
        <v>14</v>
      </c>
      <c r="E1168">
        <v>96</v>
      </c>
      <c r="F1168" s="3">
        <v>7053424.4699999997</v>
      </c>
      <c r="G1168">
        <v>2626197.17</v>
      </c>
      <c r="H1168">
        <v>4427227.3</v>
      </c>
      <c r="I1168">
        <v>1.1000000000000001</v>
      </c>
      <c r="J1168">
        <v>4.95</v>
      </c>
      <c r="K1168" t="str">
        <f t="shared" si="18"/>
        <v>Oct 2020</v>
      </c>
    </row>
    <row r="1169" spans="1:11" x14ac:dyDescent="0.25">
      <c r="A1169" s="6">
        <v>44922</v>
      </c>
      <c r="B1169" t="s">
        <v>19</v>
      </c>
      <c r="C1169" t="s">
        <v>20</v>
      </c>
      <c r="D1169" t="s">
        <v>17</v>
      </c>
      <c r="E1169">
        <v>155</v>
      </c>
      <c r="F1169" s="3">
        <v>8178203.9299999997</v>
      </c>
      <c r="G1169">
        <v>1970642.6</v>
      </c>
      <c r="H1169">
        <v>6207561.3300000001</v>
      </c>
      <c r="I1169">
        <v>1.72</v>
      </c>
      <c r="J1169">
        <v>4.16</v>
      </c>
      <c r="K1169" t="str">
        <f t="shared" si="18"/>
        <v>Dec 2022</v>
      </c>
    </row>
    <row r="1170" spans="1:11" x14ac:dyDescent="0.25">
      <c r="A1170" s="6">
        <v>44488</v>
      </c>
      <c r="B1170" t="s">
        <v>19</v>
      </c>
      <c r="C1170" t="s">
        <v>24</v>
      </c>
      <c r="D1170" t="s">
        <v>17</v>
      </c>
      <c r="E1170">
        <v>488</v>
      </c>
      <c r="F1170" s="3">
        <v>23813096.550000001</v>
      </c>
      <c r="G1170">
        <v>8647327.5</v>
      </c>
      <c r="H1170">
        <v>15165769.050000001</v>
      </c>
      <c r="I1170">
        <v>0.86</v>
      </c>
      <c r="J1170">
        <v>4.1399999999999997</v>
      </c>
      <c r="K1170" t="str">
        <f t="shared" si="18"/>
        <v>Oct 2021</v>
      </c>
    </row>
    <row r="1171" spans="1:11" x14ac:dyDescent="0.25">
      <c r="A1171" s="6">
        <v>43936</v>
      </c>
      <c r="B1171" t="s">
        <v>19</v>
      </c>
      <c r="C1171" t="s">
        <v>24</v>
      </c>
      <c r="D1171" t="s">
        <v>14</v>
      </c>
      <c r="E1171">
        <v>445</v>
      </c>
      <c r="F1171" s="3">
        <v>25584123.309999999</v>
      </c>
      <c r="G1171">
        <v>9346932.6699999999</v>
      </c>
      <c r="H1171">
        <v>16237190.640000001</v>
      </c>
      <c r="I1171">
        <v>1.2</v>
      </c>
      <c r="J1171">
        <v>3.88</v>
      </c>
      <c r="K1171" t="str">
        <f t="shared" si="18"/>
        <v>Apr 2020</v>
      </c>
    </row>
    <row r="1172" spans="1:11" x14ac:dyDescent="0.25">
      <c r="A1172" s="6">
        <v>44027</v>
      </c>
      <c r="B1172" t="s">
        <v>19</v>
      </c>
      <c r="C1172" t="s">
        <v>23</v>
      </c>
      <c r="D1172" t="s">
        <v>12</v>
      </c>
      <c r="E1172">
        <v>175</v>
      </c>
      <c r="F1172" s="3">
        <v>7028530.4199999999</v>
      </c>
      <c r="G1172">
        <v>2554356.3199999998</v>
      </c>
      <c r="H1172">
        <v>4474174.09</v>
      </c>
      <c r="I1172">
        <v>4.71</v>
      </c>
      <c r="J1172">
        <v>4.46</v>
      </c>
      <c r="K1172" t="str">
        <f t="shared" si="18"/>
        <v>Jul 2020</v>
      </c>
    </row>
    <row r="1173" spans="1:11" x14ac:dyDescent="0.25">
      <c r="A1173" s="6">
        <v>43945</v>
      </c>
      <c r="B1173" t="s">
        <v>19</v>
      </c>
      <c r="C1173" t="s">
        <v>22</v>
      </c>
      <c r="D1173" t="s">
        <v>17</v>
      </c>
      <c r="E1173">
        <v>238</v>
      </c>
      <c r="F1173" s="3">
        <v>17989070.640000001</v>
      </c>
      <c r="G1173">
        <v>5201165.41</v>
      </c>
      <c r="H1173">
        <v>12787905.23</v>
      </c>
      <c r="I1173">
        <v>3.25</v>
      </c>
      <c r="J1173">
        <v>4.13</v>
      </c>
      <c r="K1173" t="str">
        <f t="shared" si="18"/>
        <v>Apr 2020</v>
      </c>
    </row>
    <row r="1174" spans="1:11" x14ac:dyDescent="0.25">
      <c r="A1174" s="6">
        <v>43931</v>
      </c>
      <c r="B1174" t="s">
        <v>19</v>
      </c>
      <c r="C1174" t="s">
        <v>20</v>
      </c>
      <c r="D1174" t="s">
        <v>12</v>
      </c>
      <c r="E1174">
        <v>125</v>
      </c>
      <c r="F1174" s="3">
        <v>8266505.8200000003</v>
      </c>
      <c r="G1174">
        <v>3044311.97</v>
      </c>
      <c r="H1174">
        <v>5222193.8499999996</v>
      </c>
      <c r="I1174">
        <v>1.04</v>
      </c>
      <c r="J1174">
        <v>4.01</v>
      </c>
      <c r="K1174" t="str">
        <f t="shared" si="18"/>
        <v>Apr 2020</v>
      </c>
    </row>
    <row r="1175" spans="1:11" x14ac:dyDescent="0.25">
      <c r="A1175" s="6">
        <v>44113</v>
      </c>
      <c r="B1175" t="s">
        <v>19</v>
      </c>
      <c r="C1175" t="s">
        <v>22</v>
      </c>
      <c r="D1175" t="s">
        <v>14</v>
      </c>
      <c r="E1175">
        <v>269</v>
      </c>
      <c r="F1175" s="3">
        <v>10095609.09</v>
      </c>
      <c r="G1175">
        <v>3956007.22</v>
      </c>
      <c r="H1175">
        <v>6139601.8700000001</v>
      </c>
      <c r="I1175">
        <v>4.3499999999999996</v>
      </c>
      <c r="J1175">
        <v>4.5599999999999996</v>
      </c>
      <c r="K1175" t="str">
        <f t="shared" si="18"/>
        <v>Oct 2020</v>
      </c>
    </row>
    <row r="1176" spans="1:11" x14ac:dyDescent="0.25">
      <c r="A1176" s="6">
        <v>44008</v>
      </c>
      <c r="B1176" t="s">
        <v>19</v>
      </c>
      <c r="C1176" t="s">
        <v>20</v>
      </c>
      <c r="D1176" t="s">
        <v>12</v>
      </c>
      <c r="E1176">
        <v>253</v>
      </c>
      <c r="F1176" s="3">
        <v>9093796.7300000004</v>
      </c>
      <c r="G1176">
        <v>2249142.5099999998</v>
      </c>
      <c r="H1176">
        <v>6844654.2199999997</v>
      </c>
      <c r="I1176">
        <v>4.13</v>
      </c>
      <c r="J1176">
        <v>4.0199999999999996</v>
      </c>
      <c r="K1176" t="str">
        <f t="shared" si="18"/>
        <v>Jun 2020</v>
      </c>
    </row>
    <row r="1177" spans="1:11" x14ac:dyDescent="0.25">
      <c r="A1177" s="6">
        <v>43911</v>
      </c>
      <c r="B1177" t="s">
        <v>19</v>
      </c>
      <c r="C1177" t="s">
        <v>23</v>
      </c>
      <c r="D1177" t="s">
        <v>17</v>
      </c>
      <c r="E1177">
        <v>303</v>
      </c>
      <c r="F1177" s="3">
        <v>17835137.73</v>
      </c>
      <c r="G1177">
        <v>5712577.7300000004</v>
      </c>
      <c r="H1177">
        <v>12122560.01</v>
      </c>
      <c r="I1177">
        <v>3.27</v>
      </c>
      <c r="J1177">
        <v>4.45</v>
      </c>
      <c r="K1177" t="str">
        <f t="shared" si="18"/>
        <v>Mar 2020</v>
      </c>
    </row>
    <row r="1178" spans="1:11" x14ac:dyDescent="0.25">
      <c r="A1178" s="6">
        <v>45385</v>
      </c>
      <c r="B1178" t="s">
        <v>19</v>
      </c>
      <c r="C1178" t="s">
        <v>22</v>
      </c>
      <c r="D1178" t="s">
        <v>17</v>
      </c>
      <c r="E1178">
        <v>339</v>
      </c>
      <c r="F1178" s="3">
        <v>16729361.609999999</v>
      </c>
      <c r="G1178">
        <v>6640537.6100000003</v>
      </c>
      <c r="H1178">
        <v>10088824</v>
      </c>
      <c r="I1178">
        <v>4.7</v>
      </c>
      <c r="J1178">
        <v>4.25</v>
      </c>
      <c r="K1178" t="str">
        <f t="shared" si="18"/>
        <v>Apr 2024</v>
      </c>
    </row>
    <row r="1179" spans="1:11" x14ac:dyDescent="0.25">
      <c r="A1179" s="6">
        <v>44732</v>
      </c>
      <c r="B1179" t="s">
        <v>19</v>
      </c>
      <c r="C1179" t="s">
        <v>22</v>
      </c>
      <c r="D1179" t="s">
        <v>14</v>
      </c>
      <c r="E1179">
        <v>374</v>
      </c>
      <c r="F1179" s="3">
        <v>27159134.739999998</v>
      </c>
      <c r="G1179">
        <v>7518456.9400000004</v>
      </c>
      <c r="H1179">
        <v>19640677.789999999</v>
      </c>
      <c r="I1179">
        <v>4.75</v>
      </c>
      <c r="J1179">
        <v>4.92</v>
      </c>
      <c r="K1179" t="str">
        <f t="shared" si="18"/>
        <v>Jun 2022</v>
      </c>
    </row>
    <row r="1180" spans="1:11" x14ac:dyDescent="0.25">
      <c r="A1180" s="6">
        <v>44358</v>
      </c>
      <c r="B1180" t="s">
        <v>19</v>
      </c>
      <c r="C1180" t="s">
        <v>24</v>
      </c>
      <c r="D1180" t="s">
        <v>17</v>
      </c>
      <c r="E1180">
        <v>433</v>
      </c>
      <c r="F1180" s="3">
        <v>30310951.670000002</v>
      </c>
      <c r="G1180">
        <v>7268873.5999999996</v>
      </c>
      <c r="H1180">
        <v>23042078.079999998</v>
      </c>
      <c r="I1180">
        <v>3.55</v>
      </c>
      <c r="J1180">
        <v>4.3600000000000003</v>
      </c>
      <c r="K1180" t="str">
        <f t="shared" si="18"/>
        <v>Jun 2021</v>
      </c>
    </row>
    <row r="1181" spans="1:11" x14ac:dyDescent="0.25">
      <c r="A1181" s="6">
        <v>45152</v>
      </c>
      <c r="B1181" t="s">
        <v>19</v>
      </c>
      <c r="C1181" t="s">
        <v>21</v>
      </c>
      <c r="D1181" t="s">
        <v>12</v>
      </c>
      <c r="E1181">
        <v>82</v>
      </c>
      <c r="F1181" s="3">
        <v>4936720.54</v>
      </c>
      <c r="G1181">
        <v>1435976.69</v>
      </c>
      <c r="H1181">
        <v>3500743.84</v>
      </c>
      <c r="I1181">
        <v>4.74</v>
      </c>
      <c r="J1181">
        <v>4.08</v>
      </c>
      <c r="K1181" t="str">
        <f t="shared" si="18"/>
        <v>Aug 2023</v>
      </c>
    </row>
    <row r="1182" spans="1:11" x14ac:dyDescent="0.25">
      <c r="A1182" s="6">
        <v>45049</v>
      </c>
      <c r="B1182" t="s">
        <v>19</v>
      </c>
      <c r="C1182" t="s">
        <v>24</v>
      </c>
      <c r="D1182" t="s">
        <v>12</v>
      </c>
      <c r="E1182">
        <v>466</v>
      </c>
      <c r="F1182" s="3">
        <v>33007554.699999999</v>
      </c>
      <c r="G1182">
        <v>11838592.82</v>
      </c>
      <c r="H1182">
        <v>21168961.879999999</v>
      </c>
      <c r="I1182">
        <v>1.73</v>
      </c>
      <c r="J1182">
        <v>3.82</v>
      </c>
      <c r="K1182" t="str">
        <f t="shared" si="18"/>
        <v>May 2023</v>
      </c>
    </row>
    <row r="1183" spans="1:11" x14ac:dyDescent="0.25">
      <c r="A1183" s="6">
        <v>44269</v>
      </c>
      <c r="B1183" t="s">
        <v>19</v>
      </c>
      <c r="C1183" t="s">
        <v>21</v>
      </c>
      <c r="D1183" t="s">
        <v>14</v>
      </c>
      <c r="E1183">
        <v>351</v>
      </c>
      <c r="F1183" s="3">
        <v>12636772.34</v>
      </c>
      <c r="G1183">
        <v>4816018.0999999996</v>
      </c>
      <c r="H1183">
        <v>7820754.25</v>
      </c>
      <c r="I1183">
        <v>3.57</v>
      </c>
      <c r="J1183">
        <v>3.61</v>
      </c>
      <c r="K1183" t="str">
        <f t="shared" si="18"/>
        <v>Mar 2021</v>
      </c>
    </row>
    <row r="1184" spans="1:11" x14ac:dyDescent="0.25">
      <c r="A1184" s="6">
        <v>44455</v>
      </c>
      <c r="B1184" t="s">
        <v>19</v>
      </c>
      <c r="C1184" t="s">
        <v>22</v>
      </c>
      <c r="D1184" t="s">
        <v>17</v>
      </c>
      <c r="E1184">
        <v>313</v>
      </c>
      <c r="F1184" s="3">
        <v>17589602.829999998</v>
      </c>
      <c r="G1184">
        <v>4637978.3899999997</v>
      </c>
      <c r="H1184">
        <v>12951624.439999999</v>
      </c>
      <c r="I1184">
        <v>2.0299999999999998</v>
      </c>
      <c r="J1184">
        <v>3.89</v>
      </c>
      <c r="K1184" t="str">
        <f t="shared" si="18"/>
        <v>Sep 2021</v>
      </c>
    </row>
    <row r="1185" spans="1:11" x14ac:dyDescent="0.25">
      <c r="A1185" s="6">
        <v>45415</v>
      </c>
      <c r="B1185" t="s">
        <v>19</v>
      </c>
      <c r="C1185" t="s">
        <v>22</v>
      </c>
      <c r="D1185" t="s">
        <v>12</v>
      </c>
      <c r="E1185">
        <v>440</v>
      </c>
      <c r="F1185" s="3">
        <v>18259588.829999998</v>
      </c>
      <c r="G1185">
        <v>4759408.7</v>
      </c>
      <c r="H1185">
        <v>13500180.130000001</v>
      </c>
      <c r="I1185">
        <v>3.33</v>
      </c>
      <c r="J1185">
        <v>4.82</v>
      </c>
      <c r="K1185" t="str">
        <f t="shared" si="18"/>
        <v>May 2024</v>
      </c>
    </row>
    <row r="1186" spans="1:11" x14ac:dyDescent="0.25">
      <c r="A1186" s="6">
        <v>43844</v>
      </c>
      <c r="B1186" t="s">
        <v>19</v>
      </c>
      <c r="C1186" t="s">
        <v>21</v>
      </c>
      <c r="D1186" t="s">
        <v>14</v>
      </c>
      <c r="E1186">
        <v>469</v>
      </c>
      <c r="F1186" s="3">
        <v>27195917.890000001</v>
      </c>
      <c r="G1186">
        <v>5615518.9100000001</v>
      </c>
      <c r="H1186">
        <v>21580398.98</v>
      </c>
      <c r="I1186">
        <v>2.97</v>
      </c>
      <c r="J1186">
        <v>4.1399999999999997</v>
      </c>
      <c r="K1186" t="str">
        <f t="shared" si="18"/>
        <v>Jan 2020</v>
      </c>
    </row>
    <row r="1187" spans="1:11" x14ac:dyDescent="0.25">
      <c r="A1187" s="6">
        <v>44081</v>
      </c>
      <c r="B1187" t="s">
        <v>19</v>
      </c>
      <c r="C1187" t="s">
        <v>23</v>
      </c>
      <c r="D1187" t="s">
        <v>14</v>
      </c>
      <c r="E1187">
        <v>457</v>
      </c>
      <c r="F1187" s="3">
        <v>36274791.170000002</v>
      </c>
      <c r="G1187">
        <v>7323843.0300000003</v>
      </c>
      <c r="H1187">
        <v>28950948.140000001</v>
      </c>
      <c r="I1187">
        <v>2.36</v>
      </c>
      <c r="J1187">
        <v>4.0599999999999996</v>
      </c>
      <c r="K1187" t="str">
        <f t="shared" si="18"/>
        <v>Sep 2020</v>
      </c>
    </row>
    <row r="1188" spans="1:11" x14ac:dyDescent="0.25">
      <c r="A1188" s="6">
        <v>44199</v>
      </c>
      <c r="B1188" t="s">
        <v>19</v>
      </c>
      <c r="C1188" t="s">
        <v>22</v>
      </c>
      <c r="D1188" t="s">
        <v>12</v>
      </c>
      <c r="E1188">
        <v>145</v>
      </c>
      <c r="F1188" s="3">
        <v>7792908.2300000004</v>
      </c>
      <c r="G1188">
        <v>1666502.01</v>
      </c>
      <c r="H1188">
        <v>6126406.2300000004</v>
      </c>
      <c r="I1188">
        <v>4.3600000000000003</v>
      </c>
      <c r="J1188">
        <v>4.1399999999999997</v>
      </c>
      <c r="K1188" t="str">
        <f t="shared" si="18"/>
        <v>Jan 2021</v>
      </c>
    </row>
    <row r="1189" spans="1:11" x14ac:dyDescent="0.25">
      <c r="A1189" s="6">
        <v>44560</v>
      </c>
      <c r="B1189" t="s">
        <v>19</v>
      </c>
      <c r="C1189" t="s">
        <v>23</v>
      </c>
      <c r="D1189" t="s">
        <v>17</v>
      </c>
      <c r="E1189">
        <v>62</v>
      </c>
      <c r="F1189" s="3">
        <v>4693088.87</v>
      </c>
      <c r="G1189">
        <v>1653622.86</v>
      </c>
      <c r="H1189">
        <v>3039466.01</v>
      </c>
      <c r="I1189">
        <v>2.2000000000000002</v>
      </c>
      <c r="J1189">
        <v>4.3</v>
      </c>
      <c r="K1189" t="str">
        <f t="shared" si="18"/>
        <v>Dec 2021</v>
      </c>
    </row>
    <row r="1190" spans="1:11" x14ac:dyDescent="0.25">
      <c r="A1190" s="6">
        <v>44737</v>
      </c>
      <c r="B1190" t="s">
        <v>19</v>
      </c>
      <c r="C1190" t="s">
        <v>21</v>
      </c>
      <c r="D1190" t="s">
        <v>17</v>
      </c>
      <c r="E1190">
        <v>133</v>
      </c>
      <c r="F1190" s="3">
        <v>10700536.359999999</v>
      </c>
      <c r="G1190">
        <v>3595274.07</v>
      </c>
      <c r="H1190">
        <v>7105262.2999999998</v>
      </c>
      <c r="I1190">
        <v>4.53</v>
      </c>
      <c r="J1190">
        <v>4.08</v>
      </c>
      <c r="K1190" t="str">
        <f t="shared" si="18"/>
        <v>Jun 2022</v>
      </c>
    </row>
    <row r="1191" spans="1:11" x14ac:dyDescent="0.25">
      <c r="A1191" s="6">
        <v>44357</v>
      </c>
      <c r="B1191" t="s">
        <v>19</v>
      </c>
      <c r="C1191" t="s">
        <v>22</v>
      </c>
      <c r="D1191" t="s">
        <v>17</v>
      </c>
      <c r="E1191">
        <v>445</v>
      </c>
      <c r="F1191" s="3">
        <v>39035303.140000001</v>
      </c>
      <c r="G1191">
        <v>9000423.3699999992</v>
      </c>
      <c r="H1191">
        <v>30034879.77</v>
      </c>
      <c r="I1191">
        <v>2.1</v>
      </c>
      <c r="J1191">
        <v>4.9400000000000004</v>
      </c>
      <c r="K1191" t="str">
        <f t="shared" si="18"/>
        <v>Jun 2021</v>
      </c>
    </row>
    <row r="1192" spans="1:11" x14ac:dyDescent="0.25">
      <c r="A1192" s="6">
        <v>44733</v>
      </c>
      <c r="B1192" t="s">
        <v>19</v>
      </c>
      <c r="C1192" t="s">
        <v>24</v>
      </c>
      <c r="D1192" t="s">
        <v>12</v>
      </c>
      <c r="E1192">
        <v>272</v>
      </c>
      <c r="F1192" s="3">
        <v>23741082.920000002</v>
      </c>
      <c r="G1192">
        <v>6773625.8799999999</v>
      </c>
      <c r="H1192">
        <v>16967457.039999999</v>
      </c>
      <c r="I1192">
        <v>3.34</v>
      </c>
      <c r="J1192">
        <v>4.17</v>
      </c>
      <c r="K1192" t="str">
        <f t="shared" si="18"/>
        <v>Jun 2022</v>
      </c>
    </row>
    <row r="1193" spans="1:11" x14ac:dyDescent="0.25">
      <c r="A1193" s="6">
        <v>44893</v>
      </c>
      <c r="B1193" t="s">
        <v>19</v>
      </c>
      <c r="C1193" t="s">
        <v>24</v>
      </c>
      <c r="D1193" t="s">
        <v>14</v>
      </c>
      <c r="E1193">
        <v>148</v>
      </c>
      <c r="F1193" s="3">
        <v>10083869.140000001</v>
      </c>
      <c r="G1193">
        <v>2916853.83</v>
      </c>
      <c r="H1193">
        <v>7167015.3099999996</v>
      </c>
      <c r="I1193">
        <v>1.46</v>
      </c>
      <c r="J1193">
        <v>4.92</v>
      </c>
      <c r="K1193" t="str">
        <f t="shared" si="18"/>
        <v>Nov 2022</v>
      </c>
    </row>
    <row r="1194" spans="1:11" x14ac:dyDescent="0.25">
      <c r="A1194" s="6">
        <v>44154</v>
      </c>
      <c r="B1194" t="s">
        <v>19</v>
      </c>
      <c r="C1194" t="s">
        <v>23</v>
      </c>
      <c r="D1194" t="s">
        <v>12</v>
      </c>
      <c r="E1194">
        <v>193</v>
      </c>
      <c r="F1194" s="3">
        <v>15136796.59</v>
      </c>
      <c r="G1194">
        <v>5778604.9900000002</v>
      </c>
      <c r="H1194">
        <v>9358191.5999999996</v>
      </c>
      <c r="I1194">
        <v>2.72</v>
      </c>
      <c r="J1194">
        <v>3.59</v>
      </c>
      <c r="K1194" t="str">
        <f t="shared" si="18"/>
        <v>Nov 2020</v>
      </c>
    </row>
    <row r="1195" spans="1:11" x14ac:dyDescent="0.25">
      <c r="A1195" s="6">
        <v>45016</v>
      </c>
      <c r="B1195" t="s">
        <v>19</v>
      </c>
      <c r="C1195" t="s">
        <v>20</v>
      </c>
      <c r="D1195" t="s">
        <v>14</v>
      </c>
      <c r="E1195">
        <v>272</v>
      </c>
      <c r="F1195" s="3">
        <v>10355832.470000001</v>
      </c>
      <c r="G1195">
        <v>2615809.64</v>
      </c>
      <c r="H1195">
        <v>7740022.8399999999</v>
      </c>
      <c r="I1195">
        <v>2.96</v>
      </c>
      <c r="J1195">
        <v>4.5599999999999996</v>
      </c>
      <c r="K1195" t="str">
        <f t="shared" si="18"/>
        <v>Mar 2023</v>
      </c>
    </row>
    <row r="1196" spans="1:11" x14ac:dyDescent="0.25">
      <c r="A1196" s="6">
        <v>45562</v>
      </c>
      <c r="B1196" t="s">
        <v>19</v>
      </c>
      <c r="C1196" t="s">
        <v>24</v>
      </c>
      <c r="D1196" t="s">
        <v>14</v>
      </c>
      <c r="E1196">
        <v>288</v>
      </c>
      <c r="F1196" s="3">
        <v>12344988.24</v>
      </c>
      <c r="G1196">
        <v>3057827.34</v>
      </c>
      <c r="H1196">
        <v>9287160.9100000001</v>
      </c>
      <c r="I1196">
        <v>3.28</v>
      </c>
      <c r="J1196">
        <v>3.65</v>
      </c>
      <c r="K1196" t="str">
        <f t="shared" si="18"/>
        <v>Sep 2024</v>
      </c>
    </row>
    <row r="1197" spans="1:11" x14ac:dyDescent="0.25">
      <c r="A1197" s="6">
        <v>43874</v>
      </c>
      <c r="B1197" t="s">
        <v>19</v>
      </c>
      <c r="C1197" t="s">
        <v>23</v>
      </c>
      <c r="D1197" t="s">
        <v>17</v>
      </c>
      <c r="E1197">
        <v>56</v>
      </c>
      <c r="F1197" s="3">
        <v>3272361.74</v>
      </c>
      <c r="G1197">
        <v>1163274.5900000001</v>
      </c>
      <c r="H1197">
        <v>2109087.16</v>
      </c>
      <c r="I1197">
        <v>2.2799999999999998</v>
      </c>
      <c r="J1197">
        <v>4.84</v>
      </c>
      <c r="K1197" t="str">
        <f t="shared" si="18"/>
        <v>Feb 2020</v>
      </c>
    </row>
    <row r="1198" spans="1:11" x14ac:dyDescent="0.25">
      <c r="A1198" s="6">
        <v>44803</v>
      </c>
      <c r="B1198" t="s">
        <v>19</v>
      </c>
      <c r="C1198" t="s">
        <v>24</v>
      </c>
      <c r="D1198" t="s">
        <v>17</v>
      </c>
      <c r="E1198">
        <v>243</v>
      </c>
      <c r="F1198" s="3">
        <v>9592226.4499999993</v>
      </c>
      <c r="G1198">
        <v>3674134.07</v>
      </c>
      <c r="H1198">
        <v>5918092.3899999997</v>
      </c>
      <c r="I1198">
        <v>4.9400000000000004</v>
      </c>
      <c r="J1198">
        <v>4.0599999999999996</v>
      </c>
      <c r="K1198" t="str">
        <f t="shared" si="18"/>
        <v>Aug 2022</v>
      </c>
    </row>
    <row r="1199" spans="1:11" x14ac:dyDescent="0.25">
      <c r="A1199" s="6">
        <v>45243</v>
      </c>
      <c r="B1199" t="s">
        <v>19</v>
      </c>
      <c r="C1199" t="s">
        <v>20</v>
      </c>
      <c r="D1199" t="s">
        <v>17</v>
      </c>
      <c r="E1199">
        <v>370</v>
      </c>
      <c r="F1199" s="3">
        <v>30865325.359999999</v>
      </c>
      <c r="G1199">
        <v>10885057.039999999</v>
      </c>
      <c r="H1199">
        <v>19980268.32</v>
      </c>
      <c r="I1199">
        <v>4.58</v>
      </c>
      <c r="J1199">
        <v>4.3899999999999997</v>
      </c>
      <c r="K1199" t="str">
        <f t="shared" si="18"/>
        <v>Nov 2023</v>
      </c>
    </row>
    <row r="1200" spans="1:11" x14ac:dyDescent="0.25">
      <c r="A1200" s="6">
        <v>44260</v>
      </c>
      <c r="B1200" t="s">
        <v>19</v>
      </c>
      <c r="C1200" t="s">
        <v>21</v>
      </c>
      <c r="D1200" t="s">
        <v>14</v>
      </c>
      <c r="E1200">
        <v>341</v>
      </c>
      <c r="F1200" s="3">
        <v>18991748.530000001</v>
      </c>
      <c r="G1200">
        <v>7279534.4900000002</v>
      </c>
      <c r="H1200">
        <v>11712214.039999999</v>
      </c>
      <c r="I1200">
        <v>4</v>
      </c>
      <c r="J1200">
        <v>4.34</v>
      </c>
      <c r="K1200" t="str">
        <f t="shared" si="18"/>
        <v>Mar 2021</v>
      </c>
    </row>
    <row r="1201" spans="1:11" x14ac:dyDescent="0.25">
      <c r="A1201" s="6">
        <v>44000</v>
      </c>
      <c r="B1201" t="s">
        <v>19</v>
      </c>
      <c r="C1201" t="s">
        <v>20</v>
      </c>
      <c r="D1201" t="s">
        <v>14</v>
      </c>
      <c r="E1201">
        <v>140</v>
      </c>
      <c r="F1201" s="3">
        <v>6815175.9900000002</v>
      </c>
      <c r="G1201">
        <v>2275924.5699999998</v>
      </c>
      <c r="H1201">
        <v>4539251.41</v>
      </c>
      <c r="I1201">
        <v>2.46</v>
      </c>
      <c r="J1201">
        <v>3.88</v>
      </c>
      <c r="K1201" t="str">
        <f t="shared" si="18"/>
        <v>Jun 2020</v>
      </c>
    </row>
    <row r="1202" spans="1:11" x14ac:dyDescent="0.25">
      <c r="A1202" s="6">
        <v>44771</v>
      </c>
      <c r="B1202" t="s">
        <v>19</v>
      </c>
      <c r="C1202" t="s">
        <v>20</v>
      </c>
      <c r="D1202" t="s">
        <v>12</v>
      </c>
      <c r="E1202">
        <v>291</v>
      </c>
      <c r="F1202" s="3">
        <v>17685913.579999998</v>
      </c>
      <c r="G1202">
        <v>6875210.46</v>
      </c>
      <c r="H1202">
        <v>10810703.119999999</v>
      </c>
      <c r="I1202">
        <v>1.03</v>
      </c>
      <c r="J1202">
        <v>3.68</v>
      </c>
      <c r="K1202" t="str">
        <f t="shared" si="18"/>
        <v>Jul 2022</v>
      </c>
    </row>
    <row r="1203" spans="1:11" x14ac:dyDescent="0.25">
      <c r="A1203" s="6">
        <v>44987</v>
      </c>
      <c r="B1203" t="s">
        <v>19</v>
      </c>
      <c r="C1203" t="s">
        <v>23</v>
      </c>
      <c r="D1203" t="s">
        <v>12</v>
      </c>
      <c r="E1203">
        <v>410</v>
      </c>
      <c r="F1203" s="3">
        <v>31131972.859999999</v>
      </c>
      <c r="G1203">
        <v>8212368.9500000002</v>
      </c>
      <c r="H1203">
        <v>22919603.91</v>
      </c>
      <c r="I1203">
        <v>1.57</v>
      </c>
      <c r="J1203">
        <v>4.0999999999999996</v>
      </c>
      <c r="K1203" t="str">
        <f t="shared" si="18"/>
        <v>Mar 2023</v>
      </c>
    </row>
    <row r="1204" spans="1:11" x14ac:dyDescent="0.25">
      <c r="A1204" s="6">
        <v>44055</v>
      </c>
      <c r="B1204" t="s">
        <v>19</v>
      </c>
      <c r="C1204" t="s">
        <v>21</v>
      </c>
      <c r="D1204" t="s">
        <v>17</v>
      </c>
      <c r="E1204">
        <v>418</v>
      </c>
      <c r="F1204" s="3">
        <v>16535671.49</v>
      </c>
      <c r="G1204">
        <v>4866877.6399999997</v>
      </c>
      <c r="H1204">
        <v>11668793.84</v>
      </c>
      <c r="I1204">
        <v>2.46</v>
      </c>
      <c r="J1204">
        <v>4.7</v>
      </c>
      <c r="K1204" t="str">
        <f t="shared" si="18"/>
        <v>Aug 2020</v>
      </c>
    </row>
    <row r="1205" spans="1:11" x14ac:dyDescent="0.25">
      <c r="A1205" s="6">
        <v>45510</v>
      </c>
      <c r="B1205" t="s">
        <v>19</v>
      </c>
      <c r="C1205" t="s">
        <v>20</v>
      </c>
      <c r="D1205" t="s">
        <v>14</v>
      </c>
      <c r="E1205">
        <v>222</v>
      </c>
      <c r="F1205" s="3">
        <v>19612220.469999999</v>
      </c>
      <c r="G1205">
        <v>7675595.8499999996</v>
      </c>
      <c r="H1205">
        <v>11936624.630000001</v>
      </c>
      <c r="I1205">
        <v>4.51</v>
      </c>
      <c r="J1205">
        <v>4.29</v>
      </c>
      <c r="K1205" t="str">
        <f t="shared" si="18"/>
        <v>Aug 2024</v>
      </c>
    </row>
    <row r="1206" spans="1:11" x14ac:dyDescent="0.25">
      <c r="A1206" s="6">
        <v>45600</v>
      </c>
      <c r="B1206" t="s">
        <v>19</v>
      </c>
      <c r="C1206" t="s">
        <v>22</v>
      </c>
      <c r="D1206" t="s">
        <v>12</v>
      </c>
      <c r="E1206">
        <v>252</v>
      </c>
      <c r="F1206" s="3">
        <v>21558943.809999999</v>
      </c>
      <c r="G1206">
        <v>7532737.3600000003</v>
      </c>
      <c r="H1206">
        <v>14026206.449999999</v>
      </c>
      <c r="I1206">
        <v>3.63</v>
      </c>
      <c r="J1206">
        <v>3.61</v>
      </c>
      <c r="K1206" t="str">
        <f t="shared" si="18"/>
        <v>Nov 2024</v>
      </c>
    </row>
    <row r="1207" spans="1:11" x14ac:dyDescent="0.25">
      <c r="A1207" s="6">
        <v>43935</v>
      </c>
      <c r="B1207" t="s">
        <v>19</v>
      </c>
      <c r="C1207" t="s">
        <v>20</v>
      </c>
      <c r="D1207" t="s">
        <v>12</v>
      </c>
      <c r="E1207">
        <v>96</v>
      </c>
      <c r="F1207" s="3">
        <v>6683224.8099999996</v>
      </c>
      <c r="G1207">
        <v>1743320.94</v>
      </c>
      <c r="H1207">
        <v>4939903.87</v>
      </c>
      <c r="I1207">
        <v>2.5499999999999998</v>
      </c>
      <c r="J1207">
        <v>4.4400000000000004</v>
      </c>
      <c r="K1207" t="str">
        <f t="shared" si="18"/>
        <v>Apr 2020</v>
      </c>
    </row>
    <row r="1208" spans="1:11" x14ac:dyDescent="0.25">
      <c r="A1208" s="6">
        <v>44727</v>
      </c>
      <c r="B1208" t="s">
        <v>19</v>
      </c>
      <c r="C1208" t="s">
        <v>24</v>
      </c>
      <c r="D1208" t="s">
        <v>17</v>
      </c>
      <c r="E1208">
        <v>423</v>
      </c>
      <c r="F1208" s="3">
        <v>23743455.609999999</v>
      </c>
      <c r="G1208">
        <v>5997118.6699999999</v>
      </c>
      <c r="H1208">
        <v>17746336.940000001</v>
      </c>
      <c r="I1208">
        <v>4.62</v>
      </c>
      <c r="J1208">
        <v>4.9400000000000004</v>
      </c>
      <c r="K1208" t="str">
        <f t="shared" si="18"/>
        <v>Jun 2022</v>
      </c>
    </row>
    <row r="1209" spans="1:11" x14ac:dyDescent="0.25">
      <c r="A1209" s="6">
        <v>44565</v>
      </c>
      <c r="B1209" t="s">
        <v>19</v>
      </c>
      <c r="C1209" t="s">
        <v>21</v>
      </c>
      <c r="D1209" t="s">
        <v>14</v>
      </c>
      <c r="E1209">
        <v>321</v>
      </c>
      <c r="F1209" s="3">
        <v>26952607.100000001</v>
      </c>
      <c r="G1209">
        <v>8324815.3600000003</v>
      </c>
      <c r="H1209">
        <v>18627791.75</v>
      </c>
      <c r="I1209">
        <v>3.29</v>
      </c>
      <c r="J1209">
        <v>3.92</v>
      </c>
      <c r="K1209" t="str">
        <f t="shared" si="18"/>
        <v>Jan 2022</v>
      </c>
    </row>
    <row r="1210" spans="1:11" x14ac:dyDescent="0.25">
      <c r="A1210" s="6">
        <v>44609</v>
      </c>
      <c r="B1210" t="s">
        <v>19</v>
      </c>
      <c r="C1210" t="s">
        <v>21</v>
      </c>
      <c r="D1210" t="s">
        <v>14</v>
      </c>
      <c r="E1210">
        <v>397</v>
      </c>
      <c r="F1210" s="3">
        <v>28018933.98</v>
      </c>
      <c r="G1210">
        <v>9031800.3499999996</v>
      </c>
      <c r="H1210">
        <v>18987133.629999999</v>
      </c>
      <c r="I1210">
        <v>1.53</v>
      </c>
      <c r="J1210">
        <v>3.9</v>
      </c>
      <c r="K1210" t="str">
        <f t="shared" si="18"/>
        <v>Feb 2022</v>
      </c>
    </row>
    <row r="1211" spans="1:11" x14ac:dyDescent="0.25">
      <c r="A1211" s="6">
        <v>43989</v>
      </c>
      <c r="B1211" t="s">
        <v>19</v>
      </c>
      <c r="C1211" t="s">
        <v>21</v>
      </c>
      <c r="D1211" t="s">
        <v>12</v>
      </c>
      <c r="E1211">
        <v>406</v>
      </c>
      <c r="F1211" s="3">
        <v>35968236.060000002</v>
      </c>
      <c r="G1211">
        <v>7292842.25</v>
      </c>
      <c r="H1211">
        <v>28675393.800000001</v>
      </c>
      <c r="I1211">
        <v>3.64</v>
      </c>
      <c r="J1211">
        <v>4.3</v>
      </c>
      <c r="K1211" t="str">
        <f t="shared" si="18"/>
        <v>Jun 2020</v>
      </c>
    </row>
    <row r="1212" spans="1:11" x14ac:dyDescent="0.25">
      <c r="A1212" s="6">
        <v>45478</v>
      </c>
      <c r="B1212" t="s">
        <v>19</v>
      </c>
      <c r="C1212" t="s">
        <v>22</v>
      </c>
      <c r="D1212" t="s">
        <v>12</v>
      </c>
      <c r="E1212">
        <v>466</v>
      </c>
      <c r="F1212" s="3">
        <v>26849228.260000002</v>
      </c>
      <c r="G1212">
        <v>7502845.6299999999</v>
      </c>
      <c r="H1212">
        <v>19346382.620000001</v>
      </c>
      <c r="I1212">
        <v>1.72</v>
      </c>
      <c r="J1212">
        <v>3.7</v>
      </c>
      <c r="K1212" t="str">
        <f t="shared" si="18"/>
        <v>Jul 2024</v>
      </c>
    </row>
    <row r="1213" spans="1:11" x14ac:dyDescent="0.25">
      <c r="A1213" s="6">
        <v>44587</v>
      </c>
      <c r="B1213" t="s">
        <v>19</v>
      </c>
      <c r="C1213" t="s">
        <v>24</v>
      </c>
      <c r="D1213" t="s">
        <v>17</v>
      </c>
      <c r="E1213">
        <v>84</v>
      </c>
      <c r="F1213" s="3">
        <v>6740122.0599999996</v>
      </c>
      <c r="G1213">
        <v>1415695.35</v>
      </c>
      <c r="H1213">
        <v>5324426.71</v>
      </c>
      <c r="I1213">
        <v>3.77</v>
      </c>
      <c r="J1213">
        <v>4.42</v>
      </c>
      <c r="K1213" t="str">
        <f t="shared" si="18"/>
        <v>Jan 2022</v>
      </c>
    </row>
    <row r="1214" spans="1:11" x14ac:dyDescent="0.25">
      <c r="A1214" s="6">
        <v>45423</v>
      </c>
      <c r="B1214" t="s">
        <v>19</v>
      </c>
      <c r="C1214" t="s">
        <v>20</v>
      </c>
      <c r="D1214" t="s">
        <v>17</v>
      </c>
      <c r="E1214">
        <v>499</v>
      </c>
      <c r="F1214" s="3">
        <v>19736030.390000001</v>
      </c>
      <c r="G1214">
        <v>4434048.6100000003</v>
      </c>
      <c r="H1214">
        <v>15301981.779999999</v>
      </c>
      <c r="I1214">
        <v>2.98</v>
      </c>
      <c r="J1214">
        <v>3.75</v>
      </c>
      <c r="K1214" t="str">
        <f t="shared" si="18"/>
        <v>May 2024</v>
      </c>
    </row>
    <row r="1215" spans="1:11" x14ac:dyDescent="0.25">
      <c r="A1215" s="6">
        <v>45108</v>
      </c>
      <c r="B1215" t="s">
        <v>19</v>
      </c>
      <c r="C1215" t="s">
        <v>21</v>
      </c>
      <c r="D1215" t="s">
        <v>17</v>
      </c>
      <c r="E1215">
        <v>338</v>
      </c>
      <c r="F1215" s="3">
        <v>26285626.449999999</v>
      </c>
      <c r="G1215">
        <v>7988884.8799999999</v>
      </c>
      <c r="H1215">
        <v>18296741.579999998</v>
      </c>
      <c r="I1215">
        <v>4.93</v>
      </c>
      <c r="J1215">
        <v>4.07</v>
      </c>
      <c r="K1215" t="str">
        <f t="shared" si="18"/>
        <v>Jul 2023</v>
      </c>
    </row>
    <row r="1216" spans="1:11" x14ac:dyDescent="0.25">
      <c r="A1216" s="6">
        <v>44212</v>
      </c>
      <c r="B1216" t="s">
        <v>19</v>
      </c>
      <c r="C1216" t="s">
        <v>22</v>
      </c>
      <c r="D1216" t="s">
        <v>12</v>
      </c>
      <c r="E1216">
        <v>331</v>
      </c>
      <c r="F1216" s="3">
        <v>18519118.039999999</v>
      </c>
      <c r="G1216">
        <v>3815255.37</v>
      </c>
      <c r="H1216">
        <v>14703862.67</v>
      </c>
      <c r="I1216">
        <v>4.29</v>
      </c>
      <c r="J1216">
        <v>4.76</v>
      </c>
      <c r="K1216" t="str">
        <f t="shared" si="18"/>
        <v>Jan 2021</v>
      </c>
    </row>
    <row r="1217" spans="1:11" x14ac:dyDescent="0.25">
      <c r="A1217" s="6">
        <v>45179</v>
      </c>
      <c r="B1217" t="s">
        <v>19</v>
      </c>
      <c r="C1217" t="s">
        <v>22</v>
      </c>
      <c r="D1217" t="s">
        <v>12</v>
      </c>
      <c r="E1217">
        <v>147</v>
      </c>
      <c r="F1217" s="3">
        <v>5442704.7999999998</v>
      </c>
      <c r="G1217">
        <v>2031378.41</v>
      </c>
      <c r="H1217">
        <v>3411326.39</v>
      </c>
      <c r="I1217">
        <v>0.56000000000000005</v>
      </c>
      <c r="J1217">
        <v>3.61</v>
      </c>
      <c r="K1217" t="str">
        <f t="shared" si="18"/>
        <v>Sep 2023</v>
      </c>
    </row>
    <row r="1218" spans="1:11" x14ac:dyDescent="0.25">
      <c r="A1218" s="6">
        <v>45347</v>
      </c>
      <c r="B1218" t="s">
        <v>19</v>
      </c>
      <c r="C1218" t="s">
        <v>22</v>
      </c>
      <c r="D1218" t="s">
        <v>14</v>
      </c>
      <c r="E1218">
        <v>246</v>
      </c>
      <c r="F1218" s="3">
        <v>22136180.120000001</v>
      </c>
      <c r="G1218">
        <v>4442125.54</v>
      </c>
      <c r="H1218">
        <v>17694054.579999998</v>
      </c>
      <c r="I1218">
        <v>3</v>
      </c>
      <c r="J1218">
        <v>4.6500000000000004</v>
      </c>
      <c r="K1218" t="str">
        <f t="shared" ref="K1218:K1281" si="19">TEXT(A1218,"mmm yyyy")</f>
        <v>Feb 2024</v>
      </c>
    </row>
    <row r="1219" spans="1:11" x14ac:dyDescent="0.25">
      <c r="A1219" s="6">
        <v>45608</v>
      </c>
      <c r="B1219" t="s">
        <v>19</v>
      </c>
      <c r="C1219" t="s">
        <v>21</v>
      </c>
      <c r="D1219" t="s">
        <v>14</v>
      </c>
      <c r="E1219">
        <v>214</v>
      </c>
      <c r="F1219" s="3">
        <v>16400845.75</v>
      </c>
      <c r="G1219">
        <v>5320924.58</v>
      </c>
      <c r="H1219">
        <v>11079921.16</v>
      </c>
      <c r="I1219">
        <v>1.58</v>
      </c>
      <c r="J1219">
        <v>3.81</v>
      </c>
      <c r="K1219" t="str">
        <f t="shared" si="19"/>
        <v>Nov 2024</v>
      </c>
    </row>
    <row r="1220" spans="1:11" x14ac:dyDescent="0.25">
      <c r="A1220" s="6">
        <v>44998</v>
      </c>
      <c r="B1220" t="s">
        <v>19</v>
      </c>
      <c r="C1220" t="s">
        <v>23</v>
      </c>
      <c r="D1220" t="s">
        <v>14</v>
      </c>
      <c r="E1220">
        <v>50</v>
      </c>
      <c r="F1220" s="3">
        <v>4373640.32</v>
      </c>
      <c r="G1220">
        <v>1219218.1599999999</v>
      </c>
      <c r="H1220">
        <v>3154422.16</v>
      </c>
      <c r="I1220">
        <v>1.53</v>
      </c>
      <c r="J1220">
        <v>4.51</v>
      </c>
      <c r="K1220" t="str">
        <f t="shared" si="19"/>
        <v>Mar 2023</v>
      </c>
    </row>
    <row r="1221" spans="1:11" x14ac:dyDescent="0.25">
      <c r="A1221" s="6">
        <v>44365</v>
      </c>
      <c r="B1221" t="s">
        <v>19</v>
      </c>
      <c r="C1221" t="s">
        <v>21</v>
      </c>
      <c r="D1221" t="s">
        <v>17</v>
      </c>
      <c r="E1221">
        <v>337</v>
      </c>
      <c r="F1221" s="3">
        <v>12664226.029999999</v>
      </c>
      <c r="G1221">
        <v>4385184.5999999996</v>
      </c>
      <c r="H1221">
        <v>8279041.4299999997</v>
      </c>
      <c r="I1221">
        <v>0.6</v>
      </c>
      <c r="J1221">
        <v>4.25</v>
      </c>
      <c r="K1221" t="str">
        <f t="shared" si="19"/>
        <v>Jun 2021</v>
      </c>
    </row>
    <row r="1222" spans="1:11" x14ac:dyDescent="0.25">
      <c r="A1222" s="6">
        <v>45168</v>
      </c>
      <c r="B1222" t="s">
        <v>19</v>
      </c>
      <c r="C1222" t="s">
        <v>23</v>
      </c>
      <c r="D1222" t="s">
        <v>17</v>
      </c>
      <c r="E1222">
        <v>487</v>
      </c>
      <c r="F1222" s="3">
        <v>37731548.119999997</v>
      </c>
      <c r="G1222">
        <v>11167304.41</v>
      </c>
      <c r="H1222">
        <v>26564243.710000001</v>
      </c>
      <c r="I1222">
        <v>4.33</v>
      </c>
      <c r="J1222">
        <v>4.33</v>
      </c>
      <c r="K1222" t="str">
        <f t="shared" si="19"/>
        <v>Aug 2023</v>
      </c>
    </row>
    <row r="1223" spans="1:11" x14ac:dyDescent="0.25">
      <c r="A1223" s="6">
        <v>44329</v>
      </c>
      <c r="B1223" t="s">
        <v>19</v>
      </c>
      <c r="C1223" t="s">
        <v>23</v>
      </c>
      <c r="D1223" t="s">
        <v>14</v>
      </c>
      <c r="E1223">
        <v>438</v>
      </c>
      <c r="F1223" s="3">
        <v>17459754.100000001</v>
      </c>
      <c r="G1223">
        <v>4218912.6900000004</v>
      </c>
      <c r="H1223">
        <v>13240841.41</v>
      </c>
      <c r="I1223">
        <v>3.15</v>
      </c>
      <c r="J1223">
        <v>4.22</v>
      </c>
      <c r="K1223" t="str">
        <f t="shared" si="19"/>
        <v>May 2021</v>
      </c>
    </row>
    <row r="1224" spans="1:11" x14ac:dyDescent="0.25">
      <c r="A1224" s="6">
        <v>44201</v>
      </c>
      <c r="B1224" t="s">
        <v>19</v>
      </c>
      <c r="C1224" t="s">
        <v>22</v>
      </c>
      <c r="D1224" t="s">
        <v>14</v>
      </c>
      <c r="E1224">
        <v>456</v>
      </c>
      <c r="F1224" s="3">
        <v>34898842.369999997</v>
      </c>
      <c r="G1224">
        <v>9629919.9000000004</v>
      </c>
      <c r="H1224">
        <v>25268922.469999999</v>
      </c>
      <c r="I1224">
        <v>3.67</v>
      </c>
      <c r="J1224">
        <v>3.82</v>
      </c>
      <c r="K1224" t="str">
        <f t="shared" si="19"/>
        <v>Jan 2021</v>
      </c>
    </row>
    <row r="1225" spans="1:11" x14ac:dyDescent="0.25">
      <c r="A1225" s="6">
        <v>45350</v>
      </c>
      <c r="B1225" t="s">
        <v>19</v>
      </c>
      <c r="C1225" t="s">
        <v>20</v>
      </c>
      <c r="D1225" t="s">
        <v>12</v>
      </c>
      <c r="E1225">
        <v>471</v>
      </c>
      <c r="F1225" s="3">
        <v>32475216.460000001</v>
      </c>
      <c r="G1225">
        <v>6621938.7400000002</v>
      </c>
      <c r="H1225">
        <v>25853277.719999999</v>
      </c>
      <c r="I1225">
        <v>3.24</v>
      </c>
      <c r="J1225">
        <v>4.45</v>
      </c>
      <c r="K1225" t="str">
        <f t="shared" si="19"/>
        <v>Feb 2024</v>
      </c>
    </row>
    <row r="1226" spans="1:11" x14ac:dyDescent="0.25">
      <c r="A1226" s="6">
        <v>44622</v>
      </c>
      <c r="B1226" t="s">
        <v>19</v>
      </c>
      <c r="C1226" t="s">
        <v>22</v>
      </c>
      <c r="D1226" t="s">
        <v>14</v>
      </c>
      <c r="E1226">
        <v>384</v>
      </c>
      <c r="F1226" s="3">
        <v>22679470.350000001</v>
      </c>
      <c r="G1226">
        <v>4970620.08</v>
      </c>
      <c r="H1226">
        <v>17708850.27</v>
      </c>
      <c r="I1226">
        <v>2.0699999999999998</v>
      </c>
      <c r="J1226">
        <v>4.2699999999999996</v>
      </c>
      <c r="K1226" t="str">
        <f t="shared" si="19"/>
        <v>Mar 2022</v>
      </c>
    </row>
    <row r="1227" spans="1:11" x14ac:dyDescent="0.25">
      <c r="A1227" s="6">
        <v>45027</v>
      </c>
      <c r="B1227" t="s">
        <v>19</v>
      </c>
      <c r="C1227" t="s">
        <v>24</v>
      </c>
      <c r="D1227" t="s">
        <v>17</v>
      </c>
      <c r="E1227">
        <v>384</v>
      </c>
      <c r="F1227" s="3">
        <v>21814983.559999999</v>
      </c>
      <c r="G1227">
        <v>6011831.2000000002</v>
      </c>
      <c r="H1227">
        <v>15803152.369999999</v>
      </c>
      <c r="I1227">
        <v>4.38</v>
      </c>
      <c r="J1227">
        <v>4.92</v>
      </c>
      <c r="K1227" t="str">
        <f t="shared" si="19"/>
        <v>Apr 2023</v>
      </c>
    </row>
    <row r="1228" spans="1:11" x14ac:dyDescent="0.25">
      <c r="A1228" s="6">
        <v>44429</v>
      </c>
      <c r="B1228" t="s">
        <v>19</v>
      </c>
      <c r="C1228" t="s">
        <v>20</v>
      </c>
      <c r="D1228" t="s">
        <v>12</v>
      </c>
      <c r="E1228">
        <v>437</v>
      </c>
      <c r="F1228" s="3">
        <v>26335400.530000001</v>
      </c>
      <c r="G1228">
        <v>6098797.2699999996</v>
      </c>
      <c r="H1228">
        <v>20236603.260000002</v>
      </c>
      <c r="I1228">
        <v>3.96</v>
      </c>
      <c r="J1228">
        <v>3.6</v>
      </c>
      <c r="K1228" t="str">
        <f t="shared" si="19"/>
        <v>Aug 2021</v>
      </c>
    </row>
    <row r="1229" spans="1:11" x14ac:dyDescent="0.25">
      <c r="A1229" s="6">
        <v>44166</v>
      </c>
      <c r="B1229" t="s">
        <v>19</v>
      </c>
      <c r="C1229" t="s">
        <v>24</v>
      </c>
      <c r="D1229" t="s">
        <v>12</v>
      </c>
      <c r="E1229">
        <v>118</v>
      </c>
      <c r="F1229" s="3">
        <v>10490411.41</v>
      </c>
      <c r="G1229">
        <v>3162611.27</v>
      </c>
      <c r="H1229">
        <v>7327800.1399999997</v>
      </c>
      <c r="I1229">
        <v>1.98</v>
      </c>
      <c r="J1229">
        <v>4.45</v>
      </c>
      <c r="K1229" t="str">
        <f t="shared" si="19"/>
        <v>Dec 2020</v>
      </c>
    </row>
    <row r="1230" spans="1:11" x14ac:dyDescent="0.25">
      <c r="A1230" s="6">
        <v>44844</v>
      </c>
      <c r="B1230" t="s">
        <v>19</v>
      </c>
      <c r="C1230" t="s">
        <v>23</v>
      </c>
      <c r="D1230" t="s">
        <v>14</v>
      </c>
      <c r="E1230">
        <v>289</v>
      </c>
      <c r="F1230" s="3">
        <v>15544147.23</v>
      </c>
      <c r="G1230">
        <v>4547398.5599999996</v>
      </c>
      <c r="H1230">
        <v>10996748.67</v>
      </c>
      <c r="I1230">
        <v>2.57</v>
      </c>
      <c r="J1230">
        <v>4.38</v>
      </c>
      <c r="K1230" t="str">
        <f t="shared" si="19"/>
        <v>Oct 2022</v>
      </c>
    </row>
    <row r="1231" spans="1:11" x14ac:dyDescent="0.25">
      <c r="A1231" s="6">
        <v>44426</v>
      </c>
      <c r="B1231" t="s">
        <v>19</v>
      </c>
      <c r="C1231" t="s">
        <v>22</v>
      </c>
      <c r="D1231" t="s">
        <v>14</v>
      </c>
      <c r="E1231">
        <v>423</v>
      </c>
      <c r="F1231" s="3">
        <v>31036236.100000001</v>
      </c>
      <c r="G1231">
        <v>11296772.369999999</v>
      </c>
      <c r="H1231">
        <v>19739463.739999998</v>
      </c>
      <c r="I1231">
        <v>3.63</v>
      </c>
      <c r="J1231">
        <v>4.12</v>
      </c>
      <c r="K1231" t="str">
        <f t="shared" si="19"/>
        <v>Aug 2021</v>
      </c>
    </row>
    <row r="1232" spans="1:11" x14ac:dyDescent="0.25">
      <c r="A1232" s="6">
        <v>44928</v>
      </c>
      <c r="B1232" t="s">
        <v>19</v>
      </c>
      <c r="C1232" t="s">
        <v>23</v>
      </c>
      <c r="D1232" t="s">
        <v>12</v>
      </c>
      <c r="E1232">
        <v>401</v>
      </c>
      <c r="F1232" s="3">
        <v>24488223.98</v>
      </c>
      <c r="G1232">
        <v>6525828.9100000001</v>
      </c>
      <c r="H1232">
        <v>17962395.07</v>
      </c>
      <c r="I1232">
        <v>1.28</v>
      </c>
      <c r="J1232">
        <v>3.79</v>
      </c>
      <c r="K1232" t="str">
        <f t="shared" si="19"/>
        <v>Jan 2023</v>
      </c>
    </row>
    <row r="1233" spans="1:11" x14ac:dyDescent="0.25">
      <c r="A1233" s="6">
        <v>44608</v>
      </c>
      <c r="B1233" t="s">
        <v>19</v>
      </c>
      <c r="C1233" t="s">
        <v>24</v>
      </c>
      <c r="D1233" t="s">
        <v>17</v>
      </c>
      <c r="E1233">
        <v>452</v>
      </c>
      <c r="F1233" s="3">
        <v>36249715.229999997</v>
      </c>
      <c r="G1233">
        <v>11998056.689999999</v>
      </c>
      <c r="H1233">
        <v>24251658.539999999</v>
      </c>
      <c r="I1233">
        <v>2.06</v>
      </c>
      <c r="J1233">
        <v>3.55</v>
      </c>
      <c r="K1233" t="str">
        <f t="shared" si="19"/>
        <v>Feb 2022</v>
      </c>
    </row>
    <row r="1234" spans="1:11" x14ac:dyDescent="0.25">
      <c r="A1234" s="6">
        <v>44293</v>
      </c>
      <c r="B1234" t="s">
        <v>19</v>
      </c>
      <c r="C1234" t="s">
        <v>22</v>
      </c>
      <c r="D1234" t="s">
        <v>14</v>
      </c>
      <c r="E1234">
        <v>375</v>
      </c>
      <c r="F1234" s="3">
        <v>15613114.84</v>
      </c>
      <c r="G1234">
        <v>4806407.57</v>
      </c>
      <c r="H1234">
        <v>10806707.27</v>
      </c>
      <c r="I1234">
        <v>1.43</v>
      </c>
      <c r="J1234">
        <v>4.05</v>
      </c>
      <c r="K1234" t="str">
        <f t="shared" si="19"/>
        <v>Apr 2021</v>
      </c>
    </row>
    <row r="1235" spans="1:11" x14ac:dyDescent="0.25">
      <c r="A1235" s="6">
        <v>45429</v>
      </c>
      <c r="B1235" t="s">
        <v>19</v>
      </c>
      <c r="C1235" t="s">
        <v>23</v>
      </c>
      <c r="D1235" t="s">
        <v>17</v>
      </c>
      <c r="E1235">
        <v>127</v>
      </c>
      <c r="F1235" s="3">
        <v>6750745.0999999996</v>
      </c>
      <c r="G1235">
        <v>2266113.39</v>
      </c>
      <c r="H1235">
        <v>4484631.71</v>
      </c>
      <c r="I1235">
        <v>0.92</v>
      </c>
      <c r="J1235">
        <v>4.22</v>
      </c>
      <c r="K1235" t="str">
        <f t="shared" si="19"/>
        <v>May 2024</v>
      </c>
    </row>
    <row r="1236" spans="1:11" x14ac:dyDescent="0.25">
      <c r="A1236" s="6">
        <v>44160</v>
      </c>
      <c r="B1236" t="s">
        <v>19</v>
      </c>
      <c r="C1236" t="s">
        <v>21</v>
      </c>
      <c r="D1236" t="s">
        <v>14</v>
      </c>
      <c r="E1236">
        <v>263</v>
      </c>
      <c r="F1236" s="3">
        <v>10387644.4</v>
      </c>
      <c r="G1236">
        <v>2340172.94</v>
      </c>
      <c r="H1236">
        <v>8047471.46</v>
      </c>
      <c r="I1236">
        <v>4.6399999999999997</v>
      </c>
      <c r="J1236">
        <v>3.59</v>
      </c>
      <c r="K1236" t="str">
        <f t="shared" si="19"/>
        <v>Nov 2020</v>
      </c>
    </row>
    <row r="1237" spans="1:11" x14ac:dyDescent="0.25">
      <c r="A1237" s="6">
        <v>44952</v>
      </c>
      <c r="B1237" t="s">
        <v>19</v>
      </c>
      <c r="C1237" t="s">
        <v>21</v>
      </c>
      <c r="D1237" t="s">
        <v>12</v>
      </c>
      <c r="E1237">
        <v>75</v>
      </c>
      <c r="F1237" s="3">
        <v>6206742.0700000003</v>
      </c>
      <c r="G1237">
        <v>2377781.77</v>
      </c>
      <c r="H1237">
        <v>3828960.29</v>
      </c>
      <c r="I1237">
        <v>3.19</v>
      </c>
      <c r="J1237">
        <v>4.9800000000000004</v>
      </c>
      <c r="K1237" t="str">
        <f t="shared" si="19"/>
        <v>Jan 2023</v>
      </c>
    </row>
    <row r="1238" spans="1:11" x14ac:dyDescent="0.25">
      <c r="A1238" s="6">
        <v>44620</v>
      </c>
      <c r="B1238" t="s">
        <v>19</v>
      </c>
      <c r="C1238" t="s">
        <v>23</v>
      </c>
      <c r="D1238" t="s">
        <v>17</v>
      </c>
      <c r="E1238">
        <v>352</v>
      </c>
      <c r="F1238" s="3">
        <v>19492339.91</v>
      </c>
      <c r="G1238">
        <v>5908038.6200000001</v>
      </c>
      <c r="H1238">
        <v>13584301.289999999</v>
      </c>
      <c r="I1238">
        <v>3.28</v>
      </c>
      <c r="J1238">
        <v>4.05</v>
      </c>
      <c r="K1238" t="str">
        <f t="shared" si="19"/>
        <v>Feb 2022</v>
      </c>
    </row>
    <row r="1239" spans="1:11" x14ac:dyDescent="0.25">
      <c r="A1239" s="6">
        <v>44918</v>
      </c>
      <c r="B1239" t="s">
        <v>19</v>
      </c>
      <c r="C1239" t="s">
        <v>20</v>
      </c>
      <c r="D1239" t="s">
        <v>12</v>
      </c>
      <c r="E1239">
        <v>265</v>
      </c>
      <c r="F1239" s="3">
        <v>19776521.59</v>
      </c>
      <c r="G1239">
        <v>7664029.5800000001</v>
      </c>
      <c r="H1239">
        <v>12112492.02</v>
      </c>
      <c r="I1239">
        <v>1.1599999999999999</v>
      </c>
      <c r="J1239">
        <v>3.7</v>
      </c>
      <c r="K1239" t="str">
        <f t="shared" si="19"/>
        <v>Dec 2022</v>
      </c>
    </row>
    <row r="1240" spans="1:11" x14ac:dyDescent="0.25">
      <c r="A1240" s="6">
        <v>44668</v>
      </c>
      <c r="B1240" t="s">
        <v>19</v>
      </c>
      <c r="C1240" t="s">
        <v>23</v>
      </c>
      <c r="D1240" t="s">
        <v>12</v>
      </c>
      <c r="E1240">
        <v>52</v>
      </c>
      <c r="F1240" s="3">
        <v>4380291.5599999996</v>
      </c>
      <c r="G1240">
        <v>1303857.3500000001</v>
      </c>
      <c r="H1240">
        <v>3076434.21</v>
      </c>
      <c r="I1240">
        <v>2.89</v>
      </c>
      <c r="J1240">
        <v>3.66</v>
      </c>
      <c r="K1240" t="str">
        <f t="shared" si="19"/>
        <v>Apr 2022</v>
      </c>
    </row>
    <row r="1241" spans="1:11" x14ac:dyDescent="0.25">
      <c r="A1241" s="6">
        <v>44899</v>
      </c>
      <c r="B1241" t="s">
        <v>19</v>
      </c>
      <c r="C1241" t="s">
        <v>21</v>
      </c>
      <c r="D1241" t="s">
        <v>12</v>
      </c>
      <c r="E1241">
        <v>343</v>
      </c>
      <c r="F1241" s="3">
        <v>22052824.73</v>
      </c>
      <c r="G1241">
        <v>7751697.9900000002</v>
      </c>
      <c r="H1241">
        <v>14301126.74</v>
      </c>
      <c r="I1241">
        <v>1.71</v>
      </c>
      <c r="J1241">
        <v>4.07</v>
      </c>
      <c r="K1241" t="str">
        <f t="shared" si="19"/>
        <v>Dec 2022</v>
      </c>
    </row>
    <row r="1242" spans="1:11" x14ac:dyDescent="0.25">
      <c r="A1242" s="6">
        <v>44623</v>
      </c>
      <c r="B1242" t="s">
        <v>19</v>
      </c>
      <c r="C1242" t="s">
        <v>20</v>
      </c>
      <c r="D1242" t="s">
        <v>17</v>
      </c>
      <c r="E1242">
        <v>251</v>
      </c>
      <c r="F1242" s="3">
        <v>16570538.1</v>
      </c>
      <c r="G1242">
        <v>3842011.87</v>
      </c>
      <c r="H1242">
        <v>12728526.23</v>
      </c>
      <c r="I1242">
        <v>0.9</v>
      </c>
      <c r="J1242">
        <v>4.3</v>
      </c>
      <c r="K1242" t="str">
        <f t="shared" si="19"/>
        <v>Mar 2022</v>
      </c>
    </row>
    <row r="1243" spans="1:11" x14ac:dyDescent="0.25">
      <c r="A1243" s="6">
        <v>44819</v>
      </c>
      <c r="B1243" t="s">
        <v>19</v>
      </c>
      <c r="C1243" t="s">
        <v>22</v>
      </c>
      <c r="D1243" t="s">
        <v>12</v>
      </c>
      <c r="E1243">
        <v>74</v>
      </c>
      <c r="F1243" s="3">
        <v>6214446.0300000003</v>
      </c>
      <c r="G1243">
        <v>1748008.76</v>
      </c>
      <c r="H1243">
        <v>4466437.2699999996</v>
      </c>
      <c r="I1243">
        <v>3.56</v>
      </c>
      <c r="J1243">
        <v>4.68</v>
      </c>
      <c r="K1243" t="str">
        <f t="shared" si="19"/>
        <v>Sep 2022</v>
      </c>
    </row>
    <row r="1244" spans="1:11" x14ac:dyDescent="0.25">
      <c r="A1244" s="6">
        <v>43863</v>
      </c>
      <c r="B1244" t="s">
        <v>19</v>
      </c>
      <c r="C1244" t="s">
        <v>23</v>
      </c>
      <c r="D1244" t="s">
        <v>14</v>
      </c>
      <c r="E1244">
        <v>158</v>
      </c>
      <c r="F1244" s="3">
        <v>9697568.4600000009</v>
      </c>
      <c r="G1244">
        <v>2745964.49</v>
      </c>
      <c r="H1244">
        <v>6951603.9800000004</v>
      </c>
      <c r="I1244">
        <v>3.82</v>
      </c>
      <c r="J1244">
        <v>4.34</v>
      </c>
      <c r="K1244" t="str">
        <f t="shared" si="19"/>
        <v>Feb 2020</v>
      </c>
    </row>
    <row r="1245" spans="1:11" x14ac:dyDescent="0.25">
      <c r="A1245" s="6">
        <v>44922</v>
      </c>
      <c r="B1245" t="s">
        <v>19</v>
      </c>
      <c r="C1245" t="s">
        <v>24</v>
      </c>
      <c r="D1245" t="s">
        <v>12</v>
      </c>
      <c r="E1245">
        <v>473</v>
      </c>
      <c r="F1245" s="3">
        <v>27784623.100000001</v>
      </c>
      <c r="G1245">
        <v>10404895.109999999</v>
      </c>
      <c r="H1245">
        <v>17379727.98</v>
      </c>
      <c r="I1245">
        <v>1.78</v>
      </c>
      <c r="J1245">
        <v>4.04</v>
      </c>
      <c r="K1245" t="str">
        <f t="shared" si="19"/>
        <v>Dec 2022</v>
      </c>
    </row>
    <row r="1246" spans="1:11" x14ac:dyDescent="0.25">
      <c r="A1246" s="6">
        <v>45566</v>
      </c>
      <c r="B1246" t="s">
        <v>19</v>
      </c>
      <c r="C1246" t="s">
        <v>24</v>
      </c>
      <c r="D1246" t="s">
        <v>14</v>
      </c>
      <c r="E1246">
        <v>331</v>
      </c>
      <c r="F1246" s="3">
        <v>22645542.82</v>
      </c>
      <c r="G1246">
        <v>7951515.1600000001</v>
      </c>
      <c r="H1246">
        <v>14694027.66</v>
      </c>
      <c r="I1246">
        <v>2.74</v>
      </c>
      <c r="J1246">
        <v>4</v>
      </c>
      <c r="K1246" t="str">
        <f t="shared" si="19"/>
        <v>Oct 2024</v>
      </c>
    </row>
    <row r="1247" spans="1:11" x14ac:dyDescent="0.25">
      <c r="A1247" s="6">
        <v>43977</v>
      </c>
      <c r="B1247" t="s">
        <v>19</v>
      </c>
      <c r="C1247" t="s">
        <v>20</v>
      </c>
      <c r="D1247" t="s">
        <v>14</v>
      </c>
      <c r="E1247">
        <v>426</v>
      </c>
      <c r="F1247" s="3">
        <v>20468223.73</v>
      </c>
      <c r="G1247">
        <v>7770628.21</v>
      </c>
      <c r="H1247">
        <v>12697595.52</v>
      </c>
      <c r="I1247">
        <v>1.19</v>
      </c>
      <c r="J1247">
        <v>3.87</v>
      </c>
      <c r="K1247" t="str">
        <f t="shared" si="19"/>
        <v>May 2020</v>
      </c>
    </row>
    <row r="1248" spans="1:11" x14ac:dyDescent="0.25">
      <c r="A1248" s="6">
        <v>44511</v>
      </c>
      <c r="B1248" t="s">
        <v>19</v>
      </c>
      <c r="C1248" t="s">
        <v>23</v>
      </c>
      <c r="D1248" t="s">
        <v>12</v>
      </c>
      <c r="E1248">
        <v>53</v>
      </c>
      <c r="F1248" s="3">
        <v>4335133.0599999996</v>
      </c>
      <c r="G1248">
        <v>1657852.32</v>
      </c>
      <c r="H1248">
        <v>2677280.75</v>
      </c>
      <c r="I1248">
        <v>4.13</v>
      </c>
      <c r="J1248">
        <v>3.58</v>
      </c>
      <c r="K1248" t="str">
        <f t="shared" si="19"/>
        <v>Nov 2021</v>
      </c>
    </row>
    <row r="1249" spans="1:11" x14ac:dyDescent="0.25">
      <c r="A1249" s="6">
        <v>44697</v>
      </c>
      <c r="B1249" t="s">
        <v>19</v>
      </c>
      <c r="C1249" t="s">
        <v>23</v>
      </c>
      <c r="D1249" t="s">
        <v>14</v>
      </c>
      <c r="E1249">
        <v>186</v>
      </c>
      <c r="F1249" s="3">
        <v>7330791.2199999997</v>
      </c>
      <c r="G1249">
        <v>2163299.79</v>
      </c>
      <c r="H1249">
        <v>5167491.43</v>
      </c>
      <c r="I1249">
        <v>2.35</v>
      </c>
      <c r="J1249">
        <v>4.97</v>
      </c>
      <c r="K1249" t="str">
        <f t="shared" si="19"/>
        <v>May 2022</v>
      </c>
    </row>
    <row r="1250" spans="1:11" x14ac:dyDescent="0.25">
      <c r="A1250" s="6">
        <v>44738</v>
      </c>
      <c r="B1250" t="s">
        <v>19</v>
      </c>
      <c r="C1250" t="s">
        <v>24</v>
      </c>
      <c r="D1250" t="s">
        <v>14</v>
      </c>
      <c r="E1250">
        <v>272</v>
      </c>
      <c r="F1250" s="3">
        <v>22933289.530000001</v>
      </c>
      <c r="G1250">
        <v>6531408.1200000001</v>
      </c>
      <c r="H1250">
        <v>16401881.42</v>
      </c>
      <c r="I1250">
        <v>4.63</v>
      </c>
      <c r="J1250">
        <v>3.51</v>
      </c>
      <c r="K1250" t="str">
        <f t="shared" si="19"/>
        <v>Jun 2022</v>
      </c>
    </row>
    <row r="1251" spans="1:11" x14ac:dyDescent="0.25">
      <c r="A1251" s="6">
        <v>43891</v>
      </c>
      <c r="B1251" t="s">
        <v>19</v>
      </c>
      <c r="C1251" t="s">
        <v>20</v>
      </c>
      <c r="D1251" t="s">
        <v>17</v>
      </c>
      <c r="E1251">
        <v>167</v>
      </c>
      <c r="F1251" s="3">
        <v>8213837.4699999997</v>
      </c>
      <c r="G1251">
        <v>3004806.41</v>
      </c>
      <c r="H1251">
        <v>5209031.05</v>
      </c>
      <c r="I1251">
        <v>3.51</v>
      </c>
      <c r="J1251">
        <v>4.8899999999999997</v>
      </c>
      <c r="K1251" t="str">
        <f t="shared" si="19"/>
        <v>Mar 2020</v>
      </c>
    </row>
    <row r="1252" spans="1:11" x14ac:dyDescent="0.25">
      <c r="A1252" s="6">
        <v>45148</v>
      </c>
      <c r="B1252" t="s">
        <v>19</v>
      </c>
      <c r="C1252" t="s">
        <v>22</v>
      </c>
      <c r="D1252" t="s">
        <v>12</v>
      </c>
      <c r="E1252">
        <v>384</v>
      </c>
      <c r="F1252" s="3">
        <v>24739975.780000001</v>
      </c>
      <c r="G1252">
        <v>7537679.4100000001</v>
      </c>
      <c r="H1252">
        <v>17202296.370000001</v>
      </c>
      <c r="I1252">
        <v>4.2699999999999996</v>
      </c>
      <c r="J1252">
        <v>3.81</v>
      </c>
      <c r="K1252" t="str">
        <f t="shared" si="19"/>
        <v>Aug 2023</v>
      </c>
    </row>
    <row r="1253" spans="1:11" x14ac:dyDescent="0.25">
      <c r="A1253" s="6">
        <v>45132</v>
      </c>
      <c r="B1253" t="s">
        <v>19</v>
      </c>
      <c r="C1253" t="s">
        <v>22</v>
      </c>
      <c r="D1253" t="s">
        <v>17</v>
      </c>
      <c r="E1253">
        <v>459</v>
      </c>
      <c r="F1253" s="3">
        <v>24236282.32</v>
      </c>
      <c r="G1253">
        <v>7632313.4000000004</v>
      </c>
      <c r="H1253">
        <v>16603968.92</v>
      </c>
      <c r="I1253">
        <v>2.78</v>
      </c>
      <c r="J1253">
        <v>3.86</v>
      </c>
      <c r="K1253" t="str">
        <f t="shared" si="19"/>
        <v>Jul 2023</v>
      </c>
    </row>
    <row r="1254" spans="1:11" x14ac:dyDescent="0.25">
      <c r="A1254" s="6">
        <v>45470</v>
      </c>
      <c r="B1254" t="s">
        <v>19</v>
      </c>
      <c r="C1254" t="s">
        <v>22</v>
      </c>
      <c r="D1254" t="s">
        <v>14</v>
      </c>
      <c r="E1254">
        <v>96</v>
      </c>
      <c r="F1254" s="3">
        <v>7094174.9100000001</v>
      </c>
      <c r="G1254">
        <v>1748317.55</v>
      </c>
      <c r="H1254">
        <v>5345857.3600000003</v>
      </c>
      <c r="I1254">
        <v>0.89</v>
      </c>
      <c r="J1254">
        <v>4.26</v>
      </c>
      <c r="K1254" t="str">
        <f t="shared" si="19"/>
        <v>Jun 2024</v>
      </c>
    </row>
    <row r="1255" spans="1:11" x14ac:dyDescent="0.25">
      <c r="A1255" s="6">
        <v>45652</v>
      </c>
      <c r="B1255" t="s">
        <v>19</v>
      </c>
      <c r="C1255" t="s">
        <v>21</v>
      </c>
      <c r="D1255" t="s">
        <v>14</v>
      </c>
      <c r="E1255">
        <v>405</v>
      </c>
      <c r="F1255" s="3">
        <v>21317304.829999998</v>
      </c>
      <c r="G1255">
        <v>5994924.5300000003</v>
      </c>
      <c r="H1255">
        <v>15322380.300000001</v>
      </c>
      <c r="I1255">
        <v>2.16</v>
      </c>
      <c r="J1255">
        <v>4.18</v>
      </c>
      <c r="K1255" t="str">
        <f t="shared" si="19"/>
        <v>Dec 2024</v>
      </c>
    </row>
    <row r="1256" spans="1:11" x14ac:dyDescent="0.25">
      <c r="A1256" s="6">
        <v>44400</v>
      </c>
      <c r="B1256" t="s">
        <v>19</v>
      </c>
      <c r="C1256" t="s">
        <v>22</v>
      </c>
      <c r="D1256" t="s">
        <v>12</v>
      </c>
      <c r="E1256">
        <v>310</v>
      </c>
      <c r="F1256" s="3">
        <v>11930543.25</v>
      </c>
      <c r="G1256">
        <v>2410064.63</v>
      </c>
      <c r="H1256">
        <v>9520478.6199999992</v>
      </c>
      <c r="I1256">
        <v>1.95</v>
      </c>
      <c r="J1256">
        <v>4.71</v>
      </c>
      <c r="K1256" t="str">
        <f t="shared" si="19"/>
        <v>Jul 2021</v>
      </c>
    </row>
    <row r="1257" spans="1:11" x14ac:dyDescent="0.25">
      <c r="A1257" s="6">
        <v>44014</v>
      </c>
      <c r="B1257" t="s">
        <v>19</v>
      </c>
      <c r="C1257" t="s">
        <v>22</v>
      </c>
      <c r="D1257" t="s">
        <v>12</v>
      </c>
      <c r="E1257">
        <v>370</v>
      </c>
      <c r="F1257" s="3">
        <v>15775084.140000001</v>
      </c>
      <c r="G1257">
        <v>6301480.7199999997</v>
      </c>
      <c r="H1257">
        <v>9473603.4199999999</v>
      </c>
      <c r="I1257">
        <v>1.03</v>
      </c>
      <c r="J1257">
        <v>4.21</v>
      </c>
      <c r="K1257" t="str">
        <f t="shared" si="19"/>
        <v>Jul 2020</v>
      </c>
    </row>
    <row r="1258" spans="1:11" x14ac:dyDescent="0.25">
      <c r="A1258" s="6">
        <v>45506</v>
      </c>
      <c r="B1258" t="s">
        <v>19</v>
      </c>
      <c r="C1258" t="s">
        <v>20</v>
      </c>
      <c r="D1258" t="s">
        <v>12</v>
      </c>
      <c r="E1258">
        <v>87</v>
      </c>
      <c r="F1258" s="3">
        <v>5015658.7699999996</v>
      </c>
      <c r="G1258">
        <v>1656302.67</v>
      </c>
      <c r="H1258">
        <v>3359356.1</v>
      </c>
      <c r="I1258">
        <v>4.68</v>
      </c>
      <c r="J1258">
        <v>4.75</v>
      </c>
      <c r="K1258" t="str">
        <f t="shared" si="19"/>
        <v>Aug 2024</v>
      </c>
    </row>
    <row r="1259" spans="1:11" x14ac:dyDescent="0.25">
      <c r="A1259" s="6">
        <v>44677</v>
      </c>
      <c r="B1259" t="s">
        <v>19</v>
      </c>
      <c r="C1259" t="s">
        <v>21</v>
      </c>
      <c r="D1259" t="s">
        <v>14</v>
      </c>
      <c r="E1259">
        <v>285</v>
      </c>
      <c r="F1259" s="3">
        <v>16378524.24</v>
      </c>
      <c r="G1259">
        <v>3495379.95</v>
      </c>
      <c r="H1259">
        <v>12883144.289999999</v>
      </c>
      <c r="I1259">
        <v>4.96</v>
      </c>
      <c r="J1259">
        <v>3.81</v>
      </c>
      <c r="K1259" t="str">
        <f t="shared" si="19"/>
        <v>Apr 2022</v>
      </c>
    </row>
    <row r="1260" spans="1:11" x14ac:dyDescent="0.25">
      <c r="A1260" s="6">
        <v>43984</v>
      </c>
      <c r="B1260" t="s">
        <v>19</v>
      </c>
      <c r="C1260" t="s">
        <v>24</v>
      </c>
      <c r="D1260" t="s">
        <v>12</v>
      </c>
      <c r="E1260">
        <v>84</v>
      </c>
      <c r="F1260" s="3">
        <v>7220196.3399999999</v>
      </c>
      <c r="G1260">
        <v>1846064.78</v>
      </c>
      <c r="H1260">
        <v>5374131.5599999996</v>
      </c>
      <c r="I1260">
        <v>0.72</v>
      </c>
      <c r="J1260">
        <v>4.67</v>
      </c>
      <c r="K1260" t="str">
        <f t="shared" si="19"/>
        <v>Jun 2020</v>
      </c>
    </row>
    <row r="1261" spans="1:11" x14ac:dyDescent="0.25">
      <c r="A1261" s="6">
        <v>45526</v>
      </c>
      <c r="B1261" t="s">
        <v>19</v>
      </c>
      <c r="C1261" t="s">
        <v>21</v>
      </c>
      <c r="D1261" t="s">
        <v>14</v>
      </c>
      <c r="E1261">
        <v>316</v>
      </c>
      <c r="F1261" s="3">
        <v>24881745.879999999</v>
      </c>
      <c r="G1261">
        <v>8949330.4000000004</v>
      </c>
      <c r="H1261">
        <v>15932415.48</v>
      </c>
      <c r="I1261">
        <v>1.24</v>
      </c>
      <c r="J1261">
        <v>3.75</v>
      </c>
      <c r="K1261" t="str">
        <f t="shared" si="19"/>
        <v>Aug 2024</v>
      </c>
    </row>
    <row r="1262" spans="1:11" x14ac:dyDescent="0.25">
      <c r="A1262" s="6">
        <v>44146</v>
      </c>
      <c r="B1262" t="s">
        <v>19</v>
      </c>
      <c r="C1262" t="s">
        <v>23</v>
      </c>
      <c r="D1262" t="s">
        <v>14</v>
      </c>
      <c r="E1262">
        <v>54</v>
      </c>
      <c r="F1262" s="3">
        <v>2590004.4900000002</v>
      </c>
      <c r="G1262">
        <v>707714.29</v>
      </c>
      <c r="H1262">
        <v>1882290.2</v>
      </c>
      <c r="I1262">
        <v>4.59</v>
      </c>
      <c r="J1262">
        <v>3.97</v>
      </c>
      <c r="K1262" t="str">
        <f t="shared" si="19"/>
        <v>Nov 2020</v>
      </c>
    </row>
    <row r="1263" spans="1:11" x14ac:dyDescent="0.25">
      <c r="A1263" s="6">
        <v>44077</v>
      </c>
      <c r="B1263" t="s">
        <v>19</v>
      </c>
      <c r="C1263" t="s">
        <v>21</v>
      </c>
      <c r="D1263" t="s">
        <v>17</v>
      </c>
      <c r="E1263">
        <v>91</v>
      </c>
      <c r="F1263" s="3">
        <v>5149187.76</v>
      </c>
      <c r="G1263">
        <v>1218710.3400000001</v>
      </c>
      <c r="H1263">
        <v>3930477.43</v>
      </c>
      <c r="I1263">
        <v>2.48</v>
      </c>
      <c r="J1263">
        <v>4.07</v>
      </c>
      <c r="K1263" t="str">
        <f t="shared" si="19"/>
        <v>Sep 2020</v>
      </c>
    </row>
    <row r="1264" spans="1:11" x14ac:dyDescent="0.25">
      <c r="A1264" s="6">
        <v>44766</v>
      </c>
      <c r="B1264" t="s">
        <v>19</v>
      </c>
      <c r="C1264" t="s">
        <v>21</v>
      </c>
      <c r="D1264" t="s">
        <v>14</v>
      </c>
      <c r="E1264">
        <v>228</v>
      </c>
      <c r="F1264" s="3">
        <v>15806233.359999999</v>
      </c>
      <c r="G1264">
        <v>4616112.26</v>
      </c>
      <c r="H1264">
        <v>11190121.1</v>
      </c>
      <c r="I1264">
        <v>2.4700000000000002</v>
      </c>
      <c r="J1264">
        <v>4.37</v>
      </c>
      <c r="K1264" t="str">
        <f t="shared" si="19"/>
        <v>Jul 2022</v>
      </c>
    </row>
    <row r="1265" spans="1:11" x14ac:dyDescent="0.25">
      <c r="A1265" s="6">
        <v>44392</v>
      </c>
      <c r="B1265" t="s">
        <v>19</v>
      </c>
      <c r="C1265" t="s">
        <v>22</v>
      </c>
      <c r="D1265" t="s">
        <v>12</v>
      </c>
      <c r="E1265">
        <v>194</v>
      </c>
      <c r="F1265" s="3">
        <v>16388460.699999999</v>
      </c>
      <c r="G1265">
        <v>5297107.04</v>
      </c>
      <c r="H1265">
        <v>11091353.66</v>
      </c>
      <c r="I1265">
        <v>2.95</v>
      </c>
      <c r="J1265">
        <v>4.8600000000000003</v>
      </c>
      <c r="K1265" t="str">
        <f t="shared" si="19"/>
        <v>Jul 2021</v>
      </c>
    </row>
    <row r="1266" spans="1:11" x14ac:dyDescent="0.25">
      <c r="A1266" s="6">
        <v>44383</v>
      </c>
      <c r="B1266" t="s">
        <v>19</v>
      </c>
      <c r="C1266" t="s">
        <v>22</v>
      </c>
      <c r="D1266" t="s">
        <v>17</v>
      </c>
      <c r="E1266">
        <v>484</v>
      </c>
      <c r="F1266" s="3">
        <v>31390648.649999999</v>
      </c>
      <c r="G1266">
        <v>9847069.7899999991</v>
      </c>
      <c r="H1266">
        <v>21543578.850000001</v>
      </c>
      <c r="I1266">
        <v>2</v>
      </c>
      <c r="J1266">
        <v>4.5999999999999996</v>
      </c>
      <c r="K1266" t="str">
        <f t="shared" si="19"/>
        <v>Jul 2021</v>
      </c>
    </row>
    <row r="1267" spans="1:11" x14ac:dyDescent="0.25">
      <c r="A1267" s="6">
        <v>44986</v>
      </c>
      <c r="B1267" t="s">
        <v>19</v>
      </c>
      <c r="C1267" t="s">
        <v>20</v>
      </c>
      <c r="D1267" t="s">
        <v>17</v>
      </c>
      <c r="E1267">
        <v>91</v>
      </c>
      <c r="F1267" s="3">
        <v>3882056.72</v>
      </c>
      <c r="G1267">
        <v>936332.52</v>
      </c>
      <c r="H1267">
        <v>2945724.2</v>
      </c>
      <c r="I1267">
        <v>3.29</v>
      </c>
      <c r="J1267">
        <v>4.3</v>
      </c>
      <c r="K1267" t="str">
        <f t="shared" si="19"/>
        <v>Mar 2023</v>
      </c>
    </row>
    <row r="1268" spans="1:11" x14ac:dyDescent="0.25">
      <c r="A1268" s="6">
        <v>44501</v>
      </c>
      <c r="B1268" t="s">
        <v>19</v>
      </c>
      <c r="C1268" t="s">
        <v>23</v>
      </c>
      <c r="D1268" t="s">
        <v>14</v>
      </c>
      <c r="E1268">
        <v>280</v>
      </c>
      <c r="F1268" s="3">
        <v>18626523.079999998</v>
      </c>
      <c r="G1268">
        <v>3733900.32</v>
      </c>
      <c r="H1268">
        <v>14892622.75</v>
      </c>
      <c r="I1268">
        <v>3.89</v>
      </c>
      <c r="J1268">
        <v>4.5599999999999996</v>
      </c>
      <c r="K1268" t="str">
        <f t="shared" si="19"/>
        <v>Nov 2021</v>
      </c>
    </row>
    <row r="1269" spans="1:11" x14ac:dyDescent="0.25">
      <c r="A1269" s="6">
        <v>44823</v>
      </c>
      <c r="B1269" t="s">
        <v>19</v>
      </c>
      <c r="C1269" t="s">
        <v>24</v>
      </c>
      <c r="D1269" t="s">
        <v>17</v>
      </c>
      <c r="E1269">
        <v>460</v>
      </c>
      <c r="F1269" s="3">
        <v>34921841.200000003</v>
      </c>
      <c r="G1269">
        <v>13734533.609999999</v>
      </c>
      <c r="H1269">
        <v>21187307.59</v>
      </c>
      <c r="I1269">
        <v>3.06</v>
      </c>
      <c r="J1269">
        <v>4.6399999999999997</v>
      </c>
      <c r="K1269" t="str">
        <f t="shared" si="19"/>
        <v>Sep 2022</v>
      </c>
    </row>
    <row r="1270" spans="1:11" x14ac:dyDescent="0.25">
      <c r="A1270" s="6">
        <v>44626</v>
      </c>
      <c r="B1270" t="s">
        <v>19</v>
      </c>
      <c r="C1270" t="s">
        <v>23</v>
      </c>
      <c r="D1270" t="s">
        <v>17</v>
      </c>
      <c r="E1270">
        <v>172</v>
      </c>
      <c r="F1270" s="3">
        <v>13158849.859999999</v>
      </c>
      <c r="G1270">
        <v>4992688.63</v>
      </c>
      <c r="H1270">
        <v>8166161.2400000002</v>
      </c>
      <c r="I1270">
        <v>2.91</v>
      </c>
      <c r="J1270">
        <v>4.07</v>
      </c>
      <c r="K1270" t="str">
        <f t="shared" si="19"/>
        <v>Mar 2022</v>
      </c>
    </row>
    <row r="1271" spans="1:11" x14ac:dyDescent="0.25">
      <c r="A1271" s="6">
        <v>45606</v>
      </c>
      <c r="B1271" t="s">
        <v>19</v>
      </c>
      <c r="C1271" t="s">
        <v>23</v>
      </c>
      <c r="D1271" t="s">
        <v>17</v>
      </c>
      <c r="E1271">
        <v>414</v>
      </c>
      <c r="F1271" s="3">
        <v>17392916.84</v>
      </c>
      <c r="G1271">
        <v>5575169.7800000003</v>
      </c>
      <c r="H1271">
        <v>11817747.07</v>
      </c>
      <c r="I1271">
        <v>4.09</v>
      </c>
      <c r="J1271">
        <v>3.72</v>
      </c>
      <c r="K1271" t="str">
        <f t="shared" si="19"/>
        <v>Nov 2024</v>
      </c>
    </row>
    <row r="1272" spans="1:11" x14ac:dyDescent="0.25">
      <c r="A1272" s="6">
        <v>44592</v>
      </c>
      <c r="B1272" t="s">
        <v>19</v>
      </c>
      <c r="C1272" t="s">
        <v>23</v>
      </c>
      <c r="D1272" t="s">
        <v>17</v>
      </c>
      <c r="E1272">
        <v>96</v>
      </c>
      <c r="F1272" s="3">
        <v>5519283.3399999999</v>
      </c>
      <c r="G1272">
        <v>1355666.26</v>
      </c>
      <c r="H1272">
        <v>4163617.07</v>
      </c>
      <c r="I1272">
        <v>0.55000000000000004</v>
      </c>
      <c r="J1272">
        <v>4.4000000000000004</v>
      </c>
      <c r="K1272" t="str">
        <f t="shared" si="19"/>
        <v>Jan 2022</v>
      </c>
    </row>
    <row r="1273" spans="1:11" x14ac:dyDescent="0.25">
      <c r="A1273" s="6">
        <v>45418</v>
      </c>
      <c r="B1273" t="s">
        <v>19</v>
      </c>
      <c r="C1273" t="s">
        <v>20</v>
      </c>
      <c r="D1273" t="s">
        <v>17</v>
      </c>
      <c r="E1273">
        <v>469</v>
      </c>
      <c r="F1273" s="3">
        <v>30414577.02</v>
      </c>
      <c r="G1273">
        <v>10634158.43</v>
      </c>
      <c r="H1273">
        <v>19780418.579999998</v>
      </c>
      <c r="I1273">
        <v>2.06</v>
      </c>
      <c r="J1273">
        <v>3.77</v>
      </c>
      <c r="K1273" t="str">
        <f t="shared" si="19"/>
        <v>May 2024</v>
      </c>
    </row>
    <row r="1274" spans="1:11" x14ac:dyDescent="0.25">
      <c r="A1274" s="6">
        <v>44869</v>
      </c>
      <c r="B1274" t="s">
        <v>19</v>
      </c>
      <c r="C1274" t="s">
        <v>23</v>
      </c>
      <c r="D1274" t="s">
        <v>17</v>
      </c>
      <c r="E1274">
        <v>379</v>
      </c>
      <c r="F1274" s="3">
        <v>20404918.140000001</v>
      </c>
      <c r="G1274">
        <v>7234151.6200000001</v>
      </c>
      <c r="H1274">
        <v>13170766.52</v>
      </c>
      <c r="I1274">
        <v>2.41</v>
      </c>
      <c r="J1274">
        <v>3.93</v>
      </c>
      <c r="K1274" t="str">
        <f t="shared" si="19"/>
        <v>Nov 2022</v>
      </c>
    </row>
    <row r="1275" spans="1:11" x14ac:dyDescent="0.25">
      <c r="A1275" s="6">
        <v>44423</v>
      </c>
      <c r="B1275" t="s">
        <v>19</v>
      </c>
      <c r="C1275" t="s">
        <v>21</v>
      </c>
      <c r="D1275" t="s">
        <v>14</v>
      </c>
      <c r="E1275">
        <v>412</v>
      </c>
      <c r="F1275" s="3">
        <v>17894942.789999999</v>
      </c>
      <c r="G1275">
        <v>5059867.26</v>
      </c>
      <c r="H1275">
        <v>12835075.539999999</v>
      </c>
      <c r="I1275">
        <v>2.78</v>
      </c>
      <c r="J1275">
        <v>4.42</v>
      </c>
      <c r="K1275" t="str">
        <f t="shared" si="19"/>
        <v>Aug 2021</v>
      </c>
    </row>
    <row r="1276" spans="1:11" x14ac:dyDescent="0.25">
      <c r="A1276" s="6">
        <v>45033</v>
      </c>
      <c r="B1276" t="s">
        <v>19</v>
      </c>
      <c r="C1276" t="s">
        <v>20</v>
      </c>
      <c r="D1276" t="s">
        <v>17</v>
      </c>
      <c r="E1276">
        <v>160</v>
      </c>
      <c r="F1276" s="3">
        <v>11989641.16</v>
      </c>
      <c r="G1276">
        <v>3373973.97</v>
      </c>
      <c r="H1276">
        <v>8615667.1899999995</v>
      </c>
      <c r="I1276">
        <v>0.96</v>
      </c>
      <c r="J1276">
        <v>4.88</v>
      </c>
      <c r="K1276" t="str">
        <f t="shared" si="19"/>
        <v>Apr 2023</v>
      </c>
    </row>
    <row r="1277" spans="1:11" x14ac:dyDescent="0.25">
      <c r="A1277" s="6">
        <v>44271</v>
      </c>
      <c r="B1277" t="s">
        <v>19</v>
      </c>
      <c r="C1277" t="s">
        <v>24</v>
      </c>
      <c r="D1277" t="s">
        <v>12</v>
      </c>
      <c r="E1277">
        <v>182</v>
      </c>
      <c r="F1277" s="3">
        <v>15604218.810000001</v>
      </c>
      <c r="G1277">
        <v>4034506.24</v>
      </c>
      <c r="H1277">
        <v>11569712.560000001</v>
      </c>
      <c r="I1277">
        <v>1.19</v>
      </c>
      <c r="J1277">
        <v>4.3600000000000003</v>
      </c>
      <c r="K1277" t="str">
        <f t="shared" si="19"/>
        <v>Mar 2021</v>
      </c>
    </row>
    <row r="1278" spans="1:11" x14ac:dyDescent="0.25">
      <c r="A1278" s="6">
        <v>45288</v>
      </c>
      <c r="B1278" t="s">
        <v>19</v>
      </c>
      <c r="C1278" t="s">
        <v>23</v>
      </c>
      <c r="D1278" t="s">
        <v>14</v>
      </c>
      <c r="E1278">
        <v>427</v>
      </c>
      <c r="F1278" s="3">
        <v>16563622.35</v>
      </c>
      <c r="G1278">
        <v>6369305.5599999996</v>
      </c>
      <c r="H1278">
        <v>10194316.800000001</v>
      </c>
      <c r="I1278">
        <v>0.97</v>
      </c>
      <c r="J1278">
        <v>4.76</v>
      </c>
      <c r="K1278" t="str">
        <f t="shared" si="19"/>
        <v>Dec 2023</v>
      </c>
    </row>
    <row r="1279" spans="1:11" x14ac:dyDescent="0.25">
      <c r="A1279" s="6">
        <v>44532</v>
      </c>
      <c r="B1279" t="s">
        <v>19</v>
      </c>
      <c r="C1279" t="s">
        <v>23</v>
      </c>
      <c r="D1279" t="s">
        <v>17</v>
      </c>
      <c r="E1279">
        <v>316</v>
      </c>
      <c r="F1279" s="3">
        <v>18895588.280000001</v>
      </c>
      <c r="G1279">
        <v>7130295.4100000001</v>
      </c>
      <c r="H1279">
        <v>11765292.859999999</v>
      </c>
      <c r="I1279">
        <v>4.93</v>
      </c>
      <c r="J1279">
        <v>4.76</v>
      </c>
      <c r="K1279" t="str">
        <f t="shared" si="19"/>
        <v>Dec 2021</v>
      </c>
    </row>
    <row r="1280" spans="1:11" x14ac:dyDescent="0.25">
      <c r="A1280" s="6">
        <v>43847</v>
      </c>
      <c r="B1280" t="s">
        <v>19</v>
      </c>
      <c r="C1280" t="s">
        <v>21</v>
      </c>
      <c r="D1280" t="s">
        <v>14</v>
      </c>
      <c r="E1280">
        <v>231</v>
      </c>
      <c r="F1280" s="3">
        <v>18725320.469999999</v>
      </c>
      <c r="G1280">
        <v>6246218.5899999999</v>
      </c>
      <c r="H1280">
        <v>12479101.890000001</v>
      </c>
      <c r="I1280">
        <v>1.9</v>
      </c>
      <c r="J1280">
        <v>3.84</v>
      </c>
      <c r="K1280" t="str">
        <f t="shared" si="19"/>
        <v>Jan 2020</v>
      </c>
    </row>
    <row r="1281" spans="1:11" x14ac:dyDescent="0.25">
      <c r="A1281" s="6">
        <v>44130</v>
      </c>
      <c r="B1281" t="s">
        <v>19</v>
      </c>
      <c r="C1281" t="s">
        <v>21</v>
      </c>
      <c r="D1281" t="s">
        <v>14</v>
      </c>
      <c r="E1281">
        <v>448</v>
      </c>
      <c r="F1281" s="3">
        <v>25511426.620000001</v>
      </c>
      <c r="G1281">
        <v>9925161.1400000006</v>
      </c>
      <c r="H1281">
        <v>15586265.48</v>
      </c>
      <c r="I1281">
        <v>2.0099999999999998</v>
      </c>
      <c r="J1281">
        <v>4.7</v>
      </c>
      <c r="K1281" t="str">
        <f t="shared" si="19"/>
        <v>Oct 2020</v>
      </c>
    </row>
    <row r="1282" spans="1:11" x14ac:dyDescent="0.25">
      <c r="A1282" s="6">
        <v>44066</v>
      </c>
      <c r="B1282" t="s">
        <v>19</v>
      </c>
      <c r="C1282" t="s">
        <v>21</v>
      </c>
      <c r="D1282" t="s">
        <v>14</v>
      </c>
      <c r="E1282">
        <v>166</v>
      </c>
      <c r="F1282" s="3">
        <v>11321977.58</v>
      </c>
      <c r="G1282">
        <v>4270044.67</v>
      </c>
      <c r="H1282">
        <v>7051932.9100000001</v>
      </c>
      <c r="I1282">
        <v>2.37</v>
      </c>
      <c r="J1282">
        <v>4.8</v>
      </c>
      <c r="K1282" t="str">
        <f t="shared" ref="K1282:K1345" si="20">TEXT(A1282,"mmm yyyy")</f>
        <v>Aug 2020</v>
      </c>
    </row>
    <row r="1283" spans="1:11" x14ac:dyDescent="0.25">
      <c r="A1283" s="6">
        <v>44735</v>
      </c>
      <c r="B1283" t="s">
        <v>19</v>
      </c>
      <c r="C1283" t="s">
        <v>24</v>
      </c>
      <c r="D1283" t="s">
        <v>14</v>
      </c>
      <c r="E1283">
        <v>343</v>
      </c>
      <c r="F1283" s="3">
        <v>18538817.18</v>
      </c>
      <c r="G1283">
        <v>6129106.4800000004</v>
      </c>
      <c r="H1283">
        <v>12409710.710000001</v>
      </c>
      <c r="I1283">
        <v>3.82</v>
      </c>
      <c r="J1283">
        <v>4.18</v>
      </c>
      <c r="K1283" t="str">
        <f t="shared" si="20"/>
        <v>Jun 2022</v>
      </c>
    </row>
    <row r="1284" spans="1:11" x14ac:dyDescent="0.25">
      <c r="A1284" s="6">
        <v>44587</v>
      </c>
      <c r="B1284" t="s">
        <v>19</v>
      </c>
      <c r="C1284" t="s">
        <v>20</v>
      </c>
      <c r="D1284" t="s">
        <v>12</v>
      </c>
      <c r="E1284">
        <v>476</v>
      </c>
      <c r="F1284" s="3">
        <v>17519925.829999998</v>
      </c>
      <c r="G1284">
        <v>3809709.75</v>
      </c>
      <c r="H1284">
        <v>13710216.07</v>
      </c>
      <c r="I1284">
        <v>1.62</v>
      </c>
      <c r="J1284">
        <v>4.37</v>
      </c>
      <c r="K1284" t="str">
        <f t="shared" si="20"/>
        <v>Jan 2022</v>
      </c>
    </row>
    <row r="1285" spans="1:11" x14ac:dyDescent="0.25">
      <c r="A1285" s="6">
        <v>44302</v>
      </c>
      <c r="B1285" t="s">
        <v>19</v>
      </c>
      <c r="C1285" t="s">
        <v>21</v>
      </c>
      <c r="D1285" t="s">
        <v>14</v>
      </c>
      <c r="E1285">
        <v>229</v>
      </c>
      <c r="F1285" s="3">
        <v>13291366.039999999</v>
      </c>
      <c r="G1285">
        <v>2884636.07</v>
      </c>
      <c r="H1285">
        <v>10406729.970000001</v>
      </c>
      <c r="I1285">
        <v>2.13</v>
      </c>
      <c r="J1285">
        <v>4.37</v>
      </c>
      <c r="K1285" t="str">
        <f t="shared" si="20"/>
        <v>Apr 2021</v>
      </c>
    </row>
    <row r="1286" spans="1:11" x14ac:dyDescent="0.25">
      <c r="A1286" s="6">
        <v>44279</v>
      </c>
      <c r="B1286" t="s">
        <v>19</v>
      </c>
      <c r="C1286" t="s">
        <v>21</v>
      </c>
      <c r="D1286" t="s">
        <v>12</v>
      </c>
      <c r="E1286">
        <v>199</v>
      </c>
      <c r="F1286" s="3">
        <v>9373964.0099999998</v>
      </c>
      <c r="G1286">
        <v>3350853.2</v>
      </c>
      <c r="H1286">
        <v>6023110.8099999996</v>
      </c>
      <c r="I1286">
        <v>2.82</v>
      </c>
      <c r="J1286">
        <v>4.96</v>
      </c>
      <c r="K1286" t="str">
        <f t="shared" si="20"/>
        <v>Mar 2021</v>
      </c>
    </row>
    <row r="1287" spans="1:11" x14ac:dyDescent="0.25">
      <c r="A1287" s="6">
        <v>44967</v>
      </c>
      <c r="B1287" t="s">
        <v>19</v>
      </c>
      <c r="C1287" t="s">
        <v>23</v>
      </c>
      <c r="D1287" t="s">
        <v>12</v>
      </c>
      <c r="E1287">
        <v>410</v>
      </c>
      <c r="F1287" s="3">
        <v>17702344.510000002</v>
      </c>
      <c r="G1287">
        <v>5612973.9900000002</v>
      </c>
      <c r="H1287">
        <v>12089370.52</v>
      </c>
      <c r="I1287">
        <v>0.88</v>
      </c>
      <c r="J1287">
        <v>5</v>
      </c>
      <c r="K1287" t="str">
        <f t="shared" si="20"/>
        <v>Feb 2023</v>
      </c>
    </row>
    <row r="1288" spans="1:11" x14ac:dyDescent="0.25">
      <c r="A1288" s="6">
        <v>44232</v>
      </c>
      <c r="B1288" t="s">
        <v>19</v>
      </c>
      <c r="C1288" t="s">
        <v>22</v>
      </c>
      <c r="D1288" t="s">
        <v>17</v>
      </c>
      <c r="E1288">
        <v>98</v>
      </c>
      <c r="F1288" s="3">
        <v>5044821.96</v>
      </c>
      <c r="G1288">
        <v>1705213.46</v>
      </c>
      <c r="H1288">
        <v>3339608.5</v>
      </c>
      <c r="I1288">
        <v>2.29</v>
      </c>
      <c r="J1288">
        <v>4.1399999999999997</v>
      </c>
      <c r="K1288" t="str">
        <f t="shared" si="20"/>
        <v>Feb 2021</v>
      </c>
    </row>
    <row r="1289" spans="1:11" x14ac:dyDescent="0.25">
      <c r="A1289" s="6">
        <v>45368</v>
      </c>
      <c r="B1289" t="s">
        <v>19</v>
      </c>
      <c r="C1289" t="s">
        <v>21</v>
      </c>
      <c r="D1289" t="s">
        <v>17</v>
      </c>
      <c r="E1289">
        <v>489</v>
      </c>
      <c r="F1289" s="3">
        <v>41268170.109999999</v>
      </c>
      <c r="G1289">
        <v>14814120.529999999</v>
      </c>
      <c r="H1289">
        <v>26454049.579999998</v>
      </c>
      <c r="I1289">
        <v>1.36</v>
      </c>
      <c r="J1289">
        <v>3.55</v>
      </c>
      <c r="K1289" t="str">
        <f t="shared" si="20"/>
        <v>Mar 2024</v>
      </c>
    </row>
    <row r="1290" spans="1:11" x14ac:dyDescent="0.25">
      <c r="A1290" s="6">
        <v>45517</v>
      </c>
      <c r="B1290" t="s">
        <v>19</v>
      </c>
      <c r="C1290" t="s">
        <v>23</v>
      </c>
      <c r="D1290" t="s">
        <v>17</v>
      </c>
      <c r="E1290">
        <v>335</v>
      </c>
      <c r="F1290" s="3">
        <v>27138706.68</v>
      </c>
      <c r="G1290">
        <v>7666936.46</v>
      </c>
      <c r="H1290">
        <v>19471770.219999999</v>
      </c>
      <c r="I1290">
        <v>1.82</v>
      </c>
      <c r="J1290">
        <v>4.57</v>
      </c>
      <c r="K1290" t="str">
        <f t="shared" si="20"/>
        <v>Aug 2024</v>
      </c>
    </row>
    <row r="1291" spans="1:11" x14ac:dyDescent="0.25">
      <c r="A1291" s="6">
        <v>44362</v>
      </c>
      <c r="B1291" t="s">
        <v>19</v>
      </c>
      <c r="C1291" t="s">
        <v>20</v>
      </c>
      <c r="D1291" t="s">
        <v>14</v>
      </c>
      <c r="E1291">
        <v>243</v>
      </c>
      <c r="F1291" s="3">
        <v>15648002.99</v>
      </c>
      <c r="G1291">
        <v>4753588.0599999996</v>
      </c>
      <c r="H1291">
        <v>10894414.92</v>
      </c>
      <c r="I1291">
        <v>2.74</v>
      </c>
      <c r="J1291">
        <v>4.6500000000000004</v>
      </c>
      <c r="K1291" t="str">
        <f t="shared" si="20"/>
        <v>Jun 2021</v>
      </c>
    </row>
    <row r="1292" spans="1:11" x14ac:dyDescent="0.25">
      <c r="A1292" s="6">
        <v>45508</v>
      </c>
      <c r="B1292" t="s">
        <v>19</v>
      </c>
      <c r="C1292" t="s">
        <v>22</v>
      </c>
      <c r="D1292" t="s">
        <v>12</v>
      </c>
      <c r="E1292">
        <v>181</v>
      </c>
      <c r="F1292" s="3">
        <v>8146094.54</v>
      </c>
      <c r="G1292">
        <v>1854400.39</v>
      </c>
      <c r="H1292">
        <v>6291694.1500000004</v>
      </c>
      <c r="I1292">
        <v>4.76</v>
      </c>
      <c r="J1292">
        <v>4.0599999999999996</v>
      </c>
      <c r="K1292" t="str">
        <f t="shared" si="20"/>
        <v>Aug 2024</v>
      </c>
    </row>
    <row r="1293" spans="1:11" x14ac:dyDescent="0.25">
      <c r="A1293" s="6">
        <v>44531</v>
      </c>
      <c r="B1293" t="s">
        <v>19</v>
      </c>
      <c r="C1293" t="s">
        <v>20</v>
      </c>
      <c r="D1293" t="s">
        <v>17</v>
      </c>
      <c r="E1293">
        <v>415</v>
      </c>
      <c r="F1293" s="3">
        <v>26544153.5</v>
      </c>
      <c r="G1293">
        <v>6366616.4299999997</v>
      </c>
      <c r="H1293">
        <v>20177537.07</v>
      </c>
      <c r="I1293">
        <v>4.91</v>
      </c>
      <c r="J1293">
        <v>4.76</v>
      </c>
      <c r="K1293" t="str">
        <f t="shared" si="20"/>
        <v>Dec 2021</v>
      </c>
    </row>
    <row r="1294" spans="1:11" x14ac:dyDescent="0.25">
      <c r="A1294" s="6">
        <v>44003</v>
      </c>
      <c r="B1294" t="s">
        <v>19</v>
      </c>
      <c r="C1294" t="s">
        <v>20</v>
      </c>
      <c r="D1294" t="s">
        <v>12</v>
      </c>
      <c r="E1294">
        <v>440</v>
      </c>
      <c r="F1294" s="3">
        <v>31345959.390000001</v>
      </c>
      <c r="G1294">
        <v>12368513.779999999</v>
      </c>
      <c r="H1294">
        <v>18977445.609999999</v>
      </c>
      <c r="I1294">
        <v>1.5</v>
      </c>
      <c r="J1294">
        <v>3.85</v>
      </c>
      <c r="K1294" t="str">
        <f t="shared" si="20"/>
        <v>Jun 2020</v>
      </c>
    </row>
    <row r="1295" spans="1:11" x14ac:dyDescent="0.25">
      <c r="A1295" s="6">
        <v>44204</v>
      </c>
      <c r="B1295" t="s">
        <v>19</v>
      </c>
      <c r="C1295" t="s">
        <v>24</v>
      </c>
      <c r="D1295" t="s">
        <v>17</v>
      </c>
      <c r="E1295">
        <v>492</v>
      </c>
      <c r="F1295" s="3">
        <v>30899043.210000001</v>
      </c>
      <c r="G1295">
        <v>8682328.4600000009</v>
      </c>
      <c r="H1295">
        <v>22216714.75</v>
      </c>
      <c r="I1295">
        <v>2.0299999999999998</v>
      </c>
      <c r="J1295">
        <v>4.3499999999999996</v>
      </c>
      <c r="K1295" t="str">
        <f t="shared" si="20"/>
        <v>Jan 2021</v>
      </c>
    </row>
    <row r="1296" spans="1:11" x14ac:dyDescent="0.25">
      <c r="A1296" s="6">
        <v>45605</v>
      </c>
      <c r="B1296" t="s">
        <v>19</v>
      </c>
      <c r="C1296" t="s">
        <v>23</v>
      </c>
      <c r="D1296" t="s">
        <v>14</v>
      </c>
      <c r="E1296">
        <v>100</v>
      </c>
      <c r="F1296" s="3">
        <v>7090103.5899999999</v>
      </c>
      <c r="G1296">
        <v>2498293.3199999998</v>
      </c>
      <c r="H1296">
        <v>4591810.2699999996</v>
      </c>
      <c r="I1296">
        <v>0.95</v>
      </c>
      <c r="J1296">
        <v>3.86</v>
      </c>
      <c r="K1296" t="str">
        <f t="shared" si="20"/>
        <v>Nov 2024</v>
      </c>
    </row>
    <row r="1297" spans="1:11" x14ac:dyDescent="0.25">
      <c r="A1297" s="6">
        <v>44910</v>
      </c>
      <c r="B1297" t="s">
        <v>19</v>
      </c>
      <c r="C1297" t="s">
        <v>20</v>
      </c>
      <c r="D1297" t="s">
        <v>17</v>
      </c>
      <c r="E1297">
        <v>127</v>
      </c>
      <c r="F1297" s="3">
        <v>8658333.8499999996</v>
      </c>
      <c r="G1297">
        <v>2066137.95</v>
      </c>
      <c r="H1297">
        <v>6592195.9000000004</v>
      </c>
      <c r="I1297">
        <v>4.83</v>
      </c>
      <c r="J1297">
        <v>4.92</v>
      </c>
      <c r="K1297" t="str">
        <f t="shared" si="20"/>
        <v>Dec 2022</v>
      </c>
    </row>
    <row r="1298" spans="1:11" x14ac:dyDescent="0.25">
      <c r="A1298" s="6">
        <v>45131</v>
      </c>
      <c r="B1298" t="s">
        <v>19</v>
      </c>
      <c r="C1298" t="s">
        <v>21</v>
      </c>
      <c r="D1298" t="s">
        <v>14</v>
      </c>
      <c r="E1298">
        <v>231</v>
      </c>
      <c r="F1298" s="3">
        <v>10689325.470000001</v>
      </c>
      <c r="G1298">
        <v>3649019.89</v>
      </c>
      <c r="H1298">
        <v>7040305.5800000001</v>
      </c>
      <c r="I1298">
        <v>4.53</v>
      </c>
      <c r="J1298">
        <v>3.52</v>
      </c>
      <c r="K1298" t="str">
        <f t="shared" si="20"/>
        <v>Jul 2023</v>
      </c>
    </row>
    <row r="1299" spans="1:11" x14ac:dyDescent="0.25">
      <c r="A1299" s="6">
        <v>44481</v>
      </c>
      <c r="B1299" t="s">
        <v>19</v>
      </c>
      <c r="C1299" t="s">
        <v>20</v>
      </c>
      <c r="D1299" t="s">
        <v>14</v>
      </c>
      <c r="E1299">
        <v>312</v>
      </c>
      <c r="F1299" s="3">
        <v>23548123.16</v>
      </c>
      <c r="G1299">
        <v>5424884.2999999998</v>
      </c>
      <c r="H1299">
        <v>18123238.870000001</v>
      </c>
      <c r="I1299">
        <v>1.05</v>
      </c>
      <c r="J1299">
        <v>4.8099999999999996</v>
      </c>
      <c r="K1299" t="str">
        <f t="shared" si="20"/>
        <v>Oct 2021</v>
      </c>
    </row>
    <row r="1300" spans="1:11" x14ac:dyDescent="0.25">
      <c r="A1300" s="6">
        <v>44512</v>
      </c>
      <c r="B1300" t="s">
        <v>19</v>
      </c>
      <c r="C1300" t="s">
        <v>20</v>
      </c>
      <c r="D1300" t="s">
        <v>17</v>
      </c>
      <c r="E1300">
        <v>334</v>
      </c>
      <c r="F1300" s="3">
        <v>19431568.989999998</v>
      </c>
      <c r="G1300">
        <v>4303425.21</v>
      </c>
      <c r="H1300">
        <v>15128143.789999999</v>
      </c>
      <c r="I1300">
        <v>4.18</v>
      </c>
      <c r="J1300">
        <v>4.01</v>
      </c>
      <c r="K1300" t="str">
        <f t="shared" si="20"/>
        <v>Nov 2021</v>
      </c>
    </row>
    <row r="1301" spans="1:11" x14ac:dyDescent="0.25">
      <c r="A1301" s="6">
        <v>45562</v>
      </c>
      <c r="B1301" t="s">
        <v>19</v>
      </c>
      <c r="C1301" t="s">
        <v>24</v>
      </c>
      <c r="D1301" t="s">
        <v>17</v>
      </c>
      <c r="E1301">
        <v>283</v>
      </c>
      <c r="F1301" s="3">
        <v>22747795.609999999</v>
      </c>
      <c r="G1301">
        <v>7447358.8899999997</v>
      </c>
      <c r="H1301">
        <v>15300436.720000001</v>
      </c>
      <c r="I1301">
        <v>0.65</v>
      </c>
      <c r="J1301">
        <v>4.75</v>
      </c>
      <c r="K1301" t="str">
        <f t="shared" si="20"/>
        <v>Sep 2024</v>
      </c>
    </row>
    <row r="1302" spans="1:11" x14ac:dyDescent="0.25">
      <c r="A1302" s="6">
        <v>45324</v>
      </c>
      <c r="B1302" t="s">
        <v>19</v>
      </c>
      <c r="C1302" t="s">
        <v>20</v>
      </c>
      <c r="D1302" t="s">
        <v>17</v>
      </c>
      <c r="E1302">
        <v>342</v>
      </c>
      <c r="F1302" s="3">
        <v>19671033.18</v>
      </c>
      <c r="G1302">
        <v>5696545.5899999999</v>
      </c>
      <c r="H1302">
        <v>13974487.59</v>
      </c>
      <c r="I1302">
        <v>2.46</v>
      </c>
      <c r="J1302">
        <v>3.94</v>
      </c>
      <c r="K1302" t="str">
        <f t="shared" si="20"/>
        <v>Feb 2024</v>
      </c>
    </row>
    <row r="1303" spans="1:11" x14ac:dyDescent="0.25">
      <c r="A1303" s="6">
        <v>45605</v>
      </c>
      <c r="B1303" t="s">
        <v>19</v>
      </c>
      <c r="C1303" t="s">
        <v>20</v>
      </c>
      <c r="D1303" t="s">
        <v>12</v>
      </c>
      <c r="E1303">
        <v>391</v>
      </c>
      <c r="F1303" s="3">
        <v>30453712.449999999</v>
      </c>
      <c r="G1303">
        <v>11485691.189999999</v>
      </c>
      <c r="H1303">
        <v>18968021.260000002</v>
      </c>
      <c r="I1303">
        <v>3.05</v>
      </c>
      <c r="J1303">
        <v>4.9800000000000004</v>
      </c>
      <c r="K1303" t="str">
        <f t="shared" si="20"/>
        <v>Nov 2024</v>
      </c>
    </row>
    <row r="1304" spans="1:11" x14ac:dyDescent="0.25">
      <c r="A1304" s="6">
        <v>45612</v>
      </c>
      <c r="B1304" t="s">
        <v>19</v>
      </c>
      <c r="C1304" t="s">
        <v>23</v>
      </c>
      <c r="D1304" t="s">
        <v>12</v>
      </c>
      <c r="E1304">
        <v>264</v>
      </c>
      <c r="F1304" s="3">
        <v>20853898.32</v>
      </c>
      <c r="G1304">
        <v>6568087.4900000002</v>
      </c>
      <c r="H1304">
        <v>14285810.83</v>
      </c>
      <c r="I1304">
        <v>0.6</v>
      </c>
      <c r="J1304">
        <v>3.9</v>
      </c>
      <c r="K1304" t="str">
        <f t="shared" si="20"/>
        <v>Nov 2024</v>
      </c>
    </row>
    <row r="1305" spans="1:11" x14ac:dyDescent="0.25">
      <c r="A1305" s="6">
        <v>45145</v>
      </c>
      <c r="B1305" t="s">
        <v>19</v>
      </c>
      <c r="C1305" t="s">
        <v>21</v>
      </c>
      <c r="D1305" t="s">
        <v>17</v>
      </c>
      <c r="E1305">
        <v>89</v>
      </c>
      <c r="F1305" s="3">
        <v>6535850.4500000002</v>
      </c>
      <c r="G1305">
        <v>2088138.8</v>
      </c>
      <c r="H1305">
        <v>4447711.6500000004</v>
      </c>
      <c r="I1305">
        <v>1.48</v>
      </c>
      <c r="J1305">
        <v>4.47</v>
      </c>
      <c r="K1305" t="str">
        <f t="shared" si="20"/>
        <v>Aug 2023</v>
      </c>
    </row>
    <row r="1306" spans="1:11" x14ac:dyDescent="0.25">
      <c r="A1306" s="6">
        <v>44424</v>
      </c>
      <c r="B1306" t="s">
        <v>19</v>
      </c>
      <c r="C1306" t="s">
        <v>20</v>
      </c>
      <c r="D1306" t="s">
        <v>12</v>
      </c>
      <c r="E1306">
        <v>53</v>
      </c>
      <c r="F1306" s="3">
        <v>2240585.16</v>
      </c>
      <c r="G1306">
        <v>492672.28</v>
      </c>
      <c r="H1306">
        <v>1747912.88</v>
      </c>
      <c r="I1306">
        <v>3.61</v>
      </c>
      <c r="J1306">
        <v>4.5199999999999996</v>
      </c>
      <c r="K1306" t="str">
        <f t="shared" si="20"/>
        <v>Aug 2021</v>
      </c>
    </row>
    <row r="1307" spans="1:11" x14ac:dyDescent="0.25">
      <c r="A1307" s="6">
        <v>45036</v>
      </c>
      <c r="B1307" t="s">
        <v>19</v>
      </c>
      <c r="C1307" t="s">
        <v>23</v>
      </c>
      <c r="D1307" t="s">
        <v>14</v>
      </c>
      <c r="E1307">
        <v>375</v>
      </c>
      <c r="F1307" s="3">
        <v>31982412.890000001</v>
      </c>
      <c r="G1307">
        <v>12039772.4</v>
      </c>
      <c r="H1307">
        <v>19942640.48</v>
      </c>
      <c r="I1307">
        <v>3.09</v>
      </c>
      <c r="J1307">
        <v>3.91</v>
      </c>
      <c r="K1307" t="str">
        <f t="shared" si="20"/>
        <v>Apr 2023</v>
      </c>
    </row>
    <row r="1308" spans="1:11" x14ac:dyDescent="0.25">
      <c r="A1308" s="6">
        <v>45325</v>
      </c>
      <c r="B1308" t="s">
        <v>19</v>
      </c>
      <c r="C1308" t="s">
        <v>21</v>
      </c>
      <c r="D1308" t="s">
        <v>12</v>
      </c>
      <c r="E1308">
        <v>66</v>
      </c>
      <c r="F1308" s="3">
        <v>3781050.56</v>
      </c>
      <c r="G1308">
        <v>1136232.24</v>
      </c>
      <c r="H1308">
        <v>2644818.3199999998</v>
      </c>
      <c r="I1308">
        <v>3.74</v>
      </c>
      <c r="J1308">
        <v>3.66</v>
      </c>
      <c r="K1308" t="str">
        <f t="shared" si="20"/>
        <v>Feb 2024</v>
      </c>
    </row>
    <row r="1309" spans="1:11" x14ac:dyDescent="0.25">
      <c r="A1309" s="6">
        <v>43909</v>
      </c>
      <c r="B1309" t="s">
        <v>19</v>
      </c>
      <c r="C1309" t="s">
        <v>21</v>
      </c>
      <c r="D1309" t="s">
        <v>12</v>
      </c>
      <c r="E1309">
        <v>391</v>
      </c>
      <c r="F1309" s="3">
        <v>16628725.470000001</v>
      </c>
      <c r="G1309">
        <v>3658257.61</v>
      </c>
      <c r="H1309">
        <v>12970467.869999999</v>
      </c>
      <c r="I1309">
        <v>4.43</v>
      </c>
      <c r="J1309">
        <v>4.4000000000000004</v>
      </c>
      <c r="K1309" t="str">
        <f t="shared" si="20"/>
        <v>Mar 2020</v>
      </c>
    </row>
    <row r="1310" spans="1:11" x14ac:dyDescent="0.25">
      <c r="A1310" s="6">
        <v>44929</v>
      </c>
      <c r="B1310" t="s">
        <v>19</v>
      </c>
      <c r="C1310" t="s">
        <v>21</v>
      </c>
      <c r="D1310" t="s">
        <v>12</v>
      </c>
      <c r="E1310">
        <v>317</v>
      </c>
      <c r="F1310" s="3">
        <v>22133064.73</v>
      </c>
      <c r="G1310">
        <v>6665266.8700000001</v>
      </c>
      <c r="H1310">
        <v>15467797.869999999</v>
      </c>
      <c r="I1310">
        <v>3.08</v>
      </c>
      <c r="J1310">
        <v>4.76</v>
      </c>
      <c r="K1310" t="str">
        <f t="shared" si="20"/>
        <v>Jan 2023</v>
      </c>
    </row>
    <row r="1311" spans="1:11" x14ac:dyDescent="0.25">
      <c r="A1311" s="6">
        <v>45155</v>
      </c>
      <c r="B1311" t="s">
        <v>19</v>
      </c>
      <c r="C1311" t="s">
        <v>24</v>
      </c>
      <c r="D1311" t="s">
        <v>12</v>
      </c>
      <c r="E1311">
        <v>239</v>
      </c>
      <c r="F1311" s="3">
        <v>15186173.24</v>
      </c>
      <c r="G1311">
        <v>5931822.6299999999</v>
      </c>
      <c r="H1311">
        <v>9254350.5999999996</v>
      </c>
      <c r="I1311">
        <v>1.25</v>
      </c>
      <c r="J1311">
        <v>4.6100000000000003</v>
      </c>
      <c r="K1311" t="str">
        <f t="shared" si="20"/>
        <v>Aug 2023</v>
      </c>
    </row>
    <row r="1312" spans="1:11" x14ac:dyDescent="0.25">
      <c r="A1312" s="6">
        <v>44607</v>
      </c>
      <c r="B1312" t="s">
        <v>19</v>
      </c>
      <c r="C1312" t="s">
        <v>20</v>
      </c>
      <c r="D1312" t="s">
        <v>12</v>
      </c>
      <c r="E1312">
        <v>356</v>
      </c>
      <c r="F1312" s="3">
        <v>14228797.689999999</v>
      </c>
      <c r="G1312">
        <v>3497478.52</v>
      </c>
      <c r="H1312">
        <v>10731319.16</v>
      </c>
      <c r="I1312">
        <v>0.81</v>
      </c>
      <c r="J1312">
        <v>4.76</v>
      </c>
      <c r="K1312" t="str">
        <f t="shared" si="20"/>
        <v>Feb 2022</v>
      </c>
    </row>
    <row r="1313" spans="1:11" x14ac:dyDescent="0.25">
      <c r="A1313" s="6">
        <v>44114</v>
      </c>
      <c r="B1313" t="s">
        <v>19</v>
      </c>
      <c r="C1313" t="s">
        <v>20</v>
      </c>
      <c r="D1313" t="s">
        <v>14</v>
      </c>
      <c r="E1313">
        <v>60</v>
      </c>
      <c r="F1313" s="3">
        <v>3273719.96</v>
      </c>
      <c r="G1313">
        <v>838697</v>
      </c>
      <c r="H1313">
        <v>2435022.9700000002</v>
      </c>
      <c r="I1313">
        <v>1.84</v>
      </c>
      <c r="J1313">
        <v>4.3499999999999996</v>
      </c>
      <c r="K1313" t="str">
        <f t="shared" si="20"/>
        <v>Oct 2020</v>
      </c>
    </row>
    <row r="1314" spans="1:11" x14ac:dyDescent="0.25">
      <c r="A1314" s="6">
        <v>44962</v>
      </c>
      <c r="B1314" t="s">
        <v>19</v>
      </c>
      <c r="C1314" t="s">
        <v>21</v>
      </c>
      <c r="D1314" t="s">
        <v>17</v>
      </c>
      <c r="E1314">
        <v>147</v>
      </c>
      <c r="F1314" s="3">
        <v>8351910.1799999997</v>
      </c>
      <c r="G1314">
        <v>1747074.39</v>
      </c>
      <c r="H1314">
        <v>6604835.79</v>
      </c>
      <c r="I1314">
        <v>1.1100000000000001</v>
      </c>
      <c r="J1314">
        <v>4.2300000000000004</v>
      </c>
      <c r="K1314" t="str">
        <f t="shared" si="20"/>
        <v>Feb 2023</v>
      </c>
    </row>
    <row r="1315" spans="1:11" x14ac:dyDescent="0.25">
      <c r="A1315" s="6">
        <v>44135</v>
      </c>
      <c r="B1315" t="s">
        <v>19</v>
      </c>
      <c r="C1315" t="s">
        <v>21</v>
      </c>
      <c r="D1315" t="s">
        <v>17</v>
      </c>
      <c r="E1315">
        <v>299</v>
      </c>
      <c r="F1315" s="3">
        <v>10977806.66</v>
      </c>
      <c r="G1315">
        <v>3815305.87</v>
      </c>
      <c r="H1315">
        <v>7162500.79</v>
      </c>
      <c r="I1315">
        <v>3.18</v>
      </c>
      <c r="J1315">
        <v>3.58</v>
      </c>
      <c r="K1315" t="str">
        <f t="shared" si="20"/>
        <v>Oct 2020</v>
      </c>
    </row>
    <row r="1316" spans="1:11" x14ac:dyDescent="0.25">
      <c r="A1316" s="6">
        <v>45633</v>
      </c>
      <c r="B1316" t="s">
        <v>19</v>
      </c>
      <c r="C1316" t="s">
        <v>20</v>
      </c>
      <c r="D1316" t="s">
        <v>17</v>
      </c>
      <c r="E1316">
        <v>495</v>
      </c>
      <c r="F1316" s="3">
        <v>43331308.609999999</v>
      </c>
      <c r="G1316">
        <v>15992094.189999999</v>
      </c>
      <c r="H1316">
        <v>27339214.420000002</v>
      </c>
      <c r="I1316">
        <v>3.3</v>
      </c>
      <c r="J1316">
        <v>4.21</v>
      </c>
      <c r="K1316" t="str">
        <f t="shared" si="20"/>
        <v>Dec 2024</v>
      </c>
    </row>
    <row r="1317" spans="1:11" x14ac:dyDescent="0.25">
      <c r="A1317" s="6">
        <v>45358</v>
      </c>
      <c r="B1317" t="s">
        <v>19</v>
      </c>
      <c r="C1317" t="s">
        <v>21</v>
      </c>
      <c r="D1317" t="s">
        <v>17</v>
      </c>
      <c r="E1317">
        <v>122</v>
      </c>
      <c r="F1317" s="3">
        <v>4774174.5199999996</v>
      </c>
      <c r="G1317">
        <v>1214369.77</v>
      </c>
      <c r="H1317">
        <v>3559804.75</v>
      </c>
      <c r="I1317">
        <v>2.73</v>
      </c>
      <c r="J1317">
        <v>4.53</v>
      </c>
      <c r="K1317" t="str">
        <f t="shared" si="20"/>
        <v>Mar 2024</v>
      </c>
    </row>
    <row r="1318" spans="1:11" x14ac:dyDescent="0.25">
      <c r="A1318" s="6">
        <v>44335</v>
      </c>
      <c r="B1318" t="s">
        <v>19</v>
      </c>
      <c r="C1318" t="s">
        <v>24</v>
      </c>
      <c r="D1318" t="s">
        <v>17</v>
      </c>
      <c r="E1318">
        <v>91</v>
      </c>
      <c r="F1318" s="3">
        <v>5485705.9699999997</v>
      </c>
      <c r="G1318">
        <v>2110972.7200000002</v>
      </c>
      <c r="H1318">
        <v>3374733.26</v>
      </c>
      <c r="I1318">
        <v>0.85</v>
      </c>
      <c r="J1318">
        <v>3.5</v>
      </c>
      <c r="K1318" t="str">
        <f t="shared" si="20"/>
        <v>May 2021</v>
      </c>
    </row>
    <row r="1319" spans="1:11" x14ac:dyDescent="0.25">
      <c r="A1319" s="6">
        <v>44868</v>
      </c>
      <c r="B1319" t="s">
        <v>19</v>
      </c>
      <c r="C1319" t="s">
        <v>24</v>
      </c>
      <c r="D1319" t="s">
        <v>12</v>
      </c>
      <c r="E1319">
        <v>484</v>
      </c>
      <c r="F1319" s="3">
        <v>24184503.550000001</v>
      </c>
      <c r="G1319">
        <v>6818914.29</v>
      </c>
      <c r="H1319">
        <v>17365589.260000002</v>
      </c>
      <c r="I1319">
        <v>2.12</v>
      </c>
      <c r="J1319">
        <v>3.64</v>
      </c>
      <c r="K1319" t="str">
        <f t="shared" si="20"/>
        <v>Nov 2022</v>
      </c>
    </row>
    <row r="1320" spans="1:11" x14ac:dyDescent="0.25">
      <c r="A1320" s="6">
        <v>44186</v>
      </c>
      <c r="B1320" t="s">
        <v>19</v>
      </c>
      <c r="C1320" t="s">
        <v>21</v>
      </c>
      <c r="D1320" t="s">
        <v>14</v>
      </c>
      <c r="E1320">
        <v>354</v>
      </c>
      <c r="F1320" s="3">
        <v>15053858.74</v>
      </c>
      <c r="G1320">
        <v>3160595.72</v>
      </c>
      <c r="H1320">
        <v>11893263.029999999</v>
      </c>
      <c r="I1320">
        <v>2.5099999999999998</v>
      </c>
      <c r="J1320">
        <v>3.78</v>
      </c>
      <c r="K1320" t="str">
        <f t="shared" si="20"/>
        <v>Dec 2020</v>
      </c>
    </row>
    <row r="1321" spans="1:11" x14ac:dyDescent="0.25">
      <c r="A1321" s="6">
        <v>45327</v>
      </c>
      <c r="B1321" t="s">
        <v>19</v>
      </c>
      <c r="C1321" t="s">
        <v>23</v>
      </c>
      <c r="D1321" t="s">
        <v>12</v>
      </c>
      <c r="E1321">
        <v>367</v>
      </c>
      <c r="F1321" s="3">
        <v>32185677.460000001</v>
      </c>
      <c r="G1321">
        <v>7992396.2599999998</v>
      </c>
      <c r="H1321">
        <v>24193281.199999999</v>
      </c>
      <c r="I1321">
        <v>3.38</v>
      </c>
      <c r="J1321">
        <v>4.6399999999999997</v>
      </c>
      <c r="K1321" t="str">
        <f t="shared" si="20"/>
        <v>Feb 2024</v>
      </c>
    </row>
    <row r="1322" spans="1:11" x14ac:dyDescent="0.25">
      <c r="A1322" s="6">
        <v>43977</v>
      </c>
      <c r="B1322" t="s">
        <v>19</v>
      </c>
      <c r="C1322" t="s">
        <v>20</v>
      </c>
      <c r="D1322" t="s">
        <v>17</v>
      </c>
      <c r="E1322">
        <v>423</v>
      </c>
      <c r="F1322" s="3">
        <v>29630192.699999999</v>
      </c>
      <c r="G1322">
        <v>6041141.1699999999</v>
      </c>
      <c r="H1322">
        <v>23589051.530000001</v>
      </c>
      <c r="I1322">
        <v>4.57</v>
      </c>
      <c r="J1322">
        <v>4.47</v>
      </c>
      <c r="K1322" t="str">
        <f t="shared" si="20"/>
        <v>May 2020</v>
      </c>
    </row>
    <row r="1323" spans="1:11" x14ac:dyDescent="0.25">
      <c r="A1323" s="6">
        <v>44865</v>
      </c>
      <c r="B1323" t="s">
        <v>19</v>
      </c>
      <c r="C1323" t="s">
        <v>23</v>
      </c>
      <c r="D1323" t="s">
        <v>12</v>
      </c>
      <c r="E1323">
        <v>108</v>
      </c>
      <c r="F1323" s="3">
        <v>9646747.9700000007</v>
      </c>
      <c r="G1323">
        <v>2037278.68</v>
      </c>
      <c r="H1323">
        <v>7609469.2800000003</v>
      </c>
      <c r="I1323">
        <v>0.68</v>
      </c>
      <c r="J1323">
        <v>4.5599999999999996</v>
      </c>
      <c r="K1323" t="str">
        <f t="shared" si="20"/>
        <v>Oct 2022</v>
      </c>
    </row>
    <row r="1324" spans="1:11" x14ac:dyDescent="0.25">
      <c r="A1324" s="6">
        <v>44428</v>
      </c>
      <c r="B1324" t="s">
        <v>19</v>
      </c>
      <c r="C1324" t="s">
        <v>22</v>
      </c>
      <c r="D1324" t="s">
        <v>14</v>
      </c>
      <c r="E1324">
        <v>248</v>
      </c>
      <c r="F1324" s="3">
        <v>22311181.73</v>
      </c>
      <c r="G1324">
        <v>6444332.3600000003</v>
      </c>
      <c r="H1324">
        <v>15866849.369999999</v>
      </c>
      <c r="I1324">
        <v>2.63</v>
      </c>
      <c r="J1324">
        <v>3.97</v>
      </c>
      <c r="K1324" t="str">
        <f t="shared" si="20"/>
        <v>Aug 2021</v>
      </c>
    </row>
    <row r="1325" spans="1:11" x14ac:dyDescent="0.25">
      <c r="A1325" s="6">
        <v>45604</v>
      </c>
      <c r="B1325" t="s">
        <v>19</v>
      </c>
      <c r="C1325" t="s">
        <v>23</v>
      </c>
      <c r="D1325" t="s">
        <v>17</v>
      </c>
      <c r="E1325">
        <v>384</v>
      </c>
      <c r="F1325" s="3">
        <v>28169516.039999999</v>
      </c>
      <c r="G1325">
        <v>9592570.8900000006</v>
      </c>
      <c r="H1325">
        <v>18576945.149999999</v>
      </c>
      <c r="I1325">
        <v>4.66</v>
      </c>
      <c r="J1325">
        <v>4.96</v>
      </c>
      <c r="K1325" t="str">
        <f t="shared" si="20"/>
        <v>Nov 2024</v>
      </c>
    </row>
    <row r="1326" spans="1:11" x14ac:dyDescent="0.25">
      <c r="A1326" s="6">
        <v>44860</v>
      </c>
      <c r="B1326" t="s">
        <v>19</v>
      </c>
      <c r="C1326" t="s">
        <v>22</v>
      </c>
      <c r="D1326" t="s">
        <v>12</v>
      </c>
      <c r="E1326">
        <v>264</v>
      </c>
      <c r="F1326" s="3">
        <v>20788363.489999998</v>
      </c>
      <c r="G1326">
        <v>5217610.87</v>
      </c>
      <c r="H1326">
        <v>15570752.619999999</v>
      </c>
      <c r="I1326">
        <v>0.75</v>
      </c>
      <c r="J1326">
        <v>4.18</v>
      </c>
      <c r="K1326" t="str">
        <f t="shared" si="20"/>
        <v>Oct 2022</v>
      </c>
    </row>
    <row r="1327" spans="1:11" x14ac:dyDescent="0.25">
      <c r="A1327" s="6">
        <v>43906</v>
      </c>
      <c r="B1327" t="s">
        <v>19</v>
      </c>
      <c r="C1327" t="s">
        <v>20</v>
      </c>
      <c r="D1327" t="s">
        <v>14</v>
      </c>
      <c r="E1327">
        <v>492</v>
      </c>
      <c r="F1327" s="3">
        <v>39650452.729999997</v>
      </c>
      <c r="G1327">
        <v>15566707.199999999</v>
      </c>
      <c r="H1327">
        <v>24083745.530000001</v>
      </c>
      <c r="I1327">
        <v>3.18</v>
      </c>
      <c r="J1327">
        <v>3.85</v>
      </c>
      <c r="K1327" t="str">
        <f t="shared" si="20"/>
        <v>Mar 2020</v>
      </c>
    </row>
    <row r="1328" spans="1:11" x14ac:dyDescent="0.25">
      <c r="A1328" s="6">
        <v>44569</v>
      </c>
      <c r="B1328" t="s">
        <v>19</v>
      </c>
      <c r="C1328" t="s">
        <v>24</v>
      </c>
      <c r="D1328" t="s">
        <v>17</v>
      </c>
      <c r="E1328">
        <v>237</v>
      </c>
      <c r="F1328" s="3">
        <v>14565641.66</v>
      </c>
      <c r="G1328">
        <v>3248142.88</v>
      </c>
      <c r="H1328">
        <v>11317498.779999999</v>
      </c>
      <c r="I1328">
        <v>2.89</v>
      </c>
      <c r="J1328">
        <v>4.16</v>
      </c>
      <c r="K1328" t="str">
        <f t="shared" si="20"/>
        <v>Jan 2022</v>
      </c>
    </row>
    <row r="1329" spans="1:11" x14ac:dyDescent="0.25">
      <c r="A1329" s="6">
        <v>44722</v>
      </c>
      <c r="B1329" t="s">
        <v>19</v>
      </c>
      <c r="C1329" t="s">
        <v>22</v>
      </c>
      <c r="D1329" t="s">
        <v>17</v>
      </c>
      <c r="E1329">
        <v>413</v>
      </c>
      <c r="F1329" s="3">
        <v>27457696.559999999</v>
      </c>
      <c r="G1329">
        <v>6568007.4299999997</v>
      </c>
      <c r="H1329">
        <v>20889689.120000001</v>
      </c>
      <c r="I1329">
        <v>2.92</v>
      </c>
      <c r="J1329">
        <v>4.49</v>
      </c>
      <c r="K1329" t="str">
        <f t="shared" si="20"/>
        <v>Jun 2022</v>
      </c>
    </row>
    <row r="1330" spans="1:11" x14ac:dyDescent="0.25">
      <c r="A1330" s="6">
        <v>44328</v>
      </c>
      <c r="B1330" t="s">
        <v>19</v>
      </c>
      <c r="C1330" t="s">
        <v>23</v>
      </c>
      <c r="D1330" t="s">
        <v>12</v>
      </c>
      <c r="E1330">
        <v>446</v>
      </c>
      <c r="F1330" s="3">
        <v>30963115.460000001</v>
      </c>
      <c r="G1330">
        <v>6898719.9199999999</v>
      </c>
      <c r="H1330">
        <v>24064395.539999999</v>
      </c>
      <c r="I1330">
        <v>3.27</v>
      </c>
      <c r="J1330">
        <v>3.85</v>
      </c>
      <c r="K1330" t="str">
        <f t="shared" si="20"/>
        <v>May 2021</v>
      </c>
    </row>
    <row r="1331" spans="1:11" x14ac:dyDescent="0.25">
      <c r="A1331" s="6">
        <v>44622</v>
      </c>
      <c r="B1331" t="s">
        <v>19</v>
      </c>
      <c r="C1331" t="s">
        <v>22</v>
      </c>
      <c r="D1331" t="s">
        <v>17</v>
      </c>
      <c r="E1331">
        <v>360</v>
      </c>
      <c r="F1331" s="3">
        <v>21746468.440000001</v>
      </c>
      <c r="G1331">
        <v>4391302.1500000004</v>
      </c>
      <c r="H1331">
        <v>17355166.289999999</v>
      </c>
      <c r="I1331">
        <v>0.5</v>
      </c>
      <c r="J1331">
        <v>3.78</v>
      </c>
      <c r="K1331" t="str">
        <f t="shared" si="20"/>
        <v>Mar 2022</v>
      </c>
    </row>
    <row r="1332" spans="1:11" x14ac:dyDescent="0.25">
      <c r="A1332" s="6">
        <v>44914</v>
      </c>
      <c r="B1332" t="s">
        <v>19</v>
      </c>
      <c r="C1332" t="s">
        <v>20</v>
      </c>
      <c r="D1332" t="s">
        <v>14</v>
      </c>
      <c r="E1332">
        <v>323</v>
      </c>
      <c r="F1332" s="3">
        <v>27987537.66</v>
      </c>
      <c r="G1332">
        <v>6723819.8899999997</v>
      </c>
      <c r="H1332">
        <v>21263717.780000001</v>
      </c>
      <c r="I1332">
        <v>4.99</v>
      </c>
      <c r="J1332">
        <v>4.03</v>
      </c>
      <c r="K1332" t="str">
        <f t="shared" si="20"/>
        <v>Dec 2022</v>
      </c>
    </row>
    <row r="1333" spans="1:11" x14ac:dyDescent="0.25">
      <c r="A1333" s="6">
        <v>44741</v>
      </c>
      <c r="B1333" t="s">
        <v>19</v>
      </c>
      <c r="C1333" t="s">
        <v>21</v>
      </c>
      <c r="D1333" t="s">
        <v>14</v>
      </c>
      <c r="E1333">
        <v>495</v>
      </c>
      <c r="F1333" s="3">
        <v>19735594.350000001</v>
      </c>
      <c r="G1333">
        <v>7745838.8099999996</v>
      </c>
      <c r="H1333">
        <v>11989755.550000001</v>
      </c>
      <c r="I1333">
        <v>2.66</v>
      </c>
      <c r="J1333">
        <v>4.37</v>
      </c>
      <c r="K1333" t="str">
        <f t="shared" si="20"/>
        <v>Jun 2022</v>
      </c>
    </row>
    <row r="1334" spans="1:11" x14ac:dyDescent="0.25">
      <c r="A1334" s="6">
        <v>45244</v>
      </c>
      <c r="B1334" t="s">
        <v>19</v>
      </c>
      <c r="C1334" t="s">
        <v>21</v>
      </c>
      <c r="D1334" t="s">
        <v>17</v>
      </c>
      <c r="E1334">
        <v>285</v>
      </c>
      <c r="F1334" s="3">
        <v>25400508.379999999</v>
      </c>
      <c r="G1334">
        <v>6257296.29</v>
      </c>
      <c r="H1334">
        <v>19143212.09</v>
      </c>
      <c r="I1334">
        <v>2.38</v>
      </c>
      <c r="J1334">
        <v>4.13</v>
      </c>
      <c r="K1334" t="str">
        <f t="shared" si="20"/>
        <v>Nov 2023</v>
      </c>
    </row>
    <row r="1335" spans="1:11" x14ac:dyDescent="0.25">
      <c r="A1335" s="6">
        <v>45557</v>
      </c>
      <c r="B1335" t="s">
        <v>19</v>
      </c>
      <c r="C1335" t="s">
        <v>24</v>
      </c>
      <c r="D1335" t="s">
        <v>12</v>
      </c>
      <c r="E1335">
        <v>438</v>
      </c>
      <c r="F1335" s="3">
        <v>32970427.84</v>
      </c>
      <c r="G1335">
        <v>13166104.939999999</v>
      </c>
      <c r="H1335">
        <v>19804322.899999999</v>
      </c>
      <c r="I1335">
        <v>2.6</v>
      </c>
      <c r="J1335">
        <v>3.95</v>
      </c>
      <c r="K1335" t="str">
        <f t="shared" si="20"/>
        <v>Sep 2024</v>
      </c>
    </row>
    <row r="1336" spans="1:11" x14ac:dyDescent="0.25">
      <c r="A1336" s="6">
        <v>44191</v>
      </c>
      <c r="B1336" t="s">
        <v>19</v>
      </c>
      <c r="C1336" t="s">
        <v>23</v>
      </c>
      <c r="D1336" t="s">
        <v>17</v>
      </c>
      <c r="E1336">
        <v>373</v>
      </c>
      <c r="F1336" s="3">
        <v>27734576.260000002</v>
      </c>
      <c r="G1336">
        <v>7826095.3899999997</v>
      </c>
      <c r="H1336">
        <v>19908480.870000001</v>
      </c>
      <c r="I1336">
        <v>1.75</v>
      </c>
      <c r="J1336">
        <v>4.87</v>
      </c>
      <c r="K1336" t="str">
        <f t="shared" si="20"/>
        <v>Dec 2020</v>
      </c>
    </row>
    <row r="1337" spans="1:11" x14ac:dyDescent="0.25">
      <c r="A1337" s="6">
        <v>45456</v>
      </c>
      <c r="B1337" t="s">
        <v>19</v>
      </c>
      <c r="C1337" t="s">
        <v>21</v>
      </c>
      <c r="D1337" t="s">
        <v>14</v>
      </c>
      <c r="E1337">
        <v>122</v>
      </c>
      <c r="F1337" s="3">
        <v>5004527.59</v>
      </c>
      <c r="G1337">
        <v>1609826.27</v>
      </c>
      <c r="H1337">
        <v>3394701.32</v>
      </c>
      <c r="I1337">
        <v>1.06</v>
      </c>
      <c r="J1337">
        <v>4.93</v>
      </c>
      <c r="K1337" t="str">
        <f t="shared" si="20"/>
        <v>Jun 2024</v>
      </c>
    </row>
    <row r="1338" spans="1:11" x14ac:dyDescent="0.25">
      <c r="A1338" s="6">
        <v>45636</v>
      </c>
      <c r="B1338" t="s">
        <v>19</v>
      </c>
      <c r="C1338" t="s">
        <v>24</v>
      </c>
      <c r="D1338" t="s">
        <v>17</v>
      </c>
      <c r="E1338">
        <v>342</v>
      </c>
      <c r="F1338" s="3">
        <v>26761149.719999999</v>
      </c>
      <c r="G1338">
        <v>10225911.640000001</v>
      </c>
      <c r="H1338">
        <v>16535238.08</v>
      </c>
      <c r="I1338">
        <v>2.38</v>
      </c>
      <c r="J1338">
        <v>4.82</v>
      </c>
      <c r="K1338" t="str">
        <f t="shared" si="20"/>
        <v>Dec 2024</v>
      </c>
    </row>
    <row r="1339" spans="1:11" x14ac:dyDescent="0.25">
      <c r="A1339" s="6">
        <v>44844</v>
      </c>
      <c r="B1339" t="s">
        <v>19</v>
      </c>
      <c r="C1339" t="s">
        <v>23</v>
      </c>
      <c r="D1339" t="s">
        <v>17</v>
      </c>
      <c r="E1339">
        <v>351</v>
      </c>
      <c r="F1339" s="3">
        <v>23883414.010000002</v>
      </c>
      <c r="G1339">
        <v>5236562.87</v>
      </c>
      <c r="H1339">
        <v>18646851.140000001</v>
      </c>
      <c r="I1339">
        <v>4.95</v>
      </c>
      <c r="J1339">
        <v>4.62</v>
      </c>
      <c r="K1339" t="str">
        <f t="shared" si="20"/>
        <v>Oct 2022</v>
      </c>
    </row>
    <row r="1340" spans="1:11" x14ac:dyDescent="0.25">
      <c r="A1340" s="6">
        <v>44239</v>
      </c>
      <c r="B1340" t="s">
        <v>19</v>
      </c>
      <c r="C1340" t="s">
        <v>23</v>
      </c>
      <c r="D1340" t="s">
        <v>14</v>
      </c>
      <c r="E1340">
        <v>309</v>
      </c>
      <c r="F1340" s="3">
        <v>14752260.57</v>
      </c>
      <c r="G1340">
        <v>3119419.27</v>
      </c>
      <c r="H1340">
        <v>11632841.289999999</v>
      </c>
      <c r="I1340">
        <v>3.42</v>
      </c>
      <c r="J1340">
        <v>4.41</v>
      </c>
      <c r="K1340" t="str">
        <f t="shared" si="20"/>
        <v>Feb 2021</v>
      </c>
    </row>
    <row r="1341" spans="1:11" x14ac:dyDescent="0.25">
      <c r="A1341" s="6">
        <v>44997</v>
      </c>
      <c r="B1341" t="s">
        <v>19</v>
      </c>
      <c r="C1341" t="s">
        <v>23</v>
      </c>
      <c r="D1341" t="s">
        <v>12</v>
      </c>
      <c r="E1341">
        <v>415</v>
      </c>
      <c r="F1341" s="3">
        <v>19790038.449999999</v>
      </c>
      <c r="G1341">
        <v>7217316.0700000003</v>
      </c>
      <c r="H1341">
        <v>12572722.380000001</v>
      </c>
      <c r="I1341">
        <v>1.49</v>
      </c>
      <c r="J1341">
        <v>3.78</v>
      </c>
      <c r="K1341" t="str">
        <f t="shared" si="20"/>
        <v>Mar 2023</v>
      </c>
    </row>
    <row r="1342" spans="1:11" x14ac:dyDescent="0.25">
      <c r="A1342" s="6">
        <v>44222</v>
      </c>
      <c r="B1342" t="s">
        <v>19</v>
      </c>
      <c r="C1342" t="s">
        <v>21</v>
      </c>
      <c r="D1342" t="s">
        <v>12</v>
      </c>
      <c r="E1342">
        <v>308</v>
      </c>
      <c r="F1342" s="3">
        <v>24775924.489999998</v>
      </c>
      <c r="G1342">
        <v>5942407.9299999997</v>
      </c>
      <c r="H1342">
        <v>18833516.550000001</v>
      </c>
      <c r="I1342">
        <v>3.33</v>
      </c>
      <c r="J1342">
        <v>3.82</v>
      </c>
      <c r="K1342" t="str">
        <f t="shared" si="20"/>
        <v>Jan 2021</v>
      </c>
    </row>
    <row r="1343" spans="1:11" x14ac:dyDescent="0.25">
      <c r="A1343" s="6">
        <v>44735</v>
      </c>
      <c r="B1343" t="s">
        <v>19</v>
      </c>
      <c r="C1343" t="s">
        <v>23</v>
      </c>
      <c r="D1343" t="s">
        <v>17</v>
      </c>
      <c r="E1343">
        <v>58</v>
      </c>
      <c r="F1343" s="3">
        <v>4989529.78</v>
      </c>
      <c r="G1343">
        <v>1002987.47</v>
      </c>
      <c r="H1343">
        <v>3986542.31</v>
      </c>
      <c r="I1343">
        <v>1.28</v>
      </c>
      <c r="J1343">
        <v>4.09</v>
      </c>
      <c r="K1343" t="str">
        <f t="shared" si="20"/>
        <v>Jun 2022</v>
      </c>
    </row>
    <row r="1344" spans="1:11" x14ac:dyDescent="0.25">
      <c r="A1344" s="6">
        <v>45628</v>
      </c>
      <c r="B1344" t="s">
        <v>19</v>
      </c>
      <c r="C1344" t="s">
        <v>20</v>
      </c>
      <c r="D1344" t="s">
        <v>12</v>
      </c>
      <c r="E1344">
        <v>227</v>
      </c>
      <c r="F1344" s="3">
        <v>14077461.470000001</v>
      </c>
      <c r="G1344">
        <v>2825808.89</v>
      </c>
      <c r="H1344">
        <v>11251652.58</v>
      </c>
      <c r="I1344">
        <v>4.54</v>
      </c>
      <c r="J1344">
        <v>4.2</v>
      </c>
      <c r="K1344" t="str">
        <f t="shared" si="20"/>
        <v>Dec 2024</v>
      </c>
    </row>
    <row r="1345" spans="1:11" x14ac:dyDescent="0.25">
      <c r="A1345" s="6">
        <v>45140</v>
      </c>
      <c r="B1345" t="s">
        <v>19</v>
      </c>
      <c r="C1345" t="s">
        <v>23</v>
      </c>
      <c r="D1345" t="s">
        <v>14</v>
      </c>
      <c r="E1345">
        <v>318</v>
      </c>
      <c r="F1345" s="3">
        <v>15044570.08</v>
      </c>
      <c r="G1345">
        <v>4402118.17</v>
      </c>
      <c r="H1345">
        <v>10642451.92</v>
      </c>
      <c r="I1345">
        <v>3.17</v>
      </c>
      <c r="J1345">
        <v>4.37</v>
      </c>
      <c r="K1345" t="str">
        <f t="shared" si="20"/>
        <v>Aug 2023</v>
      </c>
    </row>
    <row r="1346" spans="1:11" x14ac:dyDescent="0.25">
      <c r="A1346" s="6">
        <v>44191</v>
      </c>
      <c r="B1346" t="s">
        <v>19</v>
      </c>
      <c r="C1346" t="s">
        <v>24</v>
      </c>
      <c r="D1346" t="s">
        <v>14</v>
      </c>
      <c r="E1346">
        <v>147</v>
      </c>
      <c r="F1346" s="3">
        <v>8843338.5099999998</v>
      </c>
      <c r="G1346">
        <v>2845486.07</v>
      </c>
      <c r="H1346">
        <v>5997852.4400000004</v>
      </c>
      <c r="I1346">
        <v>1.73</v>
      </c>
      <c r="J1346">
        <v>4.22</v>
      </c>
      <c r="K1346" t="str">
        <f t="shared" ref="K1346:K1409" si="21">TEXT(A1346,"mmm yyyy")</f>
        <v>Dec 2020</v>
      </c>
    </row>
    <row r="1347" spans="1:11" x14ac:dyDescent="0.25">
      <c r="A1347" s="6">
        <v>45567</v>
      </c>
      <c r="B1347" t="s">
        <v>19</v>
      </c>
      <c r="C1347" t="s">
        <v>20</v>
      </c>
      <c r="D1347" t="s">
        <v>14</v>
      </c>
      <c r="E1347">
        <v>244</v>
      </c>
      <c r="F1347" s="3">
        <v>21364843.109999999</v>
      </c>
      <c r="G1347">
        <v>4862092.99</v>
      </c>
      <c r="H1347">
        <v>16502750.119999999</v>
      </c>
      <c r="I1347">
        <v>4.1399999999999997</v>
      </c>
      <c r="J1347">
        <v>4.4800000000000004</v>
      </c>
      <c r="K1347" t="str">
        <f t="shared" si="21"/>
        <v>Oct 2024</v>
      </c>
    </row>
    <row r="1348" spans="1:11" x14ac:dyDescent="0.25">
      <c r="A1348" s="6">
        <v>45493</v>
      </c>
      <c r="B1348" t="s">
        <v>19</v>
      </c>
      <c r="C1348" t="s">
        <v>23</v>
      </c>
      <c r="D1348" t="s">
        <v>14</v>
      </c>
      <c r="E1348">
        <v>310</v>
      </c>
      <c r="F1348" s="3">
        <v>23385375.760000002</v>
      </c>
      <c r="G1348">
        <v>8038063.6299999999</v>
      </c>
      <c r="H1348">
        <v>15347312.130000001</v>
      </c>
      <c r="I1348">
        <v>1.64</v>
      </c>
      <c r="J1348">
        <v>3.51</v>
      </c>
      <c r="K1348" t="str">
        <f t="shared" si="21"/>
        <v>Jul 2024</v>
      </c>
    </row>
    <row r="1349" spans="1:11" x14ac:dyDescent="0.25">
      <c r="A1349" s="6">
        <v>45265</v>
      </c>
      <c r="B1349" t="s">
        <v>19</v>
      </c>
      <c r="C1349" t="s">
        <v>21</v>
      </c>
      <c r="D1349" t="s">
        <v>17</v>
      </c>
      <c r="E1349">
        <v>300</v>
      </c>
      <c r="F1349" s="3">
        <v>22436431.879999999</v>
      </c>
      <c r="G1349">
        <v>6749436.3200000003</v>
      </c>
      <c r="H1349">
        <v>15686995.560000001</v>
      </c>
      <c r="I1349">
        <v>0.86</v>
      </c>
      <c r="J1349">
        <v>3.83</v>
      </c>
      <c r="K1349" t="str">
        <f t="shared" si="21"/>
        <v>Dec 2023</v>
      </c>
    </row>
    <row r="1350" spans="1:11" x14ac:dyDescent="0.25">
      <c r="A1350" s="6">
        <v>45125</v>
      </c>
      <c r="B1350" t="s">
        <v>19</v>
      </c>
      <c r="C1350" t="s">
        <v>24</v>
      </c>
      <c r="D1350" t="s">
        <v>14</v>
      </c>
      <c r="E1350">
        <v>333</v>
      </c>
      <c r="F1350" s="3">
        <v>13049336.689999999</v>
      </c>
      <c r="G1350">
        <v>2998197.55</v>
      </c>
      <c r="H1350">
        <v>10051139.140000001</v>
      </c>
      <c r="I1350">
        <v>2.73</v>
      </c>
      <c r="J1350">
        <v>4.22</v>
      </c>
      <c r="K1350" t="str">
        <f t="shared" si="21"/>
        <v>Jul 2023</v>
      </c>
    </row>
    <row r="1351" spans="1:11" x14ac:dyDescent="0.25">
      <c r="A1351" s="6">
        <v>45546</v>
      </c>
      <c r="B1351" t="s">
        <v>19</v>
      </c>
      <c r="C1351" t="s">
        <v>21</v>
      </c>
      <c r="D1351" t="s">
        <v>17</v>
      </c>
      <c r="E1351">
        <v>398</v>
      </c>
      <c r="F1351" s="3">
        <v>33773585.32</v>
      </c>
      <c r="G1351">
        <v>9650336.3200000003</v>
      </c>
      <c r="H1351">
        <v>24123249</v>
      </c>
      <c r="I1351">
        <v>3.48</v>
      </c>
      <c r="J1351">
        <v>4.32</v>
      </c>
      <c r="K1351" t="str">
        <f t="shared" si="21"/>
        <v>Sep 2024</v>
      </c>
    </row>
    <row r="1352" spans="1:11" x14ac:dyDescent="0.25">
      <c r="A1352" s="6">
        <v>43864</v>
      </c>
      <c r="B1352" t="s">
        <v>19</v>
      </c>
      <c r="C1352" t="s">
        <v>20</v>
      </c>
      <c r="D1352" t="s">
        <v>14</v>
      </c>
      <c r="E1352">
        <v>286</v>
      </c>
      <c r="F1352" s="3">
        <v>21554403.030000001</v>
      </c>
      <c r="G1352">
        <v>6374670.2400000002</v>
      </c>
      <c r="H1352">
        <v>15179732.789999999</v>
      </c>
      <c r="I1352">
        <v>4.41</v>
      </c>
      <c r="J1352">
        <v>3.87</v>
      </c>
      <c r="K1352" t="str">
        <f t="shared" si="21"/>
        <v>Feb 2020</v>
      </c>
    </row>
    <row r="1353" spans="1:11" x14ac:dyDescent="0.25">
      <c r="A1353" s="6">
        <v>45612</v>
      </c>
      <c r="B1353" t="s">
        <v>19</v>
      </c>
      <c r="C1353" t="s">
        <v>21</v>
      </c>
      <c r="D1353" t="s">
        <v>17</v>
      </c>
      <c r="E1353">
        <v>108</v>
      </c>
      <c r="F1353" s="3">
        <v>8931727.5500000007</v>
      </c>
      <c r="G1353">
        <v>2307310</v>
      </c>
      <c r="H1353">
        <v>6624417.5599999996</v>
      </c>
      <c r="I1353">
        <v>4.2699999999999996</v>
      </c>
      <c r="J1353">
        <v>4.55</v>
      </c>
      <c r="K1353" t="str">
        <f t="shared" si="21"/>
        <v>Nov 2024</v>
      </c>
    </row>
    <row r="1354" spans="1:11" x14ac:dyDescent="0.25">
      <c r="A1354" s="6">
        <v>45649</v>
      </c>
      <c r="B1354" t="s">
        <v>19</v>
      </c>
      <c r="C1354" t="s">
        <v>23</v>
      </c>
      <c r="D1354" t="s">
        <v>14</v>
      </c>
      <c r="E1354">
        <v>219</v>
      </c>
      <c r="F1354" s="3">
        <v>8939771.6600000001</v>
      </c>
      <c r="G1354">
        <v>2326145.15</v>
      </c>
      <c r="H1354">
        <v>6613626.5099999998</v>
      </c>
      <c r="I1354">
        <v>1.35</v>
      </c>
      <c r="J1354">
        <v>4.82</v>
      </c>
      <c r="K1354" t="str">
        <f t="shared" si="21"/>
        <v>Dec 2024</v>
      </c>
    </row>
    <row r="1355" spans="1:11" x14ac:dyDescent="0.25">
      <c r="A1355" s="6">
        <v>43860</v>
      </c>
      <c r="B1355" t="s">
        <v>19</v>
      </c>
      <c r="C1355" t="s">
        <v>23</v>
      </c>
      <c r="D1355" t="s">
        <v>12</v>
      </c>
      <c r="E1355">
        <v>94</v>
      </c>
      <c r="F1355" s="3">
        <v>7797431.04</v>
      </c>
      <c r="G1355">
        <v>3073361.68</v>
      </c>
      <c r="H1355">
        <v>4724069.3600000003</v>
      </c>
      <c r="I1355">
        <v>4.22</v>
      </c>
      <c r="J1355">
        <v>3.69</v>
      </c>
      <c r="K1355" t="str">
        <f t="shared" si="21"/>
        <v>Jan 2020</v>
      </c>
    </row>
    <row r="1356" spans="1:11" x14ac:dyDescent="0.25">
      <c r="A1356" s="6">
        <v>45198</v>
      </c>
      <c r="B1356" t="s">
        <v>19</v>
      </c>
      <c r="C1356" t="s">
        <v>23</v>
      </c>
      <c r="D1356" t="s">
        <v>17</v>
      </c>
      <c r="E1356">
        <v>412</v>
      </c>
      <c r="F1356" s="3">
        <v>19600646.16</v>
      </c>
      <c r="G1356">
        <v>4278031.9000000004</v>
      </c>
      <c r="H1356">
        <v>15322614.26</v>
      </c>
      <c r="I1356">
        <v>0.51</v>
      </c>
      <c r="J1356">
        <v>4.33</v>
      </c>
      <c r="K1356" t="str">
        <f t="shared" si="21"/>
        <v>Sep 2023</v>
      </c>
    </row>
    <row r="1357" spans="1:11" x14ac:dyDescent="0.25">
      <c r="A1357" s="6">
        <v>43925</v>
      </c>
      <c r="B1357" t="s">
        <v>19</v>
      </c>
      <c r="C1357" t="s">
        <v>24</v>
      </c>
      <c r="D1357" t="s">
        <v>12</v>
      </c>
      <c r="E1357">
        <v>126</v>
      </c>
      <c r="F1357" s="3">
        <v>7926751.3899999997</v>
      </c>
      <c r="G1357">
        <v>3160576.71</v>
      </c>
      <c r="H1357">
        <v>4766174.68</v>
      </c>
      <c r="I1357">
        <v>1.79</v>
      </c>
      <c r="J1357">
        <v>4.43</v>
      </c>
      <c r="K1357" t="str">
        <f t="shared" si="21"/>
        <v>Apr 2020</v>
      </c>
    </row>
    <row r="1358" spans="1:11" x14ac:dyDescent="0.25">
      <c r="A1358" s="6">
        <v>45383</v>
      </c>
      <c r="B1358" t="s">
        <v>19</v>
      </c>
      <c r="C1358" t="s">
        <v>21</v>
      </c>
      <c r="D1358" t="s">
        <v>14</v>
      </c>
      <c r="E1358">
        <v>162</v>
      </c>
      <c r="F1358" s="3">
        <v>10658212.82</v>
      </c>
      <c r="G1358">
        <v>4016347.43</v>
      </c>
      <c r="H1358">
        <v>6641865.3899999997</v>
      </c>
      <c r="I1358">
        <v>2.2000000000000002</v>
      </c>
      <c r="J1358">
        <v>3.51</v>
      </c>
      <c r="K1358" t="str">
        <f t="shared" si="21"/>
        <v>Apr 2024</v>
      </c>
    </row>
    <row r="1359" spans="1:11" x14ac:dyDescent="0.25">
      <c r="A1359" s="6">
        <v>44008</v>
      </c>
      <c r="B1359" t="s">
        <v>19</v>
      </c>
      <c r="C1359" t="s">
        <v>22</v>
      </c>
      <c r="D1359" t="s">
        <v>12</v>
      </c>
      <c r="E1359">
        <v>414</v>
      </c>
      <c r="F1359" s="3">
        <v>32247079.649999999</v>
      </c>
      <c r="G1359">
        <v>12208869.220000001</v>
      </c>
      <c r="H1359">
        <v>20038210.420000002</v>
      </c>
      <c r="I1359">
        <v>3.92</v>
      </c>
      <c r="J1359">
        <v>4.3099999999999996</v>
      </c>
      <c r="K1359" t="str">
        <f t="shared" si="21"/>
        <v>Jun 2020</v>
      </c>
    </row>
    <row r="1360" spans="1:11" x14ac:dyDescent="0.25">
      <c r="A1360" s="6">
        <v>45334</v>
      </c>
      <c r="B1360" t="s">
        <v>19</v>
      </c>
      <c r="C1360" t="s">
        <v>21</v>
      </c>
      <c r="D1360" t="s">
        <v>17</v>
      </c>
      <c r="E1360">
        <v>273</v>
      </c>
      <c r="F1360" s="3">
        <v>22169424.359999999</v>
      </c>
      <c r="G1360">
        <v>7129016.4199999999</v>
      </c>
      <c r="H1360">
        <v>15040407.939999999</v>
      </c>
      <c r="I1360">
        <v>1.31</v>
      </c>
      <c r="J1360">
        <v>4.63</v>
      </c>
      <c r="K1360" t="str">
        <f t="shared" si="21"/>
        <v>Feb 2024</v>
      </c>
    </row>
    <row r="1361" spans="1:11" x14ac:dyDescent="0.25">
      <c r="A1361" s="6">
        <v>44869</v>
      </c>
      <c r="B1361" t="s">
        <v>19</v>
      </c>
      <c r="C1361" t="s">
        <v>24</v>
      </c>
      <c r="D1361" t="s">
        <v>14</v>
      </c>
      <c r="E1361">
        <v>327</v>
      </c>
      <c r="F1361" s="3">
        <v>28301054.34</v>
      </c>
      <c r="G1361">
        <v>7426843.5</v>
      </c>
      <c r="H1361">
        <v>20874210.850000001</v>
      </c>
      <c r="I1361">
        <v>0.81</v>
      </c>
      <c r="J1361">
        <v>3.95</v>
      </c>
      <c r="K1361" t="str">
        <f t="shared" si="21"/>
        <v>Nov 2022</v>
      </c>
    </row>
    <row r="1362" spans="1:11" x14ac:dyDescent="0.25">
      <c r="A1362" s="6">
        <v>43862</v>
      </c>
      <c r="B1362" t="s">
        <v>19</v>
      </c>
      <c r="C1362" t="s">
        <v>20</v>
      </c>
      <c r="D1362" t="s">
        <v>17</v>
      </c>
      <c r="E1362">
        <v>66</v>
      </c>
      <c r="F1362" s="3">
        <v>5108672.9800000004</v>
      </c>
      <c r="G1362">
        <v>1319496.6599999999</v>
      </c>
      <c r="H1362">
        <v>3789176.32</v>
      </c>
      <c r="I1362">
        <v>2.63</v>
      </c>
      <c r="J1362">
        <v>3.59</v>
      </c>
      <c r="K1362" t="str">
        <f t="shared" si="21"/>
        <v>Feb 2020</v>
      </c>
    </row>
    <row r="1363" spans="1:11" x14ac:dyDescent="0.25">
      <c r="A1363" s="6">
        <v>44462</v>
      </c>
      <c r="B1363" t="s">
        <v>19</v>
      </c>
      <c r="C1363" t="s">
        <v>21</v>
      </c>
      <c r="D1363" t="s">
        <v>17</v>
      </c>
      <c r="E1363">
        <v>169</v>
      </c>
      <c r="F1363" s="3">
        <v>6340172.2000000002</v>
      </c>
      <c r="G1363">
        <v>1430930.2</v>
      </c>
      <c r="H1363">
        <v>4909242.01</v>
      </c>
      <c r="I1363">
        <v>4.88</v>
      </c>
      <c r="J1363">
        <v>4.95</v>
      </c>
      <c r="K1363" t="str">
        <f t="shared" si="21"/>
        <v>Sep 2021</v>
      </c>
    </row>
    <row r="1364" spans="1:11" x14ac:dyDescent="0.25">
      <c r="A1364" s="6">
        <v>44564</v>
      </c>
      <c r="B1364" t="s">
        <v>19</v>
      </c>
      <c r="C1364" t="s">
        <v>24</v>
      </c>
      <c r="D1364" t="s">
        <v>12</v>
      </c>
      <c r="E1364">
        <v>213</v>
      </c>
      <c r="F1364" s="3">
        <v>15041325.23</v>
      </c>
      <c r="G1364">
        <v>4228429.8099999996</v>
      </c>
      <c r="H1364">
        <v>10812895.43</v>
      </c>
      <c r="I1364">
        <v>2.23</v>
      </c>
      <c r="J1364">
        <v>3.6</v>
      </c>
      <c r="K1364" t="str">
        <f t="shared" si="21"/>
        <v>Jan 2022</v>
      </c>
    </row>
    <row r="1365" spans="1:11" x14ac:dyDescent="0.25">
      <c r="A1365" s="6">
        <v>44568</v>
      </c>
      <c r="B1365" t="s">
        <v>19</v>
      </c>
      <c r="C1365" t="s">
        <v>24</v>
      </c>
      <c r="D1365" t="s">
        <v>12</v>
      </c>
      <c r="E1365">
        <v>82</v>
      </c>
      <c r="F1365" s="3">
        <v>4329482.09</v>
      </c>
      <c r="G1365">
        <v>1308678.45</v>
      </c>
      <c r="H1365">
        <v>3020803.64</v>
      </c>
      <c r="I1365">
        <v>3.97</v>
      </c>
      <c r="J1365">
        <v>4.5199999999999996</v>
      </c>
      <c r="K1365" t="str">
        <f t="shared" si="21"/>
        <v>Jan 2022</v>
      </c>
    </row>
    <row r="1366" spans="1:11" x14ac:dyDescent="0.25">
      <c r="A1366" s="6">
        <v>45574</v>
      </c>
      <c r="B1366" t="s">
        <v>19</v>
      </c>
      <c r="C1366" t="s">
        <v>22</v>
      </c>
      <c r="D1366" t="s">
        <v>12</v>
      </c>
      <c r="E1366">
        <v>75</v>
      </c>
      <c r="F1366" s="3">
        <v>3280620.42</v>
      </c>
      <c r="G1366">
        <v>1004828.17</v>
      </c>
      <c r="H1366">
        <v>2275792.25</v>
      </c>
      <c r="I1366">
        <v>4.75</v>
      </c>
      <c r="J1366">
        <v>3.65</v>
      </c>
      <c r="K1366" t="str">
        <f t="shared" si="21"/>
        <v>Oct 2024</v>
      </c>
    </row>
    <row r="1367" spans="1:11" x14ac:dyDescent="0.25">
      <c r="A1367" s="6">
        <v>44164</v>
      </c>
      <c r="B1367" t="s">
        <v>19</v>
      </c>
      <c r="C1367" t="s">
        <v>20</v>
      </c>
      <c r="D1367" t="s">
        <v>14</v>
      </c>
      <c r="E1367">
        <v>88</v>
      </c>
      <c r="F1367" s="3">
        <v>5630796.6299999999</v>
      </c>
      <c r="G1367">
        <v>1322200.28</v>
      </c>
      <c r="H1367">
        <v>4308596.3499999996</v>
      </c>
      <c r="I1367">
        <v>1.84</v>
      </c>
      <c r="J1367">
        <v>4.76</v>
      </c>
      <c r="K1367" t="str">
        <f t="shared" si="21"/>
        <v>Nov 2020</v>
      </c>
    </row>
    <row r="1368" spans="1:11" x14ac:dyDescent="0.25">
      <c r="A1368" s="6">
        <v>45414</v>
      </c>
      <c r="B1368" t="s">
        <v>19</v>
      </c>
      <c r="C1368" t="s">
        <v>22</v>
      </c>
      <c r="D1368" t="s">
        <v>17</v>
      </c>
      <c r="E1368">
        <v>224</v>
      </c>
      <c r="F1368" s="3">
        <v>16223751.4</v>
      </c>
      <c r="G1368">
        <v>4365775.1100000003</v>
      </c>
      <c r="H1368">
        <v>11857976.289999999</v>
      </c>
      <c r="I1368">
        <v>1.73</v>
      </c>
      <c r="J1368">
        <v>4.93</v>
      </c>
      <c r="K1368" t="str">
        <f t="shared" si="21"/>
        <v>May 2024</v>
      </c>
    </row>
    <row r="1369" spans="1:11" x14ac:dyDescent="0.25">
      <c r="A1369" s="6">
        <v>43861</v>
      </c>
      <c r="B1369" t="s">
        <v>19</v>
      </c>
      <c r="C1369" t="s">
        <v>22</v>
      </c>
      <c r="D1369" t="s">
        <v>12</v>
      </c>
      <c r="E1369">
        <v>285</v>
      </c>
      <c r="F1369" s="3">
        <v>10465663.77</v>
      </c>
      <c r="G1369">
        <v>2655620.1800000002</v>
      </c>
      <c r="H1369">
        <v>7810043.5899999999</v>
      </c>
      <c r="I1369">
        <v>4.59</v>
      </c>
      <c r="J1369">
        <v>4.79</v>
      </c>
      <c r="K1369" t="str">
        <f t="shared" si="21"/>
        <v>Jan 2020</v>
      </c>
    </row>
    <row r="1370" spans="1:11" x14ac:dyDescent="0.25">
      <c r="A1370" s="6">
        <v>45334</v>
      </c>
      <c r="B1370" t="s">
        <v>19</v>
      </c>
      <c r="C1370" t="s">
        <v>21</v>
      </c>
      <c r="D1370" t="s">
        <v>17</v>
      </c>
      <c r="E1370">
        <v>133</v>
      </c>
      <c r="F1370" s="3">
        <v>7563403.0199999996</v>
      </c>
      <c r="G1370">
        <v>2610561.19</v>
      </c>
      <c r="H1370">
        <v>4952841.83</v>
      </c>
      <c r="I1370">
        <v>4.93</v>
      </c>
      <c r="J1370">
        <v>4.1100000000000003</v>
      </c>
      <c r="K1370" t="str">
        <f t="shared" si="21"/>
        <v>Feb 2024</v>
      </c>
    </row>
    <row r="1371" spans="1:11" x14ac:dyDescent="0.25">
      <c r="A1371" s="6">
        <v>44482</v>
      </c>
      <c r="B1371" t="s">
        <v>19</v>
      </c>
      <c r="C1371" t="s">
        <v>23</v>
      </c>
      <c r="D1371" t="s">
        <v>14</v>
      </c>
      <c r="E1371">
        <v>429</v>
      </c>
      <c r="F1371" s="3">
        <v>32107752.960000001</v>
      </c>
      <c r="G1371">
        <v>8053671.0800000001</v>
      </c>
      <c r="H1371">
        <v>24054081.879999999</v>
      </c>
      <c r="I1371">
        <v>1.4</v>
      </c>
      <c r="J1371">
        <v>4.8</v>
      </c>
      <c r="K1371" t="str">
        <f t="shared" si="21"/>
        <v>Oct 2021</v>
      </c>
    </row>
    <row r="1372" spans="1:11" x14ac:dyDescent="0.25">
      <c r="A1372" s="6">
        <v>44891</v>
      </c>
      <c r="B1372" t="s">
        <v>19</v>
      </c>
      <c r="C1372" t="s">
        <v>22</v>
      </c>
      <c r="D1372" t="s">
        <v>17</v>
      </c>
      <c r="E1372">
        <v>329</v>
      </c>
      <c r="F1372" s="3">
        <v>18183484.190000001</v>
      </c>
      <c r="G1372">
        <v>4129984.76</v>
      </c>
      <c r="H1372">
        <v>14053499.43</v>
      </c>
      <c r="I1372">
        <v>2.63</v>
      </c>
      <c r="J1372">
        <v>4.95</v>
      </c>
      <c r="K1372" t="str">
        <f t="shared" si="21"/>
        <v>Nov 2022</v>
      </c>
    </row>
    <row r="1373" spans="1:11" x14ac:dyDescent="0.25">
      <c r="A1373" s="6">
        <v>45613</v>
      </c>
      <c r="B1373" t="s">
        <v>19</v>
      </c>
      <c r="C1373" t="s">
        <v>22</v>
      </c>
      <c r="D1373" t="s">
        <v>17</v>
      </c>
      <c r="E1373">
        <v>479</v>
      </c>
      <c r="F1373" s="3">
        <v>22131509.41</v>
      </c>
      <c r="G1373">
        <v>8449082.2100000009</v>
      </c>
      <c r="H1373">
        <v>13682427.199999999</v>
      </c>
      <c r="I1373">
        <v>1.19</v>
      </c>
      <c r="J1373">
        <v>4.18</v>
      </c>
      <c r="K1373" t="str">
        <f t="shared" si="21"/>
        <v>Nov 2024</v>
      </c>
    </row>
    <row r="1374" spans="1:11" x14ac:dyDescent="0.25">
      <c r="A1374" s="6">
        <v>45414</v>
      </c>
      <c r="B1374" t="s">
        <v>19</v>
      </c>
      <c r="C1374" t="s">
        <v>20</v>
      </c>
      <c r="D1374" t="s">
        <v>12</v>
      </c>
      <c r="E1374">
        <v>99</v>
      </c>
      <c r="F1374" s="3">
        <v>7608775.6299999999</v>
      </c>
      <c r="G1374">
        <v>2090556.27</v>
      </c>
      <c r="H1374">
        <v>5518219.3600000003</v>
      </c>
      <c r="I1374">
        <v>1.0900000000000001</v>
      </c>
      <c r="J1374">
        <v>3.55</v>
      </c>
      <c r="K1374" t="str">
        <f t="shared" si="21"/>
        <v>May 2024</v>
      </c>
    </row>
    <row r="1375" spans="1:11" x14ac:dyDescent="0.25">
      <c r="A1375" s="6">
        <v>45274</v>
      </c>
      <c r="B1375" t="s">
        <v>19</v>
      </c>
      <c r="C1375" t="s">
        <v>22</v>
      </c>
      <c r="D1375" t="s">
        <v>12</v>
      </c>
      <c r="E1375">
        <v>365</v>
      </c>
      <c r="F1375" s="3">
        <v>32197788.620000001</v>
      </c>
      <c r="G1375">
        <v>11684842.32</v>
      </c>
      <c r="H1375">
        <v>20512946.300000001</v>
      </c>
      <c r="I1375">
        <v>2.58</v>
      </c>
      <c r="J1375">
        <v>3.5</v>
      </c>
      <c r="K1375" t="str">
        <f t="shared" si="21"/>
        <v>Dec 2023</v>
      </c>
    </row>
    <row r="1376" spans="1:11" x14ac:dyDescent="0.25">
      <c r="A1376" s="6">
        <v>45238</v>
      </c>
      <c r="B1376" t="s">
        <v>19</v>
      </c>
      <c r="C1376" t="s">
        <v>21</v>
      </c>
      <c r="D1376" t="s">
        <v>14</v>
      </c>
      <c r="E1376">
        <v>322</v>
      </c>
      <c r="F1376" s="3">
        <v>22025397.199999999</v>
      </c>
      <c r="G1376">
        <v>7719725.71</v>
      </c>
      <c r="H1376">
        <v>14305671.49</v>
      </c>
      <c r="I1376">
        <v>3.01</v>
      </c>
      <c r="J1376">
        <v>3.84</v>
      </c>
      <c r="K1376" t="str">
        <f t="shared" si="21"/>
        <v>Nov 2023</v>
      </c>
    </row>
    <row r="1377" spans="1:11" x14ac:dyDescent="0.25">
      <c r="A1377" s="6">
        <v>45199</v>
      </c>
      <c r="B1377" t="s">
        <v>19</v>
      </c>
      <c r="C1377" t="s">
        <v>24</v>
      </c>
      <c r="D1377" t="s">
        <v>17</v>
      </c>
      <c r="E1377">
        <v>493</v>
      </c>
      <c r="F1377" s="3">
        <v>18996025.329999998</v>
      </c>
      <c r="G1377">
        <v>5387381.4299999997</v>
      </c>
      <c r="H1377">
        <v>13608643.9</v>
      </c>
      <c r="I1377">
        <v>1.71</v>
      </c>
      <c r="J1377">
        <v>4.7</v>
      </c>
      <c r="K1377" t="str">
        <f t="shared" si="21"/>
        <v>Sep 2023</v>
      </c>
    </row>
    <row r="1378" spans="1:11" x14ac:dyDescent="0.25">
      <c r="A1378" s="6">
        <v>45177</v>
      </c>
      <c r="B1378" t="s">
        <v>19</v>
      </c>
      <c r="C1378" t="s">
        <v>22</v>
      </c>
      <c r="D1378" t="s">
        <v>14</v>
      </c>
      <c r="E1378">
        <v>444</v>
      </c>
      <c r="F1378" s="3">
        <v>39577861.369999997</v>
      </c>
      <c r="G1378">
        <v>14647128.16</v>
      </c>
      <c r="H1378">
        <v>24930733.210000001</v>
      </c>
      <c r="I1378">
        <v>2.59</v>
      </c>
      <c r="J1378">
        <v>4.5199999999999996</v>
      </c>
      <c r="K1378" t="str">
        <f t="shared" si="21"/>
        <v>Sep 2023</v>
      </c>
    </row>
    <row r="1379" spans="1:11" x14ac:dyDescent="0.25">
      <c r="A1379" s="6">
        <v>44448</v>
      </c>
      <c r="B1379" t="s">
        <v>19</v>
      </c>
      <c r="C1379" t="s">
        <v>22</v>
      </c>
      <c r="D1379" t="s">
        <v>14</v>
      </c>
      <c r="E1379">
        <v>387</v>
      </c>
      <c r="F1379" s="3">
        <v>23760498.100000001</v>
      </c>
      <c r="G1379">
        <v>6652841.8200000003</v>
      </c>
      <c r="H1379">
        <v>17107656.280000001</v>
      </c>
      <c r="I1379">
        <v>1.81</v>
      </c>
      <c r="J1379">
        <v>4.54</v>
      </c>
      <c r="K1379" t="str">
        <f t="shared" si="21"/>
        <v>Sep 2021</v>
      </c>
    </row>
    <row r="1380" spans="1:11" x14ac:dyDescent="0.25">
      <c r="A1380" s="6">
        <v>44147</v>
      </c>
      <c r="B1380" t="s">
        <v>19</v>
      </c>
      <c r="C1380" t="s">
        <v>23</v>
      </c>
      <c r="D1380" t="s">
        <v>12</v>
      </c>
      <c r="E1380">
        <v>338</v>
      </c>
      <c r="F1380" s="3">
        <v>29539738.18</v>
      </c>
      <c r="G1380">
        <v>6452550.21</v>
      </c>
      <c r="H1380">
        <v>23087187.969999999</v>
      </c>
      <c r="I1380">
        <v>3.76</v>
      </c>
      <c r="J1380">
        <v>4.62</v>
      </c>
      <c r="K1380" t="str">
        <f t="shared" si="21"/>
        <v>Nov 2020</v>
      </c>
    </row>
    <row r="1381" spans="1:11" x14ac:dyDescent="0.25">
      <c r="A1381" s="6">
        <v>44276</v>
      </c>
      <c r="B1381" t="s">
        <v>19</v>
      </c>
      <c r="C1381" t="s">
        <v>20</v>
      </c>
      <c r="D1381" t="s">
        <v>14</v>
      </c>
      <c r="E1381">
        <v>90</v>
      </c>
      <c r="F1381" s="3">
        <v>4348122.83</v>
      </c>
      <c r="G1381">
        <v>881223.1</v>
      </c>
      <c r="H1381">
        <v>3466899.73</v>
      </c>
      <c r="I1381">
        <v>1.1399999999999999</v>
      </c>
      <c r="J1381">
        <v>4.25</v>
      </c>
      <c r="K1381" t="str">
        <f t="shared" si="21"/>
        <v>Mar 2021</v>
      </c>
    </row>
    <row r="1382" spans="1:11" x14ac:dyDescent="0.25">
      <c r="A1382" s="6">
        <v>44009</v>
      </c>
      <c r="B1382" t="s">
        <v>19</v>
      </c>
      <c r="C1382" t="s">
        <v>24</v>
      </c>
      <c r="D1382" t="s">
        <v>12</v>
      </c>
      <c r="E1382">
        <v>135</v>
      </c>
      <c r="F1382" s="3">
        <v>6286845.6299999999</v>
      </c>
      <c r="G1382">
        <v>2079667.7</v>
      </c>
      <c r="H1382">
        <v>4207177.93</v>
      </c>
      <c r="I1382">
        <v>3.99</v>
      </c>
      <c r="J1382">
        <v>4.91</v>
      </c>
      <c r="K1382" t="str">
        <f t="shared" si="21"/>
        <v>Jun 2020</v>
      </c>
    </row>
    <row r="1383" spans="1:11" x14ac:dyDescent="0.25">
      <c r="A1383" s="6">
        <v>44480</v>
      </c>
      <c r="B1383" t="s">
        <v>19</v>
      </c>
      <c r="C1383" t="s">
        <v>21</v>
      </c>
      <c r="D1383" t="s">
        <v>14</v>
      </c>
      <c r="E1383">
        <v>402</v>
      </c>
      <c r="F1383" s="3">
        <v>25516604.440000001</v>
      </c>
      <c r="G1383">
        <v>9758230.8300000001</v>
      </c>
      <c r="H1383">
        <v>15758373.6</v>
      </c>
      <c r="I1383">
        <v>2.08</v>
      </c>
      <c r="J1383">
        <v>3.55</v>
      </c>
      <c r="K1383" t="str">
        <f t="shared" si="21"/>
        <v>Oct 2021</v>
      </c>
    </row>
    <row r="1384" spans="1:11" x14ac:dyDescent="0.25">
      <c r="A1384" s="6">
        <v>44415</v>
      </c>
      <c r="B1384" t="s">
        <v>19</v>
      </c>
      <c r="C1384" t="s">
        <v>22</v>
      </c>
      <c r="D1384" t="s">
        <v>17</v>
      </c>
      <c r="E1384">
        <v>165</v>
      </c>
      <c r="F1384" s="3">
        <v>9022047.2599999998</v>
      </c>
      <c r="G1384">
        <v>3027628.18</v>
      </c>
      <c r="H1384">
        <v>5994419.0800000001</v>
      </c>
      <c r="I1384">
        <v>4.9000000000000004</v>
      </c>
      <c r="J1384">
        <v>3.8</v>
      </c>
      <c r="K1384" t="str">
        <f t="shared" si="21"/>
        <v>Aug 2021</v>
      </c>
    </row>
    <row r="1385" spans="1:11" x14ac:dyDescent="0.25">
      <c r="A1385" s="6">
        <v>45589</v>
      </c>
      <c r="B1385" t="s">
        <v>19</v>
      </c>
      <c r="C1385" t="s">
        <v>20</v>
      </c>
      <c r="D1385" t="s">
        <v>17</v>
      </c>
      <c r="E1385">
        <v>171</v>
      </c>
      <c r="F1385" s="3">
        <v>13514517.91</v>
      </c>
      <c r="G1385">
        <v>4864820.3499999996</v>
      </c>
      <c r="H1385">
        <v>8649697.5500000007</v>
      </c>
      <c r="I1385">
        <v>1.25</v>
      </c>
      <c r="J1385">
        <v>3.66</v>
      </c>
      <c r="K1385" t="str">
        <f t="shared" si="21"/>
        <v>Oct 2024</v>
      </c>
    </row>
    <row r="1386" spans="1:11" x14ac:dyDescent="0.25">
      <c r="A1386" s="6">
        <v>45183</v>
      </c>
      <c r="B1386" t="s">
        <v>19</v>
      </c>
      <c r="C1386" t="s">
        <v>23</v>
      </c>
      <c r="D1386" t="s">
        <v>14</v>
      </c>
      <c r="E1386">
        <v>366</v>
      </c>
      <c r="F1386" s="3">
        <v>27031356.370000001</v>
      </c>
      <c r="G1386">
        <v>10641779.279999999</v>
      </c>
      <c r="H1386">
        <v>16389577.09</v>
      </c>
      <c r="I1386">
        <v>4.71</v>
      </c>
      <c r="J1386">
        <v>3.58</v>
      </c>
      <c r="K1386" t="str">
        <f t="shared" si="21"/>
        <v>Sep 2023</v>
      </c>
    </row>
    <row r="1387" spans="1:11" x14ac:dyDescent="0.25">
      <c r="A1387" s="6">
        <v>45615</v>
      </c>
      <c r="B1387" t="s">
        <v>19</v>
      </c>
      <c r="C1387" t="s">
        <v>22</v>
      </c>
      <c r="D1387" t="s">
        <v>12</v>
      </c>
      <c r="E1387">
        <v>465</v>
      </c>
      <c r="F1387" s="3">
        <v>23917727.789999999</v>
      </c>
      <c r="G1387">
        <v>5093510.63</v>
      </c>
      <c r="H1387">
        <v>18824217.170000002</v>
      </c>
      <c r="I1387">
        <v>4.76</v>
      </c>
      <c r="J1387">
        <v>4.4400000000000004</v>
      </c>
      <c r="K1387" t="str">
        <f t="shared" si="21"/>
        <v>Nov 2024</v>
      </c>
    </row>
    <row r="1388" spans="1:11" x14ac:dyDescent="0.25">
      <c r="A1388" s="6">
        <v>45155</v>
      </c>
      <c r="B1388" t="s">
        <v>19</v>
      </c>
      <c r="C1388" t="s">
        <v>20</v>
      </c>
      <c r="D1388" t="s">
        <v>12</v>
      </c>
      <c r="E1388">
        <v>133</v>
      </c>
      <c r="F1388" s="3">
        <v>7138078.1600000001</v>
      </c>
      <c r="G1388">
        <v>1691974.19</v>
      </c>
      <c r="H1388">
        <v>5446103.96</v>
      </c>
      <c r="I1388">
        <v>0.86</v>
      </c>
      <c r="J1388">
        <v>4.84</v>
      </c>
      <c r="K1388" t="str">
        <f t="shared" si="21"/>
        <v>Aug 2023</v>
      </c>
    </row>
    <row r="1389" spans="1:11" x14ac:dyDescent="0.25">
      <c r="A1389" s="6">
        <v>44633</v>
      </c>
      <c r="B1389" t="s">
        <v>19</v>
      </c>
      <c r="C1389" t="s">
        <v>21</v>
      </c>
      <c r="D1389" t="s">
        <v>17</v>
      </c>
      <c r="E1389">
        <v>437</v>
      </c>
      <c r="F1389" s="3">
        <v>29655332.359999999</v>
      </c>
      <c r="G1389">
        <v>7213169.9699999997</v>
      </c>
      <c r="H1389">
        <v>22442162.390000001</v>
      </c>
      <c r="I1389">
        <v>2.66</v>
      </c>
      <c r="J1389">
        <v>3.56</v>
      </c>
      <c r="K1389" t="str">
        <f t="shared" si="21"/>
        <v>Mar 2022</v>
      </c>
    </row>
    <row r="1390" spans="1:11" x14ac:dyDescent="0.25">
      <c r="A1390" s="6">
        <v>44324</v>
      </c>
      <c r="B1390" t="s">
        <v>19</v>
      </c>
      <c r="C1390" t="s">
        <v>21</v>
      </c>
      <c r="D1390" t="s">
        <v>14</v>
      </c>
      <c r="E1390">
        <v>237</v>
      </c>
      <c r="F1390" s="3">
        <v>17831269.420000002</v>
      </c>
      <c r="G1390">
        <v>6841394.5300000003</v>
      </c>
      <c r="H1390">
        <v>10989874.890000001</v>
      </c>
      <c r="I1390">
        <v>0.77</v>
      </c>
      <c r="J1390">
        <v>3.87</v>
      </c>
      <c r="K1390" t="str">
        <f t="shared" si="21"/>
        <v>May 2021</v>
      </c>
    </row>
    <row r="1391" spans="1:11" x14ac:dyDescent="0.25">
      <c r="A1391" s="6">
        <v>43852</v>
      </c>
      <c r="B1391" t="s">
        <v>19</v>
      </c>
      <c r="C1391" t="s">
        <v>20</v>
      </c>
      <c r="D1391" t="s">
        <v>14</v>
      </c>
      <c r="E1391">
        <v>446</v>
      </c>
      <c r="F1391" s="3">
        <v>27366712.120000001</v>
      </c>
      <c r="G1391">
        <v>7576517.9199999999</v>
      </c>
      <c r="H1391">
        <v>19790194.199999999</v>
      </c>
      <c r="I1391">
        <v>1.98</v>
      </c>
      <c r="J1391">
        <v>4.21</v>
      </c>
      <c r="K1391" t="str">
        <f t="shared" si="21"/>
        <v>Jan 2020</v>
      </c>
    </row>
    <row r="1392" spans="1:11" x14ac:dyDescent="0.25">
      <c r="A1392" s="6">
        <v>44767</v>
      </c>
      <c r="B1392" t="s">
        <v>19</v>
      </c>
      <c r="C1392" t="s">
        <v>23</v>
      </c>
      <c r="D1392" t="s">
        <v>14</v>
      </c>
      <c r="E1392">
        <v>222</v>
      </c>
      <c r="F1392" s="3">
        <v>9993659.75</v>
      </c>
      <c r="G1392">
        <v>2419068.2599999998</v>
      </c>
      <c r="H1392">
        <v>7574591.4900000002</v>
      </c>
      <c r="I1392">
        <v>3.46</v>
      </c>
      <c r="J1392">
        <v>4.25</v>
      </c>
      <c r="K1392" t="str">
        <f t="shared" si="21"/>
        <v>Jul 2022</v>
      </c>
    </row>
    <row r="1393" spans="1:11" x14ac:dyDescent="0.25">
      <c r="A1393" s="6">
        <v>44770</v>
      </c>
      <c r="B1393" t="s">
        <v>19</v>
      </c>
      <c r="C1393" t="s">
        <v>23</v>
      </c>
      <c r="D1393" t="s">
        <v>17</v>
      </c>
      <c r="E1393">
        <v>131</v>
      </c>
      <c r="F1393" s="3">
        <v>4735304.51</v>
      </c>
      <c r="G1393">
        <v>1275441.94</v>
      </c>
      <c r="H1393">
        <v>3459862.57</v>
      </c>
      <c r="I1393">
        <v>2</v>
      </c>
      <c r="J1393">
        <v>4.3099999999999996</v>
      </c>
      <c r="K1393" t="str">
        <f t="shared" si="21"/>
        <v>Jul 2022</v>
      </c>
    </row>
    <row r="1394" spans="1:11" x14ac:dyDescent="0.25">
      <c r="A1394" s="6">
        <v>45129</v>
      </c>
      <c r="B1394" t="s">
        <v>19</v>
      </c>
      <c r="C1394" t="s">
        <v>21</v>
      </c>
      <c r="D1394" t="s">
        <v>17</v>
      </c>
      <c r="E1394">
        <v>108</v>
      </c>
      <c r="F1394" s="3">
        <v>7642934.5800000001</v>
      </c>
      <c r="G1394">
        <v>2752155.85</v>
      </c>
      <c r="H1394">
        <v>4890778.7300000004</v>
      </c>
      <c r="I1394">
        <v>3.56</v>
      </c>
      <c r="J1394">
        <v>3.61</v>
      </c>
      <c r="K1394" t="str">
        <f t="shared" si="21"/>
        <v>Jul 2023</v>
      </c>
    </row>
    <row r="1395" spans="1:11" x14ac:dyDescent="0.25">
      <c r="A1395" s="6">
        <v>45509</v>
      </c>
      <c r="B1395" t="s">
        <v>19</v>
      </c>
      <c r="C1395" t="s">
        <v>24</v>
      </c>
      <c r="D1395" t="s">
        <v>17</v>
      </c>
      <c r="E1395">
        <v>496</v>
      </c>
      <c r="F1395" s="3">
        <v>22913615.489999998</v>
      </c>
      <c r="G1395">
        <v>5313885.54</v>
      </c>
      <c r="H1395">
        <v>17599729.949999999</v>
      </c>
      <c r="I1395">
        <v>1.28</v>
      </c>
      <c r="J1395">
        <v>4.9400000000000004</v>
      </c>
      <c r="K1395" t="str">
        <f t="shared" si="21"/>
        <v>Aug 2024</v>
      </c>
    </row>
    <row r="1396" spans="1:11" x14ac:dyDescent="0.25">
      <c r="A1396" s="6">
        <v>43935</v>
      </c>
      <c r="B1396" t="s">
        <v>19</v>
      </c>
      <c r="C1396" t="s">
        <v>20</v>
      </c>
      <c r="D1396" t="s">
        <v>12</v>
      </c>
      <c r="E1396">
        <v>491</v>
      </c>
      <c r="F1396" s="3">
        <v>37241789.609999999</v>
      </c>
      <c r="G1396">
        <v>11727489.189999999</v>
      </c>
      <c r="H1396">
        <v>25514300.41</v>
      </c>
      <c r="I1396">
        <v>2.06</v>
      </c>
      <c r="J1396">
        <v>4.0599999999999996</v>
      </c>
      <c r="K1396" t="str">
        <f t="shared" si="21"/>
        <v>Apr 2020</v>
      </c>
    </row>
    <row r="1397" spans="1:11" x14ac:dyDescent="0.25">
      <c r="A1397" s="6">
        <v>44093</v>
      </c>
      <c r="B1397" t="s">
        <v>19</v>
      </c>
      <c r="C1397" t="s">
        <v>24</v>
      </c>
      <c r="D1397" t="s">
        <v>14</v>
      </c>
      <c r="E1397">
        <v>69</v>
      </c>
      <c r="F1397" s="3">
        <v>4330886.33</v>
      </c>
      <c r="G1397">
        <v>1261759.97</v>
      </c>
      <c r="H1397">
        <v>3069126.36</v>
      </c>
      <c r="I1397">
        <v>2.81</v>
      </c>
      <c r="J1397">
        <v>4.38</v>
      </c>
      <c r="K1397" t="str">
        <f t="shared" si="21"/>
        <v>Sep 2020</v>
      </c>
    </row>
    <row r="1398" spans="1:11" x14ac:dyDescent="0.25">
      <c r="A1398" s="6">
        <v>43839</v>
      </c>
      <c r="B1398" t="s">
        <v>19</v>
      </c>
      <c r="C1398" t="s">
        <v>20</v>
      </c>
      <c r="D1398" t="s">
        <v>12</v>
      </c>
      <c r="E1398">
        <v>299</v>
      </c>
      <c r="F1398" s="3">
        <v>22391862.23</v>
      </c>
      <c r="G1398">
        <v>6777260.1100000003</v>
      </c>
      <c r="H1398">
        <v>15614602.109999999</v>
      </c>
      <c r="I1398">
        <v>4.43</v>
      </c>
      <c r="J1398">
        <v>4.8499999999999996</v>
      </c>
      <c r="K1398" t="str">
        <f t="shared" si="21"/>
        <v>Jan 2020</v>
      </c>
    </row>
    <row r="1399" spans="1:11" x14ac:dyDescent="0.25">
      <c r="A1399" s="6">
        <v>45570</v>
      </c>
      <c r="B1399" t="s">
        <v>19</v>
      </c>
      <c r="C1399" t="s">
        <v>20</v>
      </c>
      <c r="D1399" t="s">
        <v>14</v>
      </c>
      <c r="E1399">
        <v>311</v>
      </c>
      <c r="F1399" s="3">
        <v>22088934.739999998</v>
      </c>
      <c r="G1399">
        <v>4452540.28</v>
      </c>
      <c r="H1399">
        <v>17636394.460000001</v>
      </c>
      <c r="I1399">
        <v>1.78</v>
      </c>
      <c r="J1399">
        <v>4.04</v>
      </c>
      <c r="K1399" t="str">
        <f t="shared" si="21"/>
        <v>Oct 2024</v>
      </c>
    </row>
    <row r="1400" spans="1:11" x14ac:dyDescent="0.25">
      <c r="A1400" s="6">
        <v>44635</v>
      </c>
      <c r="B1400" t="s">
        <v>19</v>
      </c>
      <c r="C1400" t="s">
        <v>22</v>
      </c>
      <c r="D1400" t="s">
        <v>17</v>
      </c>
      <c r="E1400">
        <v>180</v>
      </c>
      <c r="F1400" s="3">
        <v>12467369.18</v>
      </c>
      <c r="G1400">
        <v>3412168.79</v>
      </c>
      <c r="H1400">
        <v>9055200.3900000006</v>
      </c>
      <c r="I1400">
        <v>3.8</v>
      </c>
      <c r="J1400">
        <v>3.7</v>
      </c>
      <c r="K1400" t="str">
        <f t="shared" si="21"/>
        <v>Mar 2022</v>
      </c>
    </row>
    <row r="1401" spans="1:11" x14ac:dyDescent="0.25">
      <c r="A1401" s="6">
        <v>43897</v>
      </c>
      <c r="B1401" t="s">
        <v>19</v>
      </c>
      <c r="C1401" t="s">
        <v>24</v>
      </c>
      <c r="D1401" t="s">
        <v>12</v>
      </c>
      <c r="E1401">
        <v>57</v>
      </c>
      <c r="F1401" s="3">
        <v>3265647.42</v>
      </c>
      <c r="G1401">
        <v>913169.47</v>
      </c>
      <c r="H1401">
        <v>2352477.9500000002</v>
      </c>
      <c r="I1401">
        <v>3.35</v>
      </c>
      <c r="J1401">
        <v>4.0599999999999996</v>
      </c>
      <c r="K1401" t="str">
        <f t="shared" si="21"/>
        <v>Mar 2020</v>
      </c>
    </row>
    <row r="1402" spans="1:11" x14ac:dyDescent="0.25">
      <c r="A1402" s="6">
        <v>44864</v>
      </c>
      <c r="B1402" t="s">
        <v>19</v>
      </c>
      <c r="C1402" t="s">
        <v>20</v>
      </c>
      <c r="D1402" t="s">
        <v>14</v>
      </c>
      <c r="E1402">
        <v>51</v>
      </c>
      <c r="F1402" s="3">
        <v>2292640.35</v>
      </c>
      <c r="G1402">
        <v>525296.59</v>
      </c>
      <c r="H1402">
        <v>1767343.76</v>
      </c>
      <c r="I1402">
        <v>2.72</v>
      </c>
      <c r="J1402">
        <v>3.87</v>
      </c>
      <c r="K1402" t="str">
        <f t="shared" si="21"/>
        <v>Oct 2022</v>
      </c>
    </row>
    <row r="1403" spans="1:11" x14ac:dyDescent="0.25">
      <c r="A1403" s="6">
        <v>45322</v>
      </c>
      <c r="B1403" t="s">
        <v>19</v>
      </c>
      <c r="C1403" t="s">
        <v>24</v>
      </c>
      <c r="D1403" t="s">
        <v>12</v>
      </c>
      <c r="E1403">
        <v>365</v>
      </c>
      <c r="F1403" s="3">
        <v>20905792.539999999</v>
      </c>
      <c r="G1403">
        <v>5883231.2000000002</v>
      </c>
      <c r="H1403">
        <v>15022561.34</v>
      </c>
      <c r="I1403">
        <v>3.11</v>
      </c>
      <c r="J1403">
        <v>4.49</v>
      </c>
      <c r="K1403" t="str">
        <f t="shared" si="21"/>
        <v>Jan 2024</v>
      </c>
    </row>
    <row r="1404" spans="1:11" x14ac:dyDescent="0.25">
      <c r="A1404" s="6">
        <v>44000</v>
      </c>
      <c r="B1404" t="s">
        <v>19</v>
      </c>
      <c r="C1404" t="s">
        <v>21</v>
      </c>
      <c r="D1404" t="s">
        <v>17</v>
      </c>
      <c r="E1404">
        <v>280</v>
      </c>
      <c r="F1404" s="3">
        <v>12318267.640000001</v>
      </c>
      <c r="G1404">
        <v>3963817.65</v>
      </c>
      <c r="H1404">
        <v>8354449.9900000002</v>
      </c>
      <c r="I1404">
        <v>4.8600000000000003</v>
      </c>
      <c r="J1404">
        <v>3.89</v>
      </c>
      <c r="K1404" t="str">
        <f t="shared" si="21"/>
        <v>Jun 2020</v>
      </c>
    </row>
    <row r="1405" spans="1:11" x14ac:dyDescent="0.25">
      <c r="A1405" s="6">
        <v>45199</v>
      </c>
      <c r="B1405" t="s">
        <v>19</v>
      </c>
      <c r="C1405" t="s">
        <v>20</v>
      </c>
      <c r="D1405" t="s">
        <v>12</v>
      </c>
      <c r="E1405">
        <v>278</v>
      </c>
      <c r="F1405" s="3">
        <v>9868074.8800000008</v>
      </c>
      <c r="G1405">
        <v>2785929.97</v>
      </c>
      <c r="H1405">
        <v>7082144.9100000001</v>
      </c>
      <c r="I1405">
        <v>3.19</v>
      </c>
      <c r="J1405">
        <v>4.09</v>
      </c>
      <c r="K1405" t="str">
        <f t="shared" si="21"/>
        <v>Sep 2023</v>
      </c>
    </row>
    <row r="1406" spans="1:11" x14ac:dyDescent="0.25">
      <c r="A1406" s="6">
        <v>44578</v>
      </c>
      <c r="B1406" t="s">
        <v>19</v>
      </c>
      <c r="C1406" t="s">
        <v>20</v>
      </c>
      <c r="D1406" t="s">
        <v>17</v>
      </c>
      <c r="E1406">
        <v>456</v>
      </c>
      <c r="F1406" s="3">
        <v>27341041.699999999</v>
      </c>
      <c r="G1406">
        <v>9645643.5700000003</v>
      </c>
      <c r="H1406">
        <v>17695398.129999999</v>
      </c>
      <c r="I1406">
        <v>0.83</v>
      </c>
      <c r="J1406">
        <v>3.75</v>
      </c>
      <c r="K1406" t="str">
        <f t="shared" si="21"/>
        <v>Jan 2022</v>
      </c>
    </row>
    <row r="1407" spans="1:11" x14ac:dyDescent="0.25">
      <c r="A1407" s="6">
        <v>44381</v>
      </c>
      <c r="B1407" t="s">
        <v>19</v>
      </c>
      <c r="C1407" t="s">
        <v>24</v>
      </c>
      <c r="D1407" t="s">
        <v>12</v>
      </c>
      <c r="E1407">
        <v>142</v>
      </c>
      <c r="F1407" s="3">
        <v>7601994.8099999996</v>
      </c>
      <c r="G1407">
        <v>1780564.51</v>
      </c>
      <c r="H1407">
        <v>5821430.29</v>
      </c>
      <c r="I1407">
        <v>2.44</v>
      </c>
      <c r="J1407">
        <v>3.87</v>
      </c>
      <c r="K1407" t="str">
        <f t="shared" si="21"/>
        <v>Jul 2021</v>
      </c>
    </row>
    <row r="1408" spans="1:11" x14ac:dyDescent="0.25">
      <c r="A1408" s="6">
        <v>44940</v>
      </c>
      <c r="B1408" t="s">
        <v>19</v>
      </c>
      <c r="C1408" t="s">
        <v>20</v>
      </c>
      <c r="D1408" t="s">
        <v>17</v>
      </c>
      <c r="E1408">
        <v>220</v>
      </c>
      <c r="F1408" s="3">
        <v>19177858.59</v>
      </c>
      <c r="G1408">
        <v>6702555.0199999996</v>
      </c>
      <c r="H1408">
        <v>12475303.58</v>
      </c>
      <c r="I1408">
        <v>2.12</v>
      </c>
      <c r="J1408">
        <v>4.07</v>
      </c>
      <c r="K1408" t="str">
        <f t="shared" si="21"/>
        <v>Jan 2023</v>
      </c>
    </row>
    <row r="1409" spans="1:11" x14ac:dyDescent="0.25">
      <c r="A1409" s="6">
        <v>44773</v>
      </c>
      <c r="B1409" t="s">
        <v>19</v>
      </c>
      <c r="C1409" t="s">
        <v>23</v>
      </c>
      <c r="D1409" t="s">
        <v>14</v>
      </c>
      <c r="E1409">
        <v>156</v>
      </c>
      <c r="F1409" s="3">
        <v>11778329.289999999</v>
      </c>
      <c r="G1409">
        <v>3147630.05</v>
      </c>
      <c r="H1409">
        <v>8630699.2400000002</v>
      </c>
      <c r="I1409">
        <v>2.64</v>
      </c>
      <c r="J1409">
        <v>4.7699999999999996</v>
      </c>
      <c r="K1409" t="str">
        <f t="shared" si="21"/>
        <v>Jul 2022</v>
      </c>
    </row>
    <row r="1410" spans="1:11" x14ac:dyDescent="0.25">
      <c r="A1410" s="6">
        <v>45440</v>
      </c>
      <c r="B1410" t="s">
        <v>19</v>
      </c>
      <c r="C1410" t="s">
        <v>22</v>
      </c>
      <c r="D1410" t="s">
        <v>14</v>
      </c>
      <c r="E1410">
        <v>93</v>
      </c>
      <c r="F1410" s="3">
        <v>5538175.6299999999</v>
      </c>
      <c r="G1410">
        <v>1258034.06</v>
      </c>
      <c r="H1410">
        <v>4280141.57</v>
      </c>
      <c r="I1410">
        <v>3.01</v>
      </c>
      <c r="J1410">
        <v>4.3099999999999996</v>
      </c>
      <c r="K1410" t="str">
        <f t="shared" ref="K1410:K1473" si="22">TEXT(A1410,"mmm yyyy")</f>
        <v>May 2024</v>
      </c>
    </row>
    <row r="1411" spans="1:11" x14ac:dyDescent="0.25">
      <c r="A1411" s="6">
        <v>45279</v>
      </c>
      <c r="B1411" t="s">
        <v>19</v>
      </c>
      <c r="C1411" t="s">
        <v>20</v>
      </c>
      <c r="D1411" t="s">
        <v>12</v>
      </c>
      <c r="E1411">
        <v>453</v>
      </c>
      <c r="F1411" s="3">
        <v>22575811.57</v>
      </c>
      <c r="G1411">
        <v>8772568.2100000009</v>
      </c>
      <c r="H1411">
        <v>13803243.359999999</v>
      </c>
      <c r="I1411">
        <v>2.89</v>
      </c>
      <c r="J1411">
        <v>4.9000000000000004</v>
      </c>
      <c r="K1411" t="str">
        <f t="shared" si="22"/>
        <v>Dec 2023</v>
      </c>
    </row>
    <row r="1412" spans="1:11" x14ac:dyDescent="0.25">
      <c r="A1412" s="6">
        <v>44240</v>
      </c>
      <c r="B1412" t="s">
        <v>19</v>
      </c>
      <c r="C1412" t="s">
        <v>21</v>
      </c>
      <c r="D1412" t="s">
        <v>14</v>
      </c>
      <c r="E1412">
        <v>334</v>
      </c>
      <c r="F1412" s="3">
        <v>23446854.5</v>
      </c>
      <c r="G1412">
        <v>8325034.6399999997</v>
      </c>
      <c r="H1412">
        <v>15121819.859999999</v>
      </c>
      <c r="I1412">
        <v>1.31</v>
      </c>
      <c r="J1412">
        <v>3.63</v>
      </c>
      <c r="K1412" t="str">
        <f t="shared" si="22"/>
        <v>Feb 2021</v>
      </c>
    </row>
    <row r="1413" spans="1:11" x14ac:dyDescent="0.25">
      <c r="A1413" s="6">
        <v>43943</v>
      </c>
      <c r="B1413" t="s">
        <v>19</v>
      </c>
      <c r="C1413" t="s">
        <v>21</v>
      </c>
      <c r="D1413" t="s">
        <v>14</v>
      </c>
      <c r="E1413">
        <v>210</v>
      </c>
      <c r="F1413" s="3">
        <v>13208562.039999999</v>
      </c>
      <c r="G1413">
        <v>5173601.28</v>
      </c>
      <c r="H1413">
        <v>8034960.7599999998</v>
      </c>
      <c r="I1413">
        <v>1.17</v>
      </c>
      <c r="J1413">
        <v>4.9800000000000004</v>
      </c>
      <c r="K1413" t="str">
        <f t="shared" si="22"/>
        <v>Apr 2020</v>
      </c>
    </row>
    <row r="1414" spans="1:11" x14ac:dyDescent="0.25">
      <c r="A1414" s="6">
        <v>45270</v>
      </c>
      <c r="B1414" t="s">
        <v>19</v>
      </c>
      <c r="C1414" t="s">
        <v>22</v>
      </c>
      <c r="D1414" t="s">
        <v>12</v>
      </c>
      <c r="E1414">
        <v>265</v>
      </c>
      <c r="F1414" s="3">
        <v>19272979.75</v>
      </c>
      <c r="G1414">
        <v>7642199.8300000001</v>
      </c>
      <c r="H1414">
        <v>11630779.92</v>
      </c>
      <c r="I1414">
        <v>1.95</v>
      </c>
      <c r="J1414">
        <v>4.96</v>
      </c>
      <c r="K1414" t="str">
        <f t="shared" si="22"/>
        <v>Dec 2023</v>
      </c>
    </row>
    <row r="1415" spans="1:11" x14ac:dyDescent="0.25">
      <c r="A1415" s="6">
        <v>45381</v>
      </c>
      <c r="B1415" t="s">
        <v>19</v>
      </c>
      <c r="C1415" t="s">
        <v>23</v>
      </c>
      <c r="D1415" t="s">
        <v>12</v>
      </c>
      <c r="E1415">
        <v>88</v>
      </c>
      <c r="F1415" s="3">
        <v>5280940.9000000004</v>
      </c>
      <c r="G1415">
        <v>1567809.93</v>
      </c>
      <c r="H1415">
        <v>3713130.97</v>
      </c>
      <c r="I1415">
        <v>2.7</v>
      </c>
      <c r="J1415">
        <v>4.5</v>
      </c>
      <c r="K1415" t="str">
        <f t="shared" si="22"/>
        <v>Mar 2024</v>
      </c>
    </row>
    <row r="1416" spans="1:11" x14ac:dyDescent="0.25">
      <c r="A1416" s="6">
        <v>43967</v>
      </c>
      <c r="B1416" t="s">
        <v>19</v>
      </c>
      <c r="C1416" t="s">
        <v>24</v>
      </c>
      <c r="D1416" t="s">
        <v>17</v>
      </c>
      <c r="E1416">
        <v>389</v>
      </c>
      <c r="F1416" s="3">
        <v>16305239.65</v>
      </c>
      <c r="G1416">
        <v>6089307.0099999998</v>
      </c>
      <c r="H1416">
        <v>10215932.630000001</v>
      </c>
      <c r="I1416">
        <v>1.1499999999999999</v>
      </c>
      <c r="J1416">
        <v>4.91</v>
      </c>
      <c r="K1416" t="str">
        <f t="shared" si="22"/>
        <v>May 2020</v>
      </c>
    </row>
    <row r="1417" spans="1:11" x14ac:dyDescent="0.25">
      <c r="A1417" s="6">
        <v>44470</v>
      </c>
      <c r="B1417" t="s">
        <v>19</v>
      </c>
      <c r="C1417" t="s">
        <v>24</v>
      </c>
      <c r="D1417" t="s">
        <v>12</v>
      </c>
      <c r="E1417">
        <v>429</v>
      </c>
      <c r="F1417" s="3">
        <v>30904638.260000002</v>
      </c>
      <c r="G1417">
        <v>6366899.1200000001</v>
      </c>
      <c r="H1417">
        <v>24537739.149999999</v>
      </c>
      <c r="I1417">
        <v>0.92</v>
      </c>
      <c r="J1417">
        <v>4.51</v>
      </c>
      <c r="K1417" t="str">
        <f t="shared" si="22"/>
        <v>Oct 2021</v>
      </c>
    </row>
    <row r="1418" spans="1:11" x14ac:dyDescent="0.25">
      <c r="A1418" s="6">
        <v>45172</v>
      </c>
      <c r="B1418" t="s">
        <v>19</v>
      </c>
      <c r="C1418" t="s">
        <v>23</v>
      </c>
      <c r="D1418" t="s">
        <v>12</v>
      </c>
      <c r="E1418">
        <v>401</v>
      </c>
      <c r="F1418" s="3">
        <v>19208249.32</v>
      </c>
      <c r="G1418">
        <v>3982458.5</v>
      </c>
      <c r="H1418">
        <v>15225790.82</v>
      </c>
      <c r="I1418">
        <v>1.65</v>
      </c>
      <c r="J1418">
        <v>4.49</v>
      </c>
      <c r="K1418" t="str">
        <f t="shared" si="22"/>
        <v>Sep 2023</v>
      </c>
    </row>
    <row r="1419" spans="1:11" x14ac:dyDescent="0.25">
      <c r="A1419" s="6">
        <v>45553</v>
      </c>
      <c r="B1419" t="s">
        <v>19</v>
      </c>
      <c r="C1419" t="s">
        <v>24</v>
      </c>
      <c r="D1419" t="s">
        <v>17</v>
      </c>
      <c r="E1419">
        <v>168</v>
      </c>
      <c r="F1419" s="3">
        <v>14608235.390000001</v>
      </c>
      <c r="G1419">
        <v>3847084.55</v>
      </c>
      <c r="H1419">
        <v>10761150.84</v>
      </c>
      <c r="I1419">
        <v>2.74</v>
      </c>
      <c r="J1419">
        <v>4.43</v>
      </c>
      <c r="K1419" t="str">
        <f t="shared" si="22"/>
        <v>Sep 2024</v>
      </c>
    </row>
    <row r="1420" spans="1:11" x14ac:dyDescent="0.25">
      <c r="A1420" s="6">
        <v>45453</v>
      </c>
      <c r="B1420" t="s">
        <v>19</v>
      </c>
      <c r="C1420" t="s">
        <v>22</v>
      </c>
      <c r="D1420" t="s">
        <v>12</v>
      </c>
      <c r="E1420">
        <v>185</v>
      </c>
      <c r="F1420" s="3">
        <v>15272394.91</v>
      </c>
      <c r="G1420">
        <v>3761531.72</v>
      </c>
      <c r="H1420">
        <v>11510863.189999999</v>
      </c>
      <c r="I1420">
        <v>1.01</v>
      </c>
      <c r="J1420">
        <v>4.6900000000000004</v>
      </c>
      <c r="K1420" t="str">
        <f t="shared" si="22"/>
        <v>Jun 2024</v>
      </c>
    </row>
    <row r="1421" spans="1:11" x14ac:dyDescent="0.25">
      <c r="A1421" s="6">
        <v>44604</v>
      </c>
      <c r="B1421" t="s">
        <v>19</v>
      </c>
      <c r="C1421" t="s">
        <v>23</v>
      </c>
      <c r="D1421" t="s">
        <v>12</v>
      </c>
      <c r="E1421">
        <v>338</v>
      </c>
      <c r="F1421" s="3">
        <v>22995331.399999999</v>
      </c>
      <c r="G1421">
        <v>4870984.43</v>
      </c>
      <c r="H1421">
        <v>18124346.960000001</v>
      </c>
      <c r="I1421">
        <v>4.22</v>
      </c>
      <c r="J1421">
        <v>4.5</v>
      </c>
      <c r="K1421" t="str">
        <f t="shared" si="22"/>
        <v>Feb 2022</v>
      </c>
    </row>
    <row r="1422" spans="1:11" x14ac:dyDescent="0.25">
      <c r="A1422" s="6">
        <v>44720</v>
      </c>
      <c r="B1422" t="s">
        <v>19</v>
      </c>
      <c r="C1422" t="s">
        <v>23</v>
      </c>
      <c r="D1422" t="s">
        <v>12</v>
      </c>
      <c r="E1422">
        <v>410</v>
      </c>
      <c r="F1422" s="3">
        <v>16753672.83</v>
      </c>
      <c r="G1422">
        <v>4497204.13</v>
      </c>
      <c r="H1422">
        <v>12256468.699999999</v>
      </c>
      <c r="I1422">
        <v>5</v>
      </c>
      <c r="J1422">
        <v>3.57</v>
      </c>
      <c r="K1422" t="str">
        <f t="shared" si="22"/>
        <v>Jun 2022</v>
      </c>
    </row>
    <row r="1423" spans="1:11" x14ac:dyDescent="0.25">
      <c r="A1423" s="6">
        <v>44367</v>
      </c>
      <c r="B1423" t="s">
        <v>19</v>
      </c>
      <c r="C1423" t="s">
        <v>23</v>
      </c>
      <c r="D1423" t="s">
        <v>17</v>
      </c>
      <c r="E1423">
        <v>122</v>
      </c>
      <c r="F1423" s="3">
        <v>10083803.460000001</v>
      </c>
      <c r="G1423">
        <v>2030198.49</v>
      </c>
      <c r="H1423">
        <v>8053604.96</v>
      </c>
      <c r="I1423">
        <v>3.89</v>
      </c>
      <c r="J1423">
        <v>3.64</v>
      </c>
      <c r="K1423" t="str">
        <f t="shared" si="22"/>
        <v>Jun 2021</v>
      </c>
    </row>
    <row r="1424" spans="1:11" x14ac:dyDescent="0.25">
      <c r="A1424" s="6">
        <v>44092</v>
      </c>
      <c r="B1424" t="s">
        <v>19</v>
      </c>
      <c r="C1424" t="s">
        <v>22</v>
      </c>
      <c r="D1424" t="s">
        <v>17</v>
      </c>
      <c r="E1424">
        <v>208</v>
      </c>
      <c r="F1424" s="3">
        <v>15727858.949999999</v>
      </c>
      <c r="G1424">
        <v>3527709.81</v>
      </c>
      <c r="H1424">
        <v>12200149.140000001</v>
      </c>
      <c r="I1424">
        <v>2.3199999999999998</v>
      </c>
      <c r="J1424">
        <v>3.99</v>
      </c>
      <c r="K1424" t="str">
        <f t="shared" si="22"/>
        <v>Sep 2020</v>
      </c>
    </row>
    <row r="1425" spans="1:11" x14ac:dyDescent="0.25">
      <c r="A1425" s="6">
        <v>44322</v>
      </c>
      <c r="B1425" t="s">
        <v>19</v>
      </c>
      <c r="C1425" t="s">
        <v>22</v>
      </c>
      <c r="D1425" t="s">
        <v>12</v>
      </c>
      <c r="E1425">
        <v>151</v>
      </c>
      <c r="F1425" s="3">
        <v>8924021.3399999999</v>
      </c>
      <c r="G1425">
        <v>1960829.43</v>
      </c>
      <c r="H1425">
        <v>6963191.9100000001</v>
      </c>
      <c r="I1425">
        <v>4.45</v>
      </c>
      <c r="J1425">
        <v>3.98</v>
      </c>
      <c r="K1425" t="str">
        <f t="shared" si="22"/>
        <v>May 2021</v>
      </c>
    </row>
    <row r="1426" spans="1:11" x14ac:dyDescent="0.25">
      <c r="A1426" s="6">
        <v>45292</v>
      </c>
      <c r="B1426" t="s">
        <v>19</v>
      </c>
      <c r="C1426" t="s">
        <v>20</v>
      </c>
      <c r="D1426" t="s">
        <v>17</v>
      </c>
      <c r="E1426">
        <v>414</v>
      </c>
      <c r="F1426" s="3">
        <v>33112085.100000001</v>
      </c>
      <c r="G1426">
        <v>12448759.550000001</v>
      </c>
      <c r="H1426">
        <v>20663325.559999999</v>
      </c>
      <c r="I1426">
        <v>2.95</v>
      </c>
      <c r="J1426">
        <v>3.51</v>
      </c>
      <c r="K1426" t="str">
        <f t="shared" si="22"/>
        <v>Jan 2024</v>
      </c>
    </row>
    <row r="1427" spans="1:11" x14ac:dyDescent="0.25">
      <c r="A1427" s="6">
        <v>45316</v>
      </c>
      <c r="B1427" t="s">
        <v>19</v>
      </c>
      <c r="C1427" t="s">
        <v>22</v>
      </c>
      <c r="D1427" t="s">
        <v>12</v>
      </c>
      <c r="E1427">
        <v>192</v>
      </c>
      <c r="F1427" s="3">
        <v>13375004.380000001</v>
      </c>
      <c r="G1427">
        <v>3718701.14</v>
      </c>
      <c r="H1427">
        <v>9656303.2400000002</v>
      </c>
      <c r="I1427">
        <v>3.04</v>
      </c>
      <c r="J1427">
        <v>4.07</v>
      </c>
      <c r="K1427" t="str">
        <f t="shared" si="22"/>
        <v>Jan 2024</v>
      </c>
    </row>
    <row r="1428" spans="1:11" x14ac:dyDescent="0.25">
      <c r="A1428" s="6">
        <v>44617</v>
      </c>
      <c r="B1428" t="s">
        <v>19</v>
      </c>
      <c r="C1428" t="s">
        <v>23</v>
      </c>
      <c r="D1428" t="s">
        <v>12</v>
      </c>
      <c r="E1428">
        <v>142</v>
      </c>
      <c r="F1428" s="3">
        <v>8474297.1899999995</v>
      </c>
      <c r="G1428">
        <v>2987114.96</v>
      </c>
      <c r="H1428">
        <v>5487182.2300000004</v>
      </c>
      <c r="I1428">
        <v>2.1800000000000002</v>
      </c>
      <c r="J1428">
        <v>3.84</v>
      </c>
      <c r="K1428" t="str">
        <f t="shared" si="22"/>
        <v>Feb 2022</v>
      </c>
    </row>
    <row r="1429" spans="1:11" x14ac:dyDescent="0.25">
      <c r="A1429" s="6">
        <v>44707</v>
      </c>
      <c r="B1429" t="s">
        <v>19</v>
      </c>
      <c r="C1429" t="s">
        <v>21</v>
      </c>
      <c r="D1429" t="s">
        <v>14</v>
      </c>
      <c r="E1429">
        <v>316</v>
      </c>
      <c r="F1429" s="3">
        <v>21547936.550000001</v>
      </c>
      <c r="G1429">
        <v>5739453.2199999997</v>
      </c>
      <c r="H1429">
        <v>15808483.33</v>
      </c>
      <c r="I1429">
        <v>3.29</v>
      </c>
      <c r="J1429">
        <v>4.2</v>
      </c>
      <c r="K1429" t="str">
        <f t="shared" si="22"/>
        <v>May 2022</v>
      </c>
    </row>
    <row r="1430" spans="1:11" x14ac:dyDescent="0.25">
      <c r="A1430" s="6">
        <v>45016</v>
      </c>
      <c r="B1430" t="s">
        <v>19</v>
      </c>
      <c r="C1430" t="s">
        <v>24</v>
      </c>
      <c r="D1430" t="s">
        <v>17</v>
      </c>
      <c r="E1430">
        <v>52</v>
      </c>
      <c r="F1430" s="3">
        <v>3371160.08</v>
      </c>
      <c r="G1430">
        <v>706946.72</v>
      </c>
      <c r="H1430">
        <v>2664213.36</v>
      </c>
      <c r="I1430">
        <v>4.3099999999999996</v>
      </c>
      <c r="J1430">
        <v>4.87</v>
      </c>
      <c r="K1430" t="str">
        <f t="shared" si="22"/>
        <v>Mar 2023</v>
      </c>
    </row>
    <row r="1431" spans="1:11" x14ac:dyDescent="0.25">
      <c r="A1431" s="6">
        <v>44781</v>
      </c>
      <c r="B1431" t="s">
        <v>19</v>
      </c>
      <c r="C1431" t="s">
        <v>22</v>
      </c>
      <c r="D1431" t="s">
        <v>17</v>
      </c>
      <c r="E1431">
        <v>270</v>
      </c>
      <c r="F1431" s="3">
        <v>14517530.24</v>
      </c>
      <c r="G1431">
        <v>4703111.82</v>
      </c>
      <c r="H1431">
        <v>9814418.4199999999</v>
      </c>
      <c r="I1431">
        <v>2.29</v>
      </c>
      <c r="J1431">
        <v>4.37</v>
      </c>
      <c r="K1431" t="str">
        <f t="shared" si="22"/>
        <v>Aug 2022</v>
      </c>
    </row>
    <row r="1432" spans="1:11" x14ac:dyDescent="0.25">
      <c r="A1432" s="6">
        <v>44374</v>
      </c>
      <c r="B1432" t="s">
        <v>19</v>
      </c>
      <c r="C1432" t="s">
        <v>22</v>
      </c>
      <c r="D1432" t="s">
        <v>12</v>
      </c>
      <c r="E1432">
        <v>349</v>
      </c>
      <c r="F1432" s="3">
        <v>21365169.640000001</v>
      </c>
      <c r="G1432">
        <v>6860931.4500000002</v>
      </c>
      <c r="H1432">
        <v>14504238.199999999</v>
      </c>
      <c r="I1432">
        <v>2.97</v>
      </c>
      <c r="J1432">
        <v>4.62</v>
      </c>
      <c r="K1432" t="str">
        <f t="shared" si="22"/>
        <v>Jun 2021</v>
      </c>
    </row>
    <row r="1433" spans="1:11" x14ac:dyDescent="0.25">
      <c r="A1433" s="6">
        <v>44069</v>
      </c>
      <c r="B1433" t="s">
        <v>19</v>
      </c>
      <c r="C1433" t="s">
        <v>22</v>
      </c>
      <c r="D1433" t="s">
        <v>17</v>
      </c>
      <c r="E1433">
        <v>413</v>
      </c>
      <c r="F1433" s="3">
        <v>36159720.75</v>
      </c>
      <c r="G1433">
        <v>14332031.279999999</v>
      </c>
      <c r="H1433">
        <v>21827689.469999999</v>
      </c>
      <c r="I1433">
        <v>1.38</v>
      </c>
      <c r="J1433">
        <v>3.51</v>
      </c>
      <c r="K1433" t="str">
        <f t="shared" si="22"/>
        <v>Aug 2020</v>
      </c>
    </row>
    <row r="1434" spans="1:11" x14ac:dyDescent="0.25">
      <c r="A1434" s="6">
        <v>44471</v>
      </c>
      <c r="B1434" t="s">
        <v>19</v>
      </c>
      <c r="C1434" t="s">
        <v>21</v>
      </c>
      <c r="D1434" t="s">
        <v>12</v>
      </c>
      <c r="E1434">
        <v>352</v>
      </c>
      <c r="F1434" s="3">
        <v>13699986.029999999</v>
      </c>
      <c r="G1434">
        <v>2864228.6</v>
      </c>
      <c r="H1434">
        <v>10835757.43</v>
      </c>
      <c r="I1434">
        <v>3.45</v>
      </c>
      <c r="J1434">
        <v>4.07</v>
      </c>
      <c r="K1434" t="str">
        <f t="shared" si="22"/>
        <v>Oct 2021</v>
      </c>
    </row>
    <row r="1435" spans="1:11" x14ac:dyDescent="0.25">
      <c r="A1435" s="6">
        <v>44143</v>
      </c>
      <c r="B1435" t="s">
        <v>19</v>
      </c>
      <c r="C1435" t="s">
        <v>21</v>
      </c>
      <c r="D1435" t="s">
        <v>12</v>
      </c>
      <c r="E1435">
        <v>373</v>
      </c>
      <c r="F1435" s="3">
        <v>32224955.09</v>
      </c>
      <c r="G1435">
        <v>10623776.970000001</v>
      </c>
      <c r="H1435">
        <v>21601178.109999999</v>
      </c>
      <c r="I1435">
        <v>0.96</v>
      </c>
      <c r="J1435">
        <v>4.2300000000000004</v>
      </c>
      <c r="K1435" t="str">
        <f t="shared" si="22"/>
        <v>Nov 2020</v>
      </c>
    </row>
    <row r="1436" spans="1:11" x14ac:dyDescent="0.25">
      <c r="A1436" s="6">
        <v>44681</v>
      </c>
      <c r="B1436" t="s">
        <v>19</v>
      </c>
      <c r="C1436" t="s">
        <v>23</v>
      </c>
      <c r="D1436" t="s">
        <v>12</v>
      </c>
      <c r="E1436">
        <v>422</v>
      </c>
      <c r="F1436" s="3">
        <v>21381900.050000001</v>
      </c>
      <c r="G1436">
        <v>7238671.3600000003</v>
      </c>
      <c r="H1436">
        <v>14143228.699999999</v>
      </c>
      <c r="I1436">
        <v>4.1100000000000003</v>
      </c>
      <c r="J1436">
        <v>4.3099999999999996</v>
      </c>
      <c r="K1436" t="str">
        <f t="shared" si="22"/>
        <v>Apr 2022</v>
      </c>
    </row>
    <row r="1437" spans="1:11" x14ac:dyDescent="0.25">
      <c r="A1437" s="6">
        <v>44982</v>
      </c>
      <c r="B1437" t="s">
        <v>19</v>
      </c>
      <c r="C1437" t="s">
        <v>23</v>
      </c>
      <c r="D1437" t="s">
        <v>12</v>
      </c>
      <c r="E1437">
        <v>193</v>
      </c>
      <c r="F1437" s="3">
        <v>7706383.5899999999</v>
      </c>
      <c r="G1437">
        <v>1976478.11</v>
      </c>
      <c r="H1437">
        <v>5729905.4800000004</v>
      </c>
      <c r="I1437">
        <v>2.2999999999999998</v>
      </c>
      <c r="J1437">
        <v>4.97</v>
      </c>
      <c r="K1437" t="str">
        <f t="shared" si="22"/>
        <v>Feb 2023</v>
      </c>
    </row>
    <row r="1438" spans="1:11" x14ac:dyDescent="0.25">
      <c r="A1438" s="6">
        <v>44939</v>
      </c>
      <c r="B1438" t="s">
        <v>19</v>
      </c>
      <c r="C1438" t="s">
        <v>24</v>
      </c>
      <c r="D1438" t="s">
        <v>14</v>
      </c>
      <c r="E1438">
        <v>139</v>
      </c>
      <c r="F1438" s="3">
        <v>5796819.1799999997</v>
      </c>
      <c r="G1438">
        <v>2108709.67</v>
      </c>
      <c r="H1438">
        <v>3688109.52</v>
      </c>
      <c r="I1438">
        <v>3.57</v>
      </c>
      <c r="J1438">
        <v>3.77</v>
      </c>
      <c r="K1438" t="str">
        <f t="shared" si="22"/>
        <v>Jan 2023</v>
      </c>
    </row>
    <row r="1439" spans="1:11" x14ac:dyDescent="0.25">
      <c r="A1439" s="6">
        <v>44230</v>
      </c>
      <c r="B1439" t="s">
        <v>19</v>
      </c>
      <c r="C1439" t="s">
        <v>22</v>
      </c>
      <c r="D1439" t="s">
        <v>12</v>
      </c>
      <c r="E1439">
        <v>446</v>
      </c>
      <c r="F1439" s="3">
        <v>20137873.23</v>
      </c>
      <c r="G1439">
        <v>6865893.9400000004</v>
      </c>
      <c r="H1439">
        <v>13271979.289999999</v>
      </c>
      <c r="I1439">
        <v>4.07</v>
      </c>
      <c r="J1439">
        <v>3.78</v>
      </c>
      <c r="K1439" t="str">
        <f t="shared" si="22"/>
        <v>Feb 2021</v>
      </c>
    </row>
    <row r="1440" spans="1:11" x14ac:dyDescent="0.25">
      <c r="A1440" s="6">
        <v>45165</v>
      </c>
      <c r="B1440" t="s">
        <v>19</v>
      </c>
      <c r="C1440" t="s">
        <v>24</v>
      </c>
      <c r="D1440" t="s">
        <v>17</v>
      </c>
      <c r="E1440">
        <v>489</v>
      </c>
      <c r="F1440" s="3">
        <v>43012918.310000002</v>
      </c>
      <c r="G1440">
        <v>13045425.439999999</v>
      </c>
      <c r="H1440">
        <v>29967492.870000001</v>
      </c>
      <c r="I1440">
        <v>4.13</v>
      </c>
      <c r="J1440">
        <v>4.33</v>
      </c>
      <c r="K1440" t="str">
        <f t="shared" si="22"/>
        <v>Aug 2023</v>
      </c>
    </row>
    <row r="1441" spans="1:11" x14ac:dyDescent="0.25">
      <c r="A1441" s="6">
        <v>44821</v>
      </c>
      <c r="B1441" t="s">
        <v>19</v>
      </c>
      <c r="C1441" t="s">
        <v>20</v>
      </c>
      <c r="D1441" t="s">
        <v>14</v>
      </c>
      <c r="E1441">
        <v>425</v>
      </c>
      <c r="F1441" s="3">
        <v>27181918.66</v>
      </c>
      <c r="G1441">
        <v>10262237.949999999</v>
      </c>
      <c r="H1441">
        <v>16919680.710000001</v>
      </c>
      <c r="I1441">
        <v>0.51</v>
      </c>
      <c r="J1441">
        <v>4.46</v>
      </c>
      <c r="K1441" t="str">
        <f t="shared" si="22"/>
        <v>Sep 2022</v>
      </c>
    </row>
    <row r="1442" spans="1:11" x14ac:dyDescent="0.25">
      <c r="A1442" s="6">
        <v>45519</v>
      </c>
      <c r="B1442" t="s">
        <v>19</v>
      </c>
      <c r="C1442" t="s">
        <v>23</v>
      </c>
      <c r="D1442" t="s">
        <v>12</v>
      </c>
      <c r="E1442">
        <v>326</v>
      </c>
      <c r="F1442" s="3">
        <v>27263821.890000001</v>
      </c>
      <c r="G1442">
        <v>9661863.5</v>
      </c>
      <c r="H1442">
        <v>17601958.390000001</v>
      </c>
      <c r="I1442">
        <v>1.45</v>
      </c>
      <c r="J1442">
        <v>4.42</v>
      </c>
      <c r="K1442" t="str">
        <f t="shared" si="22"/>
        <v>Aug 2024</v>
      </c>
    </row>
    <row r="1443" spans="1:11" x14ac:dyDescent="0.25">
      <c r="A1443" s="6">
        <v>44493</v>
      </c>
      <c r="B1443" t="s">
        <v>19</v>
      </c>
      <c r="C1443" t="s">
        <v>22</v>
      </c>
      <c r="D1443" t="s">
        <v>17</v>
      </c>
      <c r="E1443">
        <v>427</v>
      </c>
      <c r="F1443" s="3">
        <v>23417742.609999999</v>
      </c>
      <c r="G1443">
        <v>5124312.0999999996</v>
      </c>
      <c r="H1443">
        <v>18293430.510000002</v>
      </c>
      <c r="I1443">
        <v>3.96</v>
      </c>
      <c r="J1443">
        <v>4.33</v>
      </c>
      <c r="K1443" t="str">
        <f t="shared" si="22"/>
        <v>Oct 2021</v>
      </c>
    </row>
    <row r="1444" spans="1:11" x14ac:dyDescent="0.25">
      <c r="A1444" s="6">
        <v>44125</v>
      </c>
      <c r="B1444" t="s">
        <v>19</v>
      </c>
      <c r="C1444" t="s">
        <v>20</v>
      </c>
      <c r="D1444" t="s">
        <v>14</v>
      </c>
      <c r="E1444">
        <v>396</v>
      </c>
      <c r="F1444" s="3">
        <v>30859845.719999999</v>
      </c>
      <c r="G1444">
        <v>10647843.92</v>
      </c>
      <c r="H1444">
        <v>20212001.809999999</v>
      </c>
      <c r="I1444">
        <v>4.2</v>
      </c>
      <c r="J1444">
        <v>4.1399999999999997</v>
      </c>
      <c r="K1444" t="str">
        <f t="shared" si="22"/>
        <v>Oct 2020</v>
      </c>
    </row>
    <row r="1445" spans="1:11" x14ac:dyDescent="0.25">
      <c r="A1445" s="6">
        <v>44400</v>
      </c>
      <c r="B1445" t="s">
        <v>19</v>
      </c>
      <c r="C1445" t="s">
        <v>20</v>
      </c>
      <c r="D1445" t="s">
        <v>12</v>
      </c>
      <c r="E1445">
        <v>251</v>
      </c>
      <c r="F1445" s="3">
        <v>19960561.32</v>
      </c>
      <c r="G1445">
        <v>4923647.17</v>
      </c>
      <c r="H1445">
        <v>15036914.15</v>
      </c>
      <c r="I1445">
        <v>1.17</v>
      </c>
      <c r="J1445">
        <v>4.1399999999999997</v>
      </c>
      <c r="K1445" t="str">
        <f t="shared" si="22"/>
        <v>Jul 2021</v>
      </c>
    </row>
    <row r="1446" spans="1:11" x14ac:dyDescent="0.25">
      <c r="A1446" s="6">
        <v>44158</v>
      </c>
      <c r="B1446" t="s">
        <v>19</v>
      </c>
      <c r="C1446" t="s">
        <v>20</v>
      </c>
      <c r="D1446" t="s">
        <v>14</v>
      </c>
      <c r="E1446">
        <v>118</v>
      </c>
      <c r="F1446" s="3">
        <v>5220412.21</v>
      </c>
      <c r="G1446">
        <v>1318807.94</v>
      </c>
      <c r="H1446">
        <v>3901604.26</v>
      </c>
      <c r="I1446">
        <v>4.38</v>
      </c>
      <c r="J1446">
        <v>3.83</v>
      </c>
      <c r="K1446" t="str">
        <f t="shared" si="22"/>
        <v>Nov 2020</v>
      </c>
    </row>
    <row r="1447" spans="1:11" x14ac:dyDescent="0.25">
      <c r="A1447" s="6">
        <v>44723</v>
      </c>
      <c r="B1447" t="s">
        <v>19</v>
      </c>
      <c r="C1447" t="s">
        <v>23</v>
      </c>
      <c r="D1447" t="s">
        <v>12</v>
      </c>
      <c r="E1447">
        <v>199</v>
      </c>
      <c r="F1447" s="3">
        <v>7223724.3200000003</v>
      </c>
      <c r="G1447">
        <v>1962004.7</v>
      </c>
      <c r="H1447">
        <v>5261719.62</v>
      </c>
      <c r="I1447">
        <v>3.23</v>
      </c>
      <c r="J1447">
        <v>4.32</v>
      </c>
      <c r="K1447" t="str">
        <f t="shared" si="22"/>
        <v>Jun 2022</v>
      </c>
    </row>
    <row r="1448" spans="1:11" x14ac:dyDescent="0.25">
      <c r="A1448" s="6">
        <v>44173</v>
      </c>
      <c r="B1448" t="s">
        <v>19</v>
      </c>
      <c r="C1448" t="s">
        <v>23</v>
      </c>
      <c r="D1448" t="s">
        <v>14</v>
      </c>
      <c r="E1448">
        <v>187</v>
      </c>
      <c r="F1448" s="3">
        <v>9187050.3699999992</v>
      </c>
      <c r="G1448">
        <v>2513548.5299999998</v>
      </c>
      <c r="H1448">
        <v>6673501.8499999996</v>
      </c>
      <c r="I1448">
        <v>0.76</v>
      </c>
      <c r="J1448">
        <v>3.71</v>
      </c>
      <c r="K1448" t="str">
        <f t="shared" si="22"/>
        <v>Dec 2020</v>
      </c>
    </row>
    <row r="1449" spans="1:11" x14ac:dyDescent="0.25">
      <c r="A1449" s="6">
        <v>43842</v>
      </c>
      <c r="B1449" t="s">
        <v>19</v>
      </c>
      <c r="C1449" t="s">
        <v>24</v>
      </c>
      <c r="D1449" t="s">
        <v>12</v>
      </c>
      <c r="E1449">
        <v>369</v>
      </c>
      <c r="F1449" s="3">
        <v>15684044.779999999</v>
      </c>
      <c r="G1449">
        <v>4093082.25</v>
      </c>
      <c r="H1449">
        <v>11590962.529999999</v>
      </c>
      <c r="I1449">
        <v>2.3199999999999998</v>
      </c>
      <c r="J1449">
        <v>4.1399999999999997</v>
      </c>
      <c r="K1449" t="str">
        <f t="shared" si="22"/>
        <v>Jan 2020</v>
      </c>
    </row>
    <row r="1450" spans="1:11" x14ac:dyDescent="0.25">
      <c r="A1450" s="6">
        <v>44763</v>
      </c>
      <c r="B1450" t="s">
        <v>19</v>
      </c>
      <c r="C1450" t="s">
        <v>24</v>
      </c>
      <c r="D1450" t="s">
        <v>12</v>
      </c>
      <c r="E1450">
        <v>216</v>
      </c>
      <c r="F1450" s="3">
        <v>16167260.189999999</v>
      </c>
      <c r="G1450">
        <v>6415747.3399999999</v>
      </c>
      <c r="H1450">
        <v>9751512.8599999994</v>
      </c>
      <c r="I1450">
        <v>2.0299999999999998</v>
      </c>
      <c r="J1450">
        <v>4.7300000000000004</v>
      </c>
      <c r="K1450" t="str">
        <f t="shared" si="22"/>
        <v>Jul 2022</v>
      </c>
    </row>
    <row r="1451" spans="1:11" x14ac:dyDescent="0.25">
      <c r="A1451" s="6">
        <v>44245</v>
      </c>
      <c r="B1451" t="s">
        <v>19</v>
      </c>
      <c r="C1451" t="s">
        <v>24</v>
      </c>
      <c r="D1451" t="s">
        <v>14</v>
      </c>
      <c r="E1451">
        <v>117</v>
      </c>
      <c r="F1451" s="3">
        <v>8756120.2899999991</v>
      </c>
      <c r="G1451">
        <v>2489563.0299999998</v>
      </c>
      <c r="H1451">
        <v>6266557.2599999998</v>
      </c>
      <c r="I1451">
        <v>1.73</v>
      </c>
      <c r="J1451">
        <v>3.62</v>
      </c>
      <c r="K1451" t="str">
        <f t="shared" si="22"/>
        <v>Feb 2021</v>
      </c>
    </row>
    <row r="1452" spans="1:11" x14ac:dyDescent="0.25">
      <c r="A1452" s="6">
        <v>44063</v>
      </c>
      <c r="B1452" t="s">
        <v>19</v>
      </c>
      <c r="C1452" t="s">
        <v>20</v>
      </c>
      <c r="D1452" t="s">
        <v>17</v>
      </c>
      <c r="E1452">
        <v>281</v>
      </c>
      <c r="F1452" s="3">
        <v>19807954.440000001</v>
      </c>
      <c r="G1452">
        <v>5563061.1200000001</v>
      </c>
      <c r="H1452">
        <v>14244893.32</v>
      </c>
      <c r="I1452">
        <v>2.31</v>
      </c>
      <c r="J1452">
        <v>4.05</v>
      </c>
      <c r="K1452" t="str">
        <f t="shared" si="22"/>
        <v>Aug 2020</v>
      </c>
    </row>
    <row r="1453" spans="1:11" x14ac:dyDescent="0.25">
      <c r="A1453" s="6">
        <v>43924</v>
      </c>
      <c r="B1453" t="s">
        <v>19</v>
      </c>
      <c r="C1453" t="s">
        <v>22</v>
      </c>
      <c r="D1453" t="s">
        <v>12</v>
      </c>
      <c r="E1453">
        <v>119</v>
      </c>
      <c r="F1453" s="3">
        <v>6488450.8200000003</v>
      </c>
      <c r="G1453">
        <v>2505289.69</v>
      </c>
      <c r="H1453">
        <v>3983161.13</v>
      </c>
      <c r="I1453">
        <v>2.84</v>
      </c>
      <c r="J1453">
        <v>3.6</v>
      </c>
      <c r="K1453" t="str">
        <f t="shared" si="22"/>
        <v>Apr 2020</v>
      </c>
    </row>
    <row r="1454" spans="1:11" x14ac:dyDescent="0.25">
      <c r="A1454" s="6">
        <v>44851</v>
      </c>
      <c r="B1454" t="s">
        <v>19</v>
      </c>
      <c r="C1454" t="s">
        <v>23</v>
      </c>
      <c r="D1454" t="s">
        <v>17</v>
      </c>
      <c r="E1454">
        <v>54</v>
      </c>
      <c r="F1454" s="3">
        <v>2097696.87</v>
      </c>
      <c r="G1454">
        <v>570502.97</v>
      </c>
      <c r="H1454">
        <v>1527193.9</v>
      </c>
      <c r="I1454">
        <v>1.72</v>
      </c>
      <c r="J1454">
        <v>4.3899999999999997</v>
      </c>
      <c r="K1454" t="str">
        <f t="shared" si="22"/>
        <v>Oct 2022</v>
      </c>
    </row>
    <row r="1455" spans="1:11" x14ac:dyDescent="0.25">
      <c r="A1455" s="6">
        <v>44215</v>
      </c>
      <c r="B1455" t="s">
        <v>19</v>
      </c>
      <c r="C1455" t="s">
        <v>21</v>
      </c>
      <c r="D1455" t="s">
        <v>17</v>
      </c>
      <c r="E1455">
        <v>116</v>
      </c>
      <c r="F1455" s="3">
        <v>7460270.6799999997</v>
      </c>
      <c r="G1455">
        <v>2500184.75</v>
      </c>
      <c r="H1455">
        <v>4960085.92</v>
      </c>
      <c r="I1455">
        <v>2</v>
      </c>
      <c r="J1455">
        <v>4.5</v>
      </c>
      <c r="K1455" t="str">
        <f t="shared" si="22"/>
        <v>Jan 2021</v>
      </c>
    </row>
    <row r="1456" spans="1:11" x14ac:dyDescent="0.25">
      <c r="A1456" s="6">
        <v>45216</v>
      </c>
      <c r="B1456" t="s">
        <v>19</v>
      </c>
      <c r="C1456" t="s">
        <v>24</v>
      </c>
      <c r="D1456" t="s">
        <v>17</v>
      </c>
      <c r="E1456">
        <v>264</v>
      </c>
      <c r="F1456" s="3">
        <v>14735477.67</v>
      </c>
      <c r="G1456">
        <v>4824559.63</v>
      </c>
      <c r="H1456">
        <v>9910918.0399999991</v>
      </c>
      <c r="I1456">
        <v>4.9800000000000004</v>
      </c>
      <c r="J1456">
        <v>4.17</v>
      </c>
      <c r="K1456" t="str">
        <f t="shared" si="22"/>
        <v>Oct 2023</v>
      </c>
    </row>
    <row r="1457" spans="1:11" x14ac:dyDescent="0.25">
      <c r="A1457" s="6">
        <v>44220</v>
      </c>
      <c r="B1457" t="s">
        <v>19</v>
      </c>
      <c r="C1457" t="s">
        <v>22</v>
      </c>
      <c r="D1457" t="s">
        <v>12</v>
      </c>
      <c r="E1457">
        <v>165</v>
      </c>
      <c r="F1457" s="3">
        <v>6320791.7599999998</v>
      </c>
      <c r="G1457">
        <v>1817484.49</v>
      </c>
      <c r="H1457">
        <v>4503307.2699999996</v>
      </c>
      <c r="I1457">
        <v>4.8099999999999996</v>
      </c>
      <c r="J1457">
        <v>3.76</v>
      </c>
      <c r="K1457" t="str">
        <f t="shared" si="22"/>
        <v>Jan 2021</v>
      </c>
    </row>
    <row r="1458" spans="1:11" x14ac:dyDescent="0.25">
      <c r="A1458" s="6">
        <v>43975</v>
      </c>
      <c r="B1458" t="s">
        <v>19</v>
      </c>
      <c r="C1458" t="s">
        <v>23</v>
      </c>
      <c r="D1458" t="s">
        <v>17</v>
      </c>
      <c r="E1458">
        <v>336</v>
      </c>
      <c r="F1458" s="3">
        <v>25709402.91</v>
      </c>
      <c r="G1458">
        <v>9407183.9600000009</v>
      </c>
      <c r="H1458">
        <v>16302218.949999999</v>
      </c>
      <c r="I1458">
        <v>2.34</v>
      </c>
      <c r="J1458">
        <v>4.13</v>
      </c>
      <c r="K1458" t="str">
        <f t="shared" si="22"/>
        <v>May 2020</v>
      </c>
    </row>
    <row r="1459" spans="1:11" x14ac:dyDescent="0.25">
      <c r="A1459" s="6">
        <v>44913</v>
      </c>
      <c r="B1459" t="s">
        <v>19</v>
      </c>
      <c r="C1459" t="s">
        <v>24</v>
      </c>
      <c r="D1459" t="s">
        <v>12</v>
      </c>
      <c r="E1459">
        <v>104</v>
      </c>
      <c r="F1459" s="3">
        <v>7965254.2400000002</v>
      </c>
      <c r="G1459">
        <v>2632402.58</v>
      </c>
      <c r="H1459">
        <v>5332851.66</v>
      </c>
      <c r="I1459">
        <v>3.49</v>
      </c>
      <c r="J1459">
        <v>4.6900000000000004</v>
      </c>
      <c r="K1459" t="str">
        <f t="shared" si="22"/>
        <v>Dec 2022</v>
      </c>
    </row>
    <row r="1460" spans="1:11" x14ac:dyDescent="0.25">
      <c r="A1460" s="6">
        <v>44313</v>
      </c>
      <c r="B1460" t="s">
        <v>19</v>
      </c>
      <c r="C1460" t="s">
        <v>23</v>
      </c>
      <c r="D1460" t="s">
        <v>12</v>
      </c>
      <c r="E1460">
        <v>193</v>
      </c>
      <c r="F1460" s="3">
        <v>10815516.460000001</v>
      </c>
      <c r="G1460">
        <v>4067004.08</v>
      </c>
      <c r="H1460">
        <v>6748512.3899999997</v>
      </c>
      <c r="I1460">
        <v>4.88</v>
      </c>
      <c r="J1460">
        <v>3.53</v>
      </c>
      <c r="K1460" t="str">
        <f t="shared" si="22"/>
        <v>Apr 2021</v>
      </c>
    </row>
    <row r="1461" spans="1:11" x14ac:dyDescent="0.25">
      <c r="A1461" s="6">
        <v>45285</v>
      </c>
      <c r="B1461" t="s">
        <v>19</v>
      </c>
      <c r="C1461" t="s">
        <v>21</v>
      </c>
      <c r="D1461" t="s">
        <v>12</v>
      </c>
      <c r="E1461">
        <v>409</v>
      </c>
      <c r="F1461" s="3">
        <v>31604652.609999999</v>
      </c>
      <c r="G1461">
        <v>11101723.869999999</v>
      </c>
      <c r="H1461">
        <v>20502928.739999998</v>
      </c>
      <c r="I1461">
        <v>3.52</v>
      </c>
      <c r="J1461">
        <v>3.64</v>
      </c>
      <c r="K1461" t="str">
        <f t="shared" si="22"/>
        <v>Dec 2023</v>
      </c>
    </row>
    <row r="1462" spans="1:11" x14ac:dyDescent="0.25">
      <c r="A1462" s="6">
        <v>44117</v>
      </c>
      <c r="B1462" t="s">
        <v>19</v>
      </c>
      <c r="C1462" t="s">
        <v>21</v>
      </c>
      <c r="D1462" t="s">
        <v>17</v>
      </c>
      <c r="E1462">
        <v>455</v>
      </c>
      <c r="F1462" s="3">
        <v>18155338.91</v>
      </c>
      <c r="G1462">
        <v>4519697.47</v>
      </c>
      <c r="H1462">
        <v>13635641.439999999</v>
      </c>
      <c r="I1462">
        <v>1.07</v>
      </c>
      <c r="J1462">
        <v>4.74</v>
      </c>
      <c r="K1462" t="str">
        <f t="shared" si="22"/>
        <v>Oct 2020</v>
      </c>
    </row>
    <row r="1463" spans="1:11" x14ac:dyDescent="0.25">
      <c r="A1463" s="6">
        <v>45562</v>
      </c>
      <c r="B1463" t="s">
        <v>19</v>
      </c>
      <c r="C1463" t="s">
        <v>21</v>
      </c>
      <c r="D1463" t="s">
        <v>14</v>
      </c>
      <c r="E1463">
        <v>87</v>
      </c>
      <c r="F1463" s="3">
        <v>3807269.74</v>
      </c>
      <c r="G1463">
        <v>1474853.27</v>
      </c>
      <c r="H1463">
        <v>2332416.4700000002</v>
      </c>
      <c r="I1463">
        <v>1.03</v>
      </c>
      <c r="J1463">
        <v>3.84</v>
      </c>
      <c r="K1463" t="str">
        <f t="shared" si="22"/>
        <v>Sep 2024</v>
      </c>
    </row>
    <row r="1464" spans="1:11" x14ac:dyDescent="0.25">
      <c r="A1464" s="6">
        <v>44673</v>
      </c>
      <c r="B1464" t="s">
        <v>19</v>
      </c>
      <c r="C1464" t="s">
        <v>20</v>
      </c>
      <c r="D1464" t="s">
        <v>12</v>
      </c>
      <c r="E1464">
        <v>286</v>
      </c>
      <c r="F1464" s="3">
        <v>15674945.689999999</v>
      </c>
      <c r="G1464">
        <v>5995219.2199999997</v>
      </c>
      <c r="H1464">
        <v>9679726.4700000007</v>
      </c>
      <c r="I1464">
        <v>4.72</v>
      </c>
      <c r="J1464">
        <v>4.33</v>
      </c>
      <c r="K1464" t="str">
        <f t="shared" si="22"/>
        <v>Apr 2022</v>
      </c>
    </row>
    <row r="1465" spans="1:11" x14ac:dyDescent="0.25">
      <c r="A1465" s="6">
        <v>44983</v>
      </c>
      <c r="B1465" t="s">
        <v>19</v>
      </c>
      <c r="C1465" t="s">
        <v>24</v>
      </c>
      <c r="D1465" t="s">
        <v>17</v>
      </c>
      <c r="E1465">
        <v>380</v>
      </c>
      <c r="F1465" s="3">
        <v>30548479.66</v>
      </c>
      <c r="G1465">
        <v>10510488.289999999</v>
      </c>
      <c r="H1465">
        <v>20037991.370000001</v>
      </c>
      <c r="I1465">
        <v>4.74</v>
      </c>
      <c r="J1465">
        <v>4.8099999999999996</v>
      </c>
      <c r="K1465" t="str">
        <f t="shared" si="22"/>
        <v>Feb 2023</v>
      </c>
    </row>
    <row r="1466" spans="1:11" x14ac:dyDescent="0.25">
      <c r="A1466" s="6">
        <v>43888</v>
      </c>
      <c r="B1466" t="s">
        <v>19</v>
      </c>
      <c r="C1466" t="s">
        <v>24</v>
      </c>
      <c r="D1466" t="s">
        <v>14</v>
      </c>
      <c r="E1466">
        <v>311</v>
      </c>
      <c r="F1466" s="3">
        <v>26611199.699999999</v>
      </c>
      <c r="G1466">
        <v>7999520.9800000004</v>
      </c>
      <c r="H1466">
        <v>18611678.719999999</v>
      </c>
      <c r="I1466">
        <v>4.96</v>
      </c>
      <c r="J1466">
        <v>4.78</v>
      </c>
      <c r="K1466" t="str">
        <f t="shared" si="22"/>
        <v>Feb 2020</v>
      </c>
    </row>
    <row r="1467" spans="1:11" x14ac:dyDescent="0.25">
      <c r="A1467" s="6">
        <v>44837</v>
      </c>
      <c r="B1467" t="s">
        <v>19</v>
      </c>
      <c r="C1467" t="s">
        <v>22</v>
      </c>
      <c r="D1467" t="s">
        <v>17</v>
      </c>
      <c r="E1467">
        <v>61</v>
      </c>
      <c r="F1467" s="3">
        <v>5257146.95</v>
      </c>
      <c r="G1467">
        <v>1980507.73</v>
      </c>
      <c r="H1467">
        <v>3276639.22</v>
      </c>
      <c r="I1467">
        <v>4.18</v>
      </c>
      <c r="J1467">
        <v>4.07</v>
      </c>
      <c r="K1467" t="str">
        <f t="shared" si="22"/>
        <v>Oct 2022</v>
      </c>
    </row>
    <row r="1468" spans="1:11" x14ac:dyDescent="0.25">
      <c r="A1468" s="6">
        <v>44524</v>
      </c>
      <c r="B1468" t="s">
        <v>19</v>
      </c>
      <c r="C1468" t="s">
        <v>23</v>
      </c>
      <c r="D1468" t="s">
        <v>12</v>
      </c>
      <c r="E1468">
        <v>265</v>
      </c>
      <c r="F1468" s="3">
        <v>17035913.379999999</v>
      </c>
      <c r="G1468">
        <v>4356348.58</v>
      </c>
      <c r="H1468">
        <v>12679564.800000001</v>
      </c>
      <c r="I1468">
        <v>1.1399999999999999</v>
      </c>
      <c r="J1468">
        <v>3.82</v>
      </c>
      <c r="K1468" t="str">
        <f t="shared" si="22"/>
        <v>Nov 2021</v>
      </c>
    </row>
    <row r="1469" spans="1:11" x14ac:dyDescent="0.25">
      <c r="A1469" s="6">
        <v>44600</v>
      </c>
      <c r="B1469" t="s">
        <v>19</v>
      </c>
      <c r="C1469" t="s">
        <v>24</v>
      </c>
      <c r="D1469" t="s">
        <v>17</v>
      </c>
      <c r="E1469">
        <v>63</v>
      </c>
      <c r="F1469" s="3">
        <v>2485385.3199999998</v>
      </c>
      <c r="G1469">
        <v>793841.92</v>
      </c>
      <c r="H1469">
        <v>1691543.39</v>
      </c>
      <c r="I1469">
        <v>1.28</v>
      </c>
      <c r="J1469">
        <v>4.54</v>
      </c>
      <c r="K1469" t="str">
        <f t="shared" si="22"/>
        <v>Feb 2022</v>
      </c>
    </row>
    <row r="1470" spans="1:11" x14ac:dyDescent="0.25">
      <c r="A1470" s="6">
        <v>45333</v>
      </c>
      <c r="B1470" t="s">
        <v>19</v>
      </c>
      <c r="C1470" t="s">
        <v>24</v>
      </c>
      <c r="D1470" t="s">
        <v>12</v>
      </c>
      <c r="E1470">
        <v>255</v>
      </c>
      <c r="F1470" s="3">
        <v>22607933.07</v>
      </c>
      <c r="G1470">
        <v>6144962.46</v>
      </c>
      <c r="H1470">
        <v>16462970.6</v>
      </c>
      <c r="I1470">
        <v>4.2</v>
      </c>
      <c r="J1470">
        <v>3.7</v>
      </c>
      <c r="K1470" t="str">
        <f t="shared" si="22"/>
        <v>Feb 2024</v>
      </c>
    </row>
    <row r="1471" spans="1:11" x14ac:dyDescent="0.25">
      <c r="A1471" s="6">
        <v>44114</v>
      </c>
      <c r="B1471" t="s">
        <v>19</v>
      </c>
      <c r="C1471" t="s">
        <v>20</v>
      </c>
      <c r="D1471" t="s">
        <v>17</v>
      </c>
      <c r="E1471">
        <v>359</v>
      </c>
      <c r="F1471" s="3">
        <v>18759553.260000002</v>
      </c>
      <c r="G1471">
        <v>5228771.7</v>
      </c>
      <c r="H1471">
        <v>13530781.560000001</v>
      </c>
      <c r="I1471">
        <v>1.1299999999999999</v>
      </c>
      <c r="J1471">
        <v>4.8499999999999996</v>
      </c>
      <c r="K1471" t="str">
        <f t="shared" si="22"/>
        <v>Oct 2020</v>
      </c>
    </row>
    <row r="1472" spans="1:11" x14ac:dyDescent="0.25">
      <c r="A1472" s="6">
        <v>44193</v>
      </c>
      <c r="B1472" t="s">
        <v>19</v>
      </c>
      <c r="C1472" t="s">
        <v>21</v>
      </c>
      <c r="D1472" t="s">
        <v>14</v>
      </c>
      <c r="E1472">
        <v>287</v>
      </c>
      <c r="F1472" s="3">
        <v>12804827.73</v>
      </c>
      <c r="G1472">
        <v>3834876.69</v>
      </c>
      <c r="H1472">
        <v>8969951.0500000007</v>
      </c>
      <c r="I1472">
        <v>2.29</v>
      </c>
      <c r="J1472">
        <v>3.72</v>
      </c>
      <c r="K1472" t="str">
        <f t="shared" si="22"/>
        <v>Dec 2020</v>
      </c>
    </row>
    <row r="1473" spans="1:11" x14ac:dyDescent="0.25">
      <c r="A1473" s="6">
        <v>45651</v>
      </c>
      <c r="B1473" t="s">
        <v>19</v>
      </c>
      <c r="C1473" t="s">
        <v>20</v>
      </c>
      <c r="D1473" t="s">
        <v>17</v>
      </c>
      <c r="E1473">
        <v>166</v>
      </c>
      <c r="F1473" s="3">
        <v>6921686.25</v>
      </c>
      <c r="G1473">
        <v>2106637.33</v>
      </c>
      <c r="H1473">
        <v>4815048.92</v>
      </c>
      <c r="I1473">
        <v>2.78</v>
      </c>
      <c r="J1473">
        <v>3.85</v>
      </c>
      <c r="K1473" t="str">
        <f t="shared" si="22"/>
        <v>Dec 2024</v>
      </c>
    </row>
    <row r="1474" spans="1:11" x14ac:dyDescent="0.25">
      <c r="A1474" s="6">
        <v>45080</v>
      </c>
      <c r="B1474" t="s">
        <v>19</v>
      </c>
      <c r="C1474" t="s">
        <v>23</v>
      </c>
      <c r="D1474" t="s">
        <v>12</v>
      </c>
      <c r="E1474">
        <v>222</v>
      </c>
      <c r="F1474" s="3">
        <v>14479755.630000001</v>
      </c>
      <c r="G1474">
        <v>2994928.48</v>
      </c>
      <c r="H1474">
        <v>11484827.16</v>
      </c>
      <c r="I1474">
        <v>2.4500000000000002</v>
      </c>
      <c r="J1474">
        <v>3.97</v>
      </c>
      <c r="K1474" t="str">
        <f t="shared" ref="K1474:K1537" si="23">TEXT(A1474,"mmm yyyy")</f>
        <v>Jun 2023</v>
      </c>
    </row>
    <row r="1475" spans="1:11" x14ac:dyDescent="0.25">
      <c r="A1475" s="6">
        <v>44975</v>
      </c>
      <c r="B1475" t="s">
        <v>19</v>
      </c>
      <c r="C1475" t="s">
        <v>20</v>
      </c>
      <c r="D1475" t="s">
        <v>14</v>
      </c>
      <c r="E1475">
        <v>383</v>
      </c>
      <c r="F1475" s="3">
        <v>31860155.879999999</v>
      </c>
      <c r="G1475">
        <v>10974213.970000001</v>
      </c>
      <c r="H1475">
        <v>20885941.91</v>
      </c>
      <c r="I1475">
        <v>4.33</v>
      </c>
      <c r="J1475">
        <v>3.5</v>
      </c>
      <c r="K1475" t="str">
        <f t="shared" si="23"/>
        <v>Feb 2023</v>
      </c>
    </row>
    <row r="1476" spans="1:11" x14ac:dyDescent="0.25">
      <c r="A1476" s="6">
        <v>44045</v>
      </c>
      <c r="B1476" t="s">
        <v>19</v>
      </c>
      <c r="C1476" t="s">
        <v>21</v>
      </c>
      <c r="D1476" t="s">
        <v>14</v>
      </c>
      <c r="E1476">
        <v>92</v>
      </c>
      <c r="F1476" s="3">
        <v>6355115.0499999998</v>
      </c>
      <c r="G1476">
        <v>1715625.47</v>
      </c>
      <c r="H1476">
        <v>4639489.58</v>
      </c>
      <c r="I1476">
        <v>1.18</v>
      </c>
      <c r="J1476">
        <v>3.59</v>
      </c>
      <c r="K1476" t="str">
        <f t="shared" si="23"/>
        <v>Aug 2020</v>
      </c>
    </row>
    <row r="1477" spans="1:11" x14ac:dyDescent="0.25">
      <c r="A1477" s="6">
        <v>44413</v>
      </c>
      <c r="B1477" t="s">
        <v>19</v>
      </c>
      <c r="C1477" t="s">
        <v>20</v>
      </c>
      <c r="D1477" t="s">
        <v>12</v>
      </c>
      <c r="E1477">
        <v>467</v>
      </c>
      <c r="F1477" s="3">
        <v>28154973.879999999</v>
      </c>
      <c r="G1477">
        <v>10934469.529999999</v>
      </c>
      <c r="H1477">
        <v>17220504.359999999</v>
      </c>
      <c r="I1477">
        <v>4.9800000000000004</v>
      </c>
      <c r="J1477">
        <v>3.59</v>
      </c>
      <c r="K1477" t="str">
        <f t="shared" si="23"/>
        <v>Aug 2021</v>
      </c>
    </row>
    <row r="1478" spans="1:11" x14ac:dyDescent="0.25">
      <c r="A1478" s="6">
        <v>44181</v>
      </c>
      <c r="B1478" t="s">
        <v>19</v>
      </c>
      <c r="C1478" t="s">
        <v>22</v>
      </c>
      <c r="D1478" t="s">
        <v>14</v>
      </c>
      <c r="E1478">
        <v>105</v>
      </c>
      <c r="F1478" s="3">
        <v>5392225.4000000004</v>
      </c>
      <c r="G1478">
        <v>1692795.15</v>
      </c>
      <c r="H1478">
        <v>3699430.25</v>
      </c>
      <c r="I1478">
        <v>1.27</v>
      </c>
      <c r="J1478">
        <v>3.61</v>
      </c>
      <c r="K1478" t="str">
        <f t="shared" si="23"/>
        <v>Dec 2020</v>
      </c>
    </row>
    <row r="1479" spans="1:11" x14ac:dyDescent="0.25">
      <c r="A1479" s="6">
        <v>43940</v>
      </c>
      <c r="B1479" t="s">
        <v>19</v>
      </c>
      <c r="C1479" t="s">
        <v>21</v>
      </c>
      <c r="D1479" t="s">
        <v>12</v>
      </c>
      <c r="E1479">
        <v>205</v>
      </c>
      <c r="F1479" s="3">
        <v>10594427.289999999</v>
      </c>
      <c r="G1479">
        <v>4023666.42</v>
      </c>
      <c r="H1479">
        <v>6570760.8700000001</v>
      </c>
      <c r="I1479">
        <v>3.61</v>
      </c>
      <c r="J1479">
        <v>3.59</v>
      </c>
      <c r="K1479" t="str">
        <f t="shared" si="23"/>
        <v>Apr 2020</v>
      </c>
    </row>
    <row r="1480" spans="1:11" x14ac:dyDescent="0.25">
      <c r="A1480" s="6">
        <v>44790</v>
      </c>
      <c r="B1480" t="s">
        <v>19</v>
      </c>
      <c r="C1480" t="s">
        <v>23</v>
      </c>
      <c r="D1480" t="s">
        <v>12</v>
      </c>
      <c r="E1480">
        <v>309</v>
      </c>
      <c r="F1480" s="3">
        <v>21576057.690000001</v>
      </c>
      <c r="G1480">
        <v>7642694.4400000004</v>
      </c>
      <c r="H1480">
        <v>13933363.26</v>
      </c>
      <c r="I1480">
        <v>1.55</v>
      </c>
      <c r="J1480">
        <v>3.83</v>
      </c>
      <c r="K1480" t="str">
        <f t="shared" si="23"/>
        <v>Aug 2022</v>
      </c>
    </row>
    <row r="1481" spans="1:11" x14ac:dyDescent="0.25">
      <c r="A1481" s="6">
        <v>44132</v>
      </c>
      <c r="B1481" t="s">
        <v>19</v>
      </c>
      <c r="C1481" t="s">
        <v>21</v>
      </c>
      <c r="D1481" t="s">
        <v>17</v>
      </c>
      <c r="E1481">
        <v>270</v>
      </c>
      <c r="F1481" s="3">
        <v>18714853.170000002</v>
      </c>
      <c r="G1481">
        <v>5513240.5499999998</v>
      </c>
      <c r="H1481">
        <v>13201612.619999999</v>
      </c>
      <c r="I1481">
        <v>2.42</v>
      </c>
      <c r="J1481">
        <v>3.7</v>
      </c>
      <c r="K1481" t="str">
        <f t="shared" si="23"/>
        <v>Oct 2020</v>
      </c>
    </row>
    <row r="1482" spans="1:11" x14ac:dyDescent="0.25">
      <c r="A1482" s="6">
        <v>44563</v>
      </c>
      <c r="B1482" t="s">
        <v>19</v>
      </c>
      <c r="C1482" t="s">
        <v>21</v>
      </c>
      <c r="D1482" t="s">
        <v>14</v>
      </c>
      <c r="E1482">
        <v>165</v>
      </c>
      <c r="F1482" s="3">
        <v>9448545.7400000002</v>
      </c>
      <c r="G1482">
        <v>2543405.2799999998</v>
      </c>
      <c r="H1482">
        <v>6905140.46</v>
      </c>
      <c r="I1482">
        <v>2.09</v>
      </c>
      <c r="J1482">
        <v>4.29</v>
      </c>
      <c r="K1482" t="str">
        <f t="shared" si="23"/>
        <v>Jan 2022</v>
      </c>
    </row>
    <row r="1483" spans="1:11" x14ac:dyDescent="0.25">
      <c r="A1483" s="6">
        <v>43942</v>
      </c>
      <c r="B1483" t="s">
        <v>19</v>
      </c>
      <c r="C1483" t="s">
        <v>23</v>
      </c>
      <c r="D1483" t="s">
        <v>14</v>
      </c>
      <c r="E1483">
        <v>63</v>
      </c>
      <c r="F1483" s="3">
        <v>2817913.96</v>
      </c>
      <c r="G1483">
        <v>909014.65</v>
      </c>
      <c r="H1483">
        <v>1908899.3</v>
      </c>
      <c r="I1483">
        <v>4.84</v>
      </c>
      <c r="J1483">
        <v>3.87</v>
      </c>
      <c r="K1483" t="str">
        <f t="shared" si="23"/>
        <v>Apr 2020</v>
      </c>
    </row>
    <row r="1484" spans="1:11" x14ac:dyDescent="0.25">
      <c r="A1484" s="6">
        <v>44150</v>
      </c>
      <c r="B1484" t="s">
        <v>19</v>
      </c>
      <c r="C1484" t="s">
        <v>23</v>
      </c>
      <c r="D1484" t="s">
        <v>17</v>
      </c>
      <c r="E1484">
        <v>111</v>
      </c>
      <c r="F1484" s="3">
        <v>6823606.0499999998</v>
      </c>
      <c r="G1484">
        <v>2703250.31</v>
      </c>
      <c r="H1484">
        <v>4120355.73</v>
      </c>
      <c r="I1484">
        <v>1.67</v>
      </c>
      <c r="J1484">
        <v>4.6399999999999997</v>
      </c>
      <c r="K1484" t="str">
        <f t="shared" si="23"/>
        <v>Nov 2020</v>
      </c>
    </row>
    <row r="1485" spans="1:11" x14ac:dyDescent="0.25">
      <c r="A1485" s="6">
        <v>45560</v>
      </c>
      <c r="B1485" t="s">
        <v>19</v>
      </c>
      <c r="C1485" t="s">
        <v>24</v>
      </c>
      <c r="D1485" t="s">
        <v>17</v>
      </c>
      <c r="E1485">
        <v>363</v>
      </c>
      <c r="F1485" s="3">
        <v>16492257.640000001</v>
      </c>
      <c r="G1485">
        <v>4555332.4400000004</v>
      </c>
      <c r="H1485">
        <v>11936925.199999999</v>
      </c>
      <c r="I1485">
        <v>1.96</v>
      </c>
      <c r="J1485">
        <v>4.75</v>
      </c>
      <c r="K1485" t="str">
        <f t="shared" si="23"/>
        <v>Sep 2024</v>
      </c>
    </row>
    <row r="1486" spans="1:11" x14ac:dyDescent="0.25">
      <c r="A1486" s="6">
        <v>45578</v>
      </c>
      <c r="B1486" t="s">
        <v>19</v>
      </c>
      <c r="C1486" t="s">
        <v>20</v>
      </c>
      <c r="D1486" t="s">
        <v>12</v>
      </c>
      <c r="E1486">
        <v>262</v>
      </c>
      <c r="F1486" s="3">
        <v>12035518.960000001</v>
      </c>
      <c r="G1486">
        <v>4658668.53</v>
      </c>
      <c r="H1486">
        <v>7376850.4299999997</v>
      </c>
      <c r="I1486">
        <v>0.69</v>
      </c>
      <c r="J1486">
        <v>4.0599999999999996</v>
      </c>
      <c r="K1486" t="str">
        <f t="shared" si="23"/>
        <v>Oct 2024</v>
      </c>
    </row>
    <row r="1487" spans="1:11" x14ac:dyDescent="0.25">
      <c r="A1487" s="6">
        <v>44928</v>
      </c>
      <c r="B1487" t="s">
        <v>19</v>
      </c>
      <c r="C1487" t="s">
        <v>22</v>
      </c>
      <c r="D1487" t="s">
        <v>12</v>
      </c>
      <c r="E1487">
        <v>237</v>
      </c>
      <c r="F1487" s="3">
        <v>16716784.76</v>
      </c>
      <c r="G1487">
        <v>5017262.66</v>
      </c>
      <c r="H1487">
        <v>11699522.1</v>
      </c>
      <c r="I1487">
        <v>1.7</v>
      </c>
      <c r="J1487">
        <v>3.72</v>
      </c>
      <c r="K1487" t="str">
        <f t="shared" si="23"/>
        <v>Jan 2023</v>
      </c>
    </row>
    <row r="1488" spans="1:11" x14ac:dyDescent="0.25">
      <c r="A1488" s="6">
        <v>44596</v>
      </c>
      <c r="B1488" t="s">
        <v>19</v>
      </c>
      <c r="C1488" t="s">
        <v>21</v>
      </c>
      <c r="D1488" t="s">
        <v>14</v>
      </c>
      <c r="E1488">
        <v>245</v>
      </c>
      <c r="F1488" s="3">
        <v>20226298.780000001</v>
      </c>
      <c r="G1488">
        <v>7105587.8899999997</v>
      </c>
      <c r="H1488">
        <v>13120710.9</v>
      </c>
      <c r="I1488">
        <v>3.43</v>
      </c>
      <c r="J1488">
        <v>4.72</v>
      </c>
      <c r="K1488" t="str">
        <f t="shared" si="23"/>
        <v>Feb 2022</v>
      </c>
    </row>
    <row r="1489" spans="1:11" x14ac:dyDescent="0.25">
      <c r="A1489" s="6">
        <v>45625</v>
      </c>
      <c r="B1489" t="s">
        <v>19</v>
      </c>
      <c r="C1489" t="s">
        <v>24</v>
      </c>
      <c r="D1489" t="s">
        <v>17</v>
      </c>
      <c r="E1489">
        <v>270</v>
      </c>
      <c r="F1489" s="3">
        <v>15307972.74</v>
      </c>
      <c r="G1489">
        <v>4716549.37</v>
      </c>
      <c r="H1489">
        <v>10591423.359999999</v>
      </c>
      <c r="I1489">
        <v>4.03</v>
      </c>
      <c r="J1489">
        <v>4.84</v>
      </c>
      <c r="K1489" t="str">
        <f t="shared" si="23"/>
        <v>Nov 2024</v>
      </c>
    </row>
    <row r="1490" spans="1:11" x14ac:dyDescent="0.25">
      <c r="A1490" s="6">
        <v>45629</v>
      </c>
      <c r="B1490" t="s">
        <v>19</v>
      </c>
      <c r="C1490" t="s">
        <v>23</v>
      </c>
      <c r="D1490" t="s">
        <v>17</v>
      </c>
      <c r="E1490">
        <v>154</v>
      </c>
      <c r="F1490" s="3">
        <v>6255206.5199999996</v>
      </c>
      <c r="G1490">
        <v>1678031.53</v>
      </c>
      <c r="H1490">
        <v>4577174.99</v>
      </c>
      <c r="I1490">
        <v>4.74</v>
      </c>
      <c r="J1490">
        <v>4.71</v>
      </c>
      <c r="K1490" t="str">
        <f t="shared" si="23"/>
        <v>Dec 2024</v>
      </c>
    </row>
    <row r="1491" spans="1:11" x14ac:dyDescent="0.25">
      <c r="A1491" s="6">
        <v>44811</v>
      </c>
      <c r="B1491" t="s">
        <v>19</v>
      </c>
      <c r="C1491" t="s">
        <v>24</v>
      </c>
      <c r="D1491" t="s">
        <v>14</v>
      </c>
      <c r="E1491">
        <v>97</v>
      </c>
      <c r="F1491" s="3">
        <v>4753667.7699999996</v>
      </c>
      <c r="G1491">
        <v>1102022.28</v>
      </c>
      <c r="H1491">
        <v>3651645.49</v>
      </c>
      <c r="I1491">
        <v>0.67</v>
      </c>
      <c r="J1491">
        <v>4.8499999999999996</v>
      </c>
      <c r="K1491" t="str">
        <f t="shared" si="23"/>
        <v>Sep 2022</v>
      </c>
    </row>
    <row r="1492" spans="1:11" x14ac:dyDescent="0.25">
      <c r="A1492" s="6">
        <v>44297</v>
      </c>
      <c r="B1492" t="s">
        <v>19</v>
      </c>
      <c r="C1492" t="s">
        <v>20</v>
      </c>
      <c r="D1492" t="s">
        <v>14</v>
      </c>
      <c r="E1492">
        <v>326</v>
      </c>
      <c r="F1492" s="3">
        <v>26204620.27</v>
      </c>
      <c r="G1492">
        <v>7885221.2599999998</v>
      </c>
      <c r="H1492">
        <v>18319399.010000002</v>
      </c>
      <c r="I1492">
        <v>2.2400000000000002</v>
      </c>
      <c r="J1492">
        <v>4.18</v>
      </c>
      <c r="K1492" t="str">
        <f t="shared" si="23"/>
        <v>Apr 2021</v>
      </c>
    </row>
    <row r="1493" spans="1:11" x14ac:dyDescent="0.25">
      <c r="A1493" s="6">
        <v>44969</v>
      </c>
      <c r="B1493" t="s">
        <v>19</v>
      </c>
      <c r="C1493" t="s">
        <v>20</v>
      </c>
      <c r="D1493" t="s">
        <v>12</v>
      </c>
      <c r="E1493">
        <v>482</v>
      </c>
      <c r="F1493" s="3">
        <v>33145379.329999998</v>
      </c>
      <c r="G1493">
        <v>12816310.300000001</v>
      </c>
      <c r="H1493">
        <v>20329069.030000001</v>
      </c>
      <c r="I1493">
        <v>2.83</v>
      </c>
      <c r="J1493">
        <v>3.73</v>
      </c>
      <c r="K1493" t="str">
        <f t="shared" si="23"/>
        <v>Feb 2023</v>
      </c>
    </row>
    <row r="1494" spans="1:11" x14ac:dyDescent="0.25">
      <c r="A1494" s="6">
        <v>44421</v>
      </c>
      <c r="B1494" t="s">
        <v>19</v>
      </c>
      <c r="C1494" t="s">
        <v>22</v>
      </c>
      <c r="D1494" t="s">
        <v>12</v>
      </c>
      <c r="E1494">
        <v>465</v>
      </c>
      <c r="F1494" s="3">
        <v>41550140.060000002</v>
      </c>
      <c r="G1494">
        <v>12936444.25</v>
      </c>
      <c r="H1494">
        <v>28613695.809999999</v>
      </c>
      <c r="I1494">
        <v>0.72</v>
      </c>
      <c r="J1494">
        <v>3.56</v>
      </c>
      <c r="K1494" t="str">
        <f t="shared" si="23"/>
        <v>Aug 2021</v>
      </c>
    </row>
    <row r="1495" spans="1:11" x14ac:dyDescent="0.25">
      <c r="A1495" s="6">
        <v>45578</v>
      </c>
      <c r="B1495" t="s">
        <v>19</v>
      </c>
      <c r="C1495" t="s">
        <v>20</v>
      </c>
      <c r="D1495" t="s">
        <v>17</v>
      </c>
      <c r="E1495">
        <v>136</v>
      </c>
      <c r="F1495" s="3">
        <v>10118098.939999999</v>
      </c>
      <c r="G1495">
        <v>3901368.29</v>
      </c>
      <c r="H1495">
        <v>6216730.6500000004</v>
      </c>
      <c r="I1495">
        <v>0.82</v>
      </c>
      <c r="J1495">
        <v>3.52</v>
      </c>
      <c r="K1495" t="str">
        <f t="shared" si="23"/>
        <v>Oct 2024</v>
      </c>
    </row>
    <row r="1496" spans="1:11" x14ac:dyDescent="0.25">
      <c r="A1496" s="6">
        <v>45235</v>
      </c>
      <c r="B1496" t="s">
        <v>19</v>
      </c>
      <c r="C1496" t="s">
        <v>21</v>
      </c>
      <c r="D1496" t="s">
        <v>14</v>
      </c>
      <c r="E1496">
        <v>182</v>
      </c>
      <c r="F1496" s="3">
        <v>11460878.689999999</v>
      </c>
      <c r="G1496">
        <v>3695915.09</v>
      </c>
      <c r="H1496">
        <v>7764963.5999999996</v>
      </c>
      <c r="I1496">
        <v>2.58</v>
      </c>
      <c r="J1496">
        <v>4.99</v>
      </c>
      <c r="K1496" t="str">
        <f t="shared" si="23"/>
        <v>Nov 2023</v>
      </c>
    </row>
    <row r="1497" spans="1:11" x14ac:dyDescent="0.25">
      <c r="A1497" s="6">
        <v>44534</v>
      </c>
      <c r="B1497" t="s">
        <v>19</v>
      </c>
      <c r="C1497" t="s">
        <v>24</v>
      </c>
      <c r="D1497" t="s">
        <v>17</v>
      </c>
      <c r="E1497">
        <v>485</v>
      </c>
      <c r="F1497" s="3">
        <v>37638882.939999998</v>
      </c>
      <c r="G1497">
        <v>10076902.98</v>
      </c>
      <c r="H1497">
        <v>27561979.969999999</v>
      </c>
      <c r="I1497">
        <v>1.33</v>
      </c>
      <c r="J1497">
        <v>3.76</v>
      </c>
      <c r="K1497" t="str">
        <f t="shared" si="23"/>
        <v>Dec 2021</v>
      </c>
    </row>
    <row r="1498" spans="1:11" x14ac:dyDescent="0.25">
      <c r="A1498" s="6">
        <v>44922</v>
      </c>
      <c r="B1498" t="s">
        <v>19</v>
      </c>
      <c r="C1498" t="s">
        <v>21</v>
      </c>
      <c r="D1498" t="s">
        <v>17</v>
      </c>
      <c r="E1498">
        <v>310</v>
      </c>
      <c r="F1498" s="3">
        <v>20220953.550000001</v>
      </c>
      <c r="G1498">
        <v>4729541.6900000004</v>
      </c>
      <c r="H1498">
        <v>15491411.859999999</v>
      </c>
      <c r="I1498">
        <v>0.81</v>
      </c>
      <c r="J1498">
        <v>4.1399999999999997</v>
      </c>
      <c r="K1498" t="str">
        <f t="shared" si="23"/>
        <v>Dec 2022</v>
      </c>
    </row>
    <row r="1499" spans="1:11" x14ac:dyDescent="0.25">
      <c r="A1499" s="6">
        <v>44975</v>
      </c>
      <c r="B1499" t="s">
        <v>19</v>
      </c>
      <c r="C1499" t="s">
        <v>20</v>
      </c>
      <c r="D1499" t="s">
        <v>17</v>
      </c>
      <c r="E1499">
        <v>160</v>
      </c>
      <c r="F1499" s="3">
        <v>6323110.6699999999</v>
      </c>
      <c r="G1499">
        <v>1305267.05</v>
      </c>
      <c r="H1499">
        <v>5017843.63</v>
      </c>
      <c r="I1499">
        <v>1.83</v>
      </c>
      <c r="J1499">
        <v>4.6500000000000004</v>
      </c>
      <c r="K1499" t="str">
        <f t="shared" si="23"/>
        <v>Feb 2023</v>
      </c>
    </row>
    <row r="1500" spans="1:11" x14ac:dyDescent="0.25">
      <c r="A1500" s="6">
        <v>45014</v>
      </c>
      <c r="B1500" t="s">
        <v>19</v>
      </c>
      <c r="C1500" t="s">
        <v>21</v>
      </c>
      <c r="D1500" t="s">
        <v>17</v>
      </c>
      <c r="E1500">
        <v>458</v>
      </c>
      <c r="F1500" s="3">
        <v>40615209.5</v>
      </c>
      <c r="G1500">
        <v>10825168.560000001</v>
      </c>
      <c r="H1500">
        <v>29790040.949999999</v>
      </c>
      <c r="I1500">
        <v>0.55000000000000004</v>
      </c>
      <c r="J1500">
        <v>3.88</v>
      </c>
      <c r="K1500" t="str">
        <f t="shared" si="23"/>
        <v>Mar 2023</v>
      </c>
    </row>
    <row r="1501" spans="1:11" x14ac:dyDescent="0.25">
      <c r="A1501" s="6">
        <v>44368</v>
      </c>
      <c r="B1501" t="s">
        <v>19</v>
      </c>
      <c r="C1501" t="s">
        <v>23</v>
      </c>
      <c r="D1501" t="s">
        <v>12</v>
      </c>
      <c r="E1501">
        <v>373</v>
      </c>
      <c r="F1501" s="3">
        <v>28946612.010000002</v>
      </c>
      <c r="G1501">
        <v>7850875.4800000004</v>
      </c>
      <c r="H1501">
        <v>21095736.530000001</v>
      </c>
      <c r="I1501">
        <v>2.89</v>
      </c>
      <c r="J1501">
        <v>3.56</v>
      </c>
      <c r="K1501" t="str">
        <f t="shared" si="23"/>
        <v>Jun 2021</v>
      </c>
    </row>
    <row r="1502" spans="1:11" x14ac:dyDescent="0.25">
      <c r="A1502" s="6">
        <v>44618</v>
      </c>
      <c r="B1502" t="s">
        <v>19</v>
      </c>
      <c r="C1502" t="s">
        <v>20</v>
      </c>
      <c r="D1502" t="s">
        <v>17</v>
      </c>
      <c r="E1502">
        <v>419</v>
      </c>
      <c r="F1502" s="3">
        <v>22090456.280000001</v>
      </c>
      <c r="G1502">
        <v>8282889.1699999999</v>
      </c>
      <c r="H1502">
        <v>13807567.109999999</v>
      </c>
      <c r="I1502">
        <v>2.63</v>
      </c>
      <c r="J1502">
        <v>3.67</v>
      </c>
      <c r="K1502" t="str">
        <f t="shared" si="23"/>
        <v>Feb 2022</v>
      </c>
    </row>
    <row r="1503" spans="1:11" x14ac:dyDescent="0.25">
      <c r="A1503" s="6">
        <v>43927</v>
      </c>
      <c r="B1503" t="s">
        <v>19</v>
      </c>
      <c r="C1503" t="s">
        <v>20</v>
      </c>
      <c r="D1503" t="s">
        <v>12</v>
      </c>
      <c r="E1503">
        <v>318</v>
      </c>
      <c r="F1503" s="3">
        <v>21316572.289999999</v>
      </c>
      <c r="G1503">
        <v>5337357.72</v>
      </c>
      <c r="H1503">
        <v>15979214.58</v>
      </c>
      <c r="I1503">
        <v>4.1500000000000004</v>
      </c>
      <c r="J1503">
        <v>4.4800000000000004</v>
      </c>
      <c r="K1503" t="str">
        <f t="shared" si="23"/>
        <v>Apr 2020</v>
      </c>
    </row>
    <row r="1504" spans="1:11" x14ac:dyDescent="0.25">
      <c r="A1504" s="6">
        <v>44738</v>
      </c>
      <c r="B1504" t="s">
        <v>19</v>
      </c>
      <c r="C1504" t="s">
        <v>23</v>
      </c>
      <c r="D1504" t="s">
        <v>17</v>
      </c>
      <c r="E1504">
        <v>60</v>
      </c>
      <c r="F1504" s="3">
        <v>2244327.5699999998</v>
      </c>
      <c r="G1504">
        <v>847993.15</v>
      </c>
      <c r="H1504">
        <v>1396334.41</v>
      </c>
      <c r="I1504">
        <v>3.19</v>
      </c>
      <c r="J1504">
        <v>3.64</v>
      </c>
      <c r="K1504" t="str">
        <f t="shared" si="23"/>
        <v>Jun 2022</v>
      </c>
    </row>
    <row r="1505" spans="1:11" x14ac:dyDescent="0.25">
      <c r="A1505" s="6">
        <v>44663</v>
      </c>
      <c r="B1505" t="s">
        <v>19</v>
      </c>
      <c r="C1505" t="s">
        <v>20</v>
      </c>
      <c r="D1505" t="s">
        <v>17</v>
      </c>
      <c r="E1505">
        <v>364</v>
      </c>
      <c r="F1505" s="3">
        <v>23752840.649999999</v>
      </c>
      <c r="G1505">
        <v>7654814.6600000001</v>
      </c>
      <c r="H1505">
        <v>16098025.99</v>
      </c>
      <c r="I1505">
        <v>1.24</v>
      </c>
      <c r="J1505">
        <v>3.91</v>
      </c>
      <c r="K1505" t="str">
        <f t="shared" si="23"/>
        <v>Apr 2022</v>
      </c>
    </row>
    <row r="1506" spans="1:11" x14ac:dyDescent="0.25">
      <c r="A1506" s="6">
        <v>44933</v>
      </c>
      <c r="B1506" t="s">
        <v>19</v>
      </c>
      <c r="C1506" t="s">
        <v>21</v>
      </c>
      <c r="D1506" t="s">
        <v>12</v>
      </c>
      <c r="E1506">
        <v>262</v>
      </c>
      <c r="F1506" s="3">
        <v>18910904.59</v>
      </c>
      <c r="G1506">
        <v>5688219.1699999999</v>
      </c>
      <c r="H1506">
        <v>13222685.42</v>
      </c>
      <c r="I1506">
        <v>0.56000000000000005</v>
      </c>
      <c r="J1506">
        <v>4.99</v>
      </c>
      <c r="K1506" t="str">
        <f t="shared" si="23"/>
        <v>Jan 2023</v>
      </c>
    </row>
    <row r="1507" spans="1:11" x14ac:dyDescent="0.25">
      <c r="A1507" s="6">
        <v>45256</v>
      </c>
      <c r="B1507" t="s">
        <v>19</v>
      </c>
      <c r="C1507" t="s">
        <v>20</v>
      </c>
      <c r="D1507" t="s">
        <v>14</v>
      </c>
      <c r="E1507">
        <v>171</v>
      </c>
      <c r="F1507" s="3">
        <v>13658980.960000001</v>
      </c>
      <c r="G1507">
        <v>3110505.11</v>
      </c>
      <c r="H1507">
        <v>10548475.85</v>
      </c>
      <c r="I1507">
        <v>4.3099999999999996</v>
      </c>
      <c r="J1507">
        <v>4.88</v>
      </c>
      <c r="K1507" t="str">
        <f t="shared" si="23"/>
        <v>Nov 2023</v>
      </c>
    </row>
    <row r="1508" spans="1:11" x14ac:dyDescent="0.25">
      <c r="A1508" s="6">
        <v>44416</v>
      </c>
      <c r="B1508" t="s">
        <v>19</v>
      </c>
      <c r="C1508" t="s">
        <v>23</v>
      </c>
      <c r="D1508" t="s">
        <v>12</v>
      </c>
      <c r="E1508">
        <v>67</v>
      </c>
      <c r="F1508" s="3">
        <v>4688920.76</v>
      </c>
      <c r="G1508">
        <v>1668258.58</v>
      </c>
      <c r="H1508">
        <v>3020662.19</v>
      </c>
      <c r="I1508">
        <v>4.9000000000000004</v>
      </c>
      <c r="J1508">
        <v>4.62</v>
      </c>
      <c r="K1508" t="str">
        <f t="shared" si="23"/>
        <v>Aug 2021</v>
      </c>
    </row>
    <row r="1509" spans="1:11" x14ac:dyDescent="0.25">
      <c r="A1509" s="6">
        <v>44414</v>
      </c>
      <c r="B1509" t="s">
        <v>19</v>
      </c>
      <c r="C1509" t="s">
        <v>22</v>
      </c>
      <c r="D1509" t="s">
        <v>17</v>
      </c>
      <c r="E1509">
        <v>287</v>
      </c>
      <c r="F1509" s="3">
        <v>22301222.940000001</v>
      </c>
      <c r="G1509">
        <v>5993846.8899999997</v>
      </c>
      <c r="H1509">
        <v>16307376.050000001</v>
      </c>
      <c r="I1509">
        <v>1.3</v>
      </c>
      <c r="J1509">
        <v>4.32</v>
      </c>
      <c r="K1509" t="str">
        <f t="shared" si="23"/>
        <v>Aug 2021</v>
      </c>
    </row>
    <row r="1510" spans="1:11" x14ac:dyDescent="0.25">
      <c r="A1510" s="6">
        <v>45510</v>
      </c>
      <c r="B1510" t="s">
        <v>19</v>
      </c>
      <c r="C1510" t="s">
        <v>20</v>
      </c>
      <c r="D1510" t="s">
        <v>14</v>
      </c>
      <c r="E1510">
        <v>284</v>
      </c>
      <c r="F1510" s="3">
        <v>14146954.880000001</v>
      </c>
      <c r="G1510">
        <v>4132166.45</v>
      </c>
      <c r="H1510">
        <v>10014788.43</v>
      </c>
      <c r="I1510">
        <v>3.78</v>
      </c>
      <c r="J1510">
        <v>3.66</v>
      </c>
      <c r="K1510" t="str">
        <f t="shared" si="23"/>
        <v>Aug 2024</v>
      </c>
    </row>
    <row r="1511" spans="1:11" x14ac:dyDescent="0.25">
      <c r="A1511" s="6">
        <v>45155</v>
      </c>
      <c r="B1511" t="s">
        <v>19</v>
      </c>
      <c r="C1511" t="s">
        <v>23</v>
      </c>
      <c r="D1511" t="s">
        <v>17</v>
      </c>
      <c r="E1511">
        <v>262</v>
      </c>
      <c r="F1511" s="3">
        <v>19631370.5</v>
      </c>
      <c r="G1511">
        <v>4641698.84</v>
      </c>
      <c r="H1511">
        <v>14989671.66</v>
      </c>
      <c r="I1511">
        <v>1.46</v>
      </c>
      <c r="J1511">
        <v>4.26</v>
      </c>
      <c r="K1511" t="str">
        <f t="shared" si="23"/>
        <v>Aug 2023</v>
      </c>
    </row>
    <row r="1512" spans="1:11" x14ac:dyDescent="0.25">
      <c r="A1512" s="6">
        <v>45410</v>
      </c>
      <c r="B1512" t="s">
        <v>19</v>
      </c>
      <c r="C1512" t="s">
        <v>20</v>
      </c>
      <c r="D1512" t="s">
        <v>17</v>
      </c>
      <c r="E1512">
        <v>137</v>
      </c>
      <c r="F1512" s="3">
        <v>7374860.7000000002</v>
      </c>
      <c r="G1512">
        <v>2340166.5299999998</v>
      </c>
      <c r="H1512">
        <v>5034694.16</v>
      </c>
      <c r="I1512">
        <v>3.91</v>
      </c>
      <c r="J1512">
        <v>4.62</v>
      </c>
      <c r="K1512" t="str">
        <f t="shared" si="23"/>
        <v>Apr 2024</v>
      </c>
    </row>
    <row r="1513" spans="1:11" x14ac:dyDescent="0.25">
      <c r="A1513" s="6">
        <v>44105</v>
      </c>
      <c r="B1513" t="s">
        <v>19</v>
      </c>
      <c r="C1513" t="s">
        <v>20</v>
      </c>
      <c r="D1513" t="s">
        <v>14</v>
      </c>
      <c r="E1513">
        <v>52</v>
      </c>
      <c r="F1513" s="3">
        <v>2670988.5699999998</v>
      </c>
      <c r="G1513">
        <v>766561.97</v>
      </c>
      <c r="H1513">
        <v>1904426.6</v>
      </c>
      <c r="I1513">
        <v>3.6</v>
      </c>
      <c r="J1513">
        <v>4.8099999999999996</v>
      </c>
      <c r="K1513" t="str">
        <f t="shared" si="23"/>
        <v>Oct 2020</v>
      </c>
    </row>
    <row r="1514" spans="1:11" x14ac:dyDescent="0.25">
      <c r="A1514" s="6">
        <v>44291</v>
      </c>
      <c r="B1514" t="s">
        <v>19</v>
      </c>
      <c r="C1514" t="s">
        <v>22</v>
      </c>
      <c r="D1514" t="s">
        <v>12</v>
      </c>
      <c r="E1514">
        <v>416</v>
      </c>
      <c r="F1514" s="3">
        <v>34628927.539999999</v>
      </c>
      <c r="G1514">
        <v>10847161.720000001</v>
      </c>
      <c r="H1514">
        <v>23781765.829999998</v>
      </c>
      <c r="I1514">
        <v>1.22</v>
      </c>
      <c r="J1514">
        <v>4.34</v>
      </c>
      <c r="K1514" t="str">
        <f t="shared" si="23"/>
        <v>Apr 2021</v>
      </c>
    </row>
    <row r="1515" spans="1:11" x14ac:dyDescent="0.25">
      <c r="A1515" s="6">
        <v>43967</v>
      </c>
      <c r="B1515" t="s">
        <v>19</v>
      </c>
      <c r="C1515" t="s">
        <v>24</v>
      </c>
      <c r="D1515" t="s">
        <v>17</v>
      </c>
      <c r="E1515">
        <v>121</v>
      </c>
      <c r="F1515" s="3">
        <v>5876647.8399999999</v>
      </c>
      <c r="G1515">
        <v>1496827.2</v>
      </c>
      <c r="H1515">
        <v>4379820.6399999997</v>
      </c>
      <c r="I1515">
        <v>4.96</v>
      </c>
      <c r="J1515">
        <v>3.65</v>
      </c>
      <c r="K1515" t="str">
        <f t="shared" si="23"/>
        <v>May 2020</v>
      </c>
    </row>
    <row r="1516" spans="1:11" x14ac:dyDescent="0.25">
      <c r="A1516" s="6">
        <v>44216</v>
      </c>
      <c r="B1516" t="s">
        <v>19</v>
      </c>
      <c r="C1516" t="s">
        <v>22</v>
      </c>
      <c r="D1516" t="s">
        <v>12</v>
      </c>
      <c r="E1516">
        <v>273</v>
      </c>
      <c r="F1516" s="3">
        <v>22765444.539999999</v>
      </c>
      <c r="G1516">
        <v>6112247.25</v>
      </c>
      <c r="H1516">
        <v>16653197.289999999</v>
      </c>
      <c r="I1516">
        <v>1.9</v>
      </c>
      <c r="J1516">
        <v>4.6100000000000003</v>
      </c>
      <c r="K1516" t="str">
        <f t="shared" si="23"/>
        <v>Jan 2021</v>
      </c>
    </row>
    <row r="1517" spans="1:11" x14ac:dyDescent="0.25">
      <c r="A1517" s="6">
        <v>44347</v>
      </c>
      <c r="B1517" t="s">
        <v>19</v>
      </c>
      <c r="C1517" t="s">
        <v>22</v>
      </c>
      <c r="D1517" t="s">
        <v>14</v>
      </c>
      <c r="E1517">
        <v>351</v>
      </c>
      <c r="F1517" s="3">
        <v>24176599.120000001</v>
      </c>
      <c r="G1517">
        <v>8761479.9199999999</v>
      </c>
      <c r="H1517">
        <v>15415119.199999999</v>
      </c>
      <c r="I1517">
        <v>2.1</v>
      </c>
      <c r="J1517">
        <v>4.68</v>
      </c>
      <c r="K1517" t="str">
        <f t="shared" si="23"/>
        <v>May 2021</v>
      </c>
    </row>
    <row r="1518" spans="1:11" x14ac:dyDescent="0.25">
      <c r="A1518" s="6">
        <v>44064</v>
      </c>
      <c r="B1518" t="s">
        <v>19</v>
      </c>
      <c r="C1518" t="s">
        <v>20</v>
      </c>
      <c r="D1518" t="s">
        <v>17</v>
      </c>
      <c r="E1518">
        <v>469</v>
      </c>
      <c r="F1518" s="3">
        <v>16549897.880000001</v>
      </c>
      <c r="G1518">
        <v>4101095.28</v>
      </c>
      <c r="H1518">
        <v>12448802.6</v>
      </c>
      <c r="I1518">
        <v>0.66</v>
      </c>
      <c r="J1518">
        <v>4.62</v>
      </c>
      <c r="K1518" t="str">
        <f t="shared" si="23"/>
        <v>Aug 2020</v>
      </c>
    </row>
    <row r="1519" spans="1:11" x14ac:dyDescent="0.25">
      <c r="A1519" s="6">
        <v>45499</v>
      </c>
      <c r="B1519" t="s">
        <v>19</v>
      </c>
      <c r="C1519" t="s">
        <v>21</v>
      </c>
      <c r="D1519" t="s">
        <v>12</v>
      </c>
      <c r="E1519">
        <v>63</v>
      </c>
      <c r="F1519" s="3">
        <v>4802175.0999999996</v>
      </c>
      <c r="G1519">
        <v>1192210.67</v>
      </c>
      <c r="H1519">
        <v>3609964.44</v>
      </c>
      <c r="I1519">
        <v>3.55</v>
      </c>
      <c r="J1519">
        <v>4.63</v>
      </c>
      <c r="K1519" t="str">
        <f t="shared" si="23"/>
        <v>Jul 2024</v>
      </c>
    </row>
    <row r="1520" spans="1:11" x14ac:dyDescent="0.25">
      <c r="A1520" s="6">
        <v>45381</v>
      </c>
      <c r="B1520" t="s">
        <v>19</v>
      </c>
      <c r="C1520" t="s">
        <v>22</v>
      </c>
      <c r="D1520" t="s">
        <v>12</v>
      </c>
      <c r="E1520">
        <v>272</v>
      </c>
      <c r="F1520" s="3">
        <v>14091839.060000001</v>
      </c>
      <c r="G1520">
        <v>3166011.34</v>
      </c>
      <c r="H1520">
        <v>10925827.73</v>
      </c>
      <c r="I1520">
        <v>4.9800000000000004</v>
      </c>
      <c r="J1520">
        <v>4.05</v>
      </c>
      <c r="K1520" t="str">
        <f t="shared" si="23"/>
        <v>Mar 2024</v>
      </c>
    </row>
    <row r="1521" spans="1:11" x14ac:dyDescent="0.25">
      <c r="A1521" s="6">
        <v>44650</v>
      </c>
      <c r="B1521" t="s">
        <v>19</v>
      </c>
      <c r="C1521" t="s">
        <v>23</v>
      </c>
      <c r="D1521" t="s">
        <v>12</v>
      </c>
      <c r="E1521">
        <v>430</v>
      </c>
      <c r="F1521" s="3">
        <v>30265586.5</v>
      </c>
      <c r="G1521">
        <v>7382383.2199999997</v>
      </c>
      <c r="H1521">
        <v>22883203.289999999</v>
      </c>
      <c r="I1521">
        <v>1.48</v>
      </c>
      <c r="J1521">
        <v>3.71</v>
      </c>
      <c r="K1521" t="str">
        <f t="shared" si="23"/>
        <v>Mar 2022</v>
      </c>
    </row>
    <row r="1522" spans="1:11" x14ac:dyDescent="0.25">
      <c r="A1522" s="6">
        <v>44128</v>
      </c>
      <c r="B1522" t="s">
        <v>19</v>
      </c>
      <c r="C1522" t="s">
        <v>20</v>
      </c>
      <c r="D1522" t="s">
        <v>14</v>
      </c>
      <c r="E1522">
        <v>279</v>
      </c>
      <c r="F1522" s="3">
        <v>16096682.15</v>
      </c>
      <c r="G1522">
        <v>4199244.0199999996</v>
      </c>
      <c r="H1522">
        <v>11897438.130000001</v>
      </c>
      <c r="I1522">
        <v>0.51</v>
      </c>
      <c r="J1522">
        <v>4.43</v>
      </c>
      <c r="K1522" t="str">
        <f t="shared" si="23"/>
        <v>Oct 2020</v>
      </c>
    </row>
    <row r="1523" spans="1:11" x14ac:dyDescent="0.25">
      <c r="A1523" s="6">
        <v>44094</v>
      </c>
      <c r="B1523" t="s">
        <v>19</v>
      </c>
      <c r="C1523" t="s">
        <v>23</v>
      </c>
      <c r="D1523" t="s">
        <v>17</v>
      </c>
      <c r="E1523">
        <v>309</v>
      </c>
      <c r="F1523" s="3">
        <v>13896521.16</v>
      </c>
      <c r="G1523">
        <v>4481145.5999999996</v>
      </c>
      <c r="H1523">
        <v>9415375.5600000005</v>
      </c>
      <c r="I1523">
        <v>2.31</v>
      </c>
      <c r="J1523">
        <v>4.8099999999999996</v>
      </c>
      <c r="K1523" t="str">
        <f t="shared" si="23"/>
        <v>Sep 2020</v>
      </c>
    </row>
    <row r="1524" spans="1:11" x14ac:dyDescent="0.25">
      <c r="A1524" s="6">
        <v>45420</v>
      </c>
      <c r="B1524" t="s">
        <v>19</v>
      </c>
      <c r="C1524" t="s">
        <v>23</v>
      </c>
      <c r="D1524" t="s">
        <v>14</v>
      </c>
      <c r="E1524">
        <v>270</v>
      </c>
      <c r="F1524" s="3">
        <v>18988534.059999999</v>
      </c>
      <c r="G1524">
        <v>7349118.6900000004</v>
      </c>
      <c r="H1524">
        <v>11639415.369999999</v>
      </c>
      <c r="I1524">
        <v>3.11</v>
      </c>
      <c r="J1524">
        <v>4.34</v>
      </c>
      <c r="K1524" t="str">
        <f t="shared" si="23"/>
        <v>May 2024</v>
      </c>
    </row>
    <row r="1525" spans="1:11" x14ac:dyDescent="0.25">
      <c r="A1525" s="6">
        <v>45495</v>
      </c>
      <c r="B1525" t="s">
        <v>19</v>
      </c>
      <c r="C1525" t="s">
        <v>22</v>
      </c>
      <c r="D1525" t="s">
        <v>12</v>
      </c>
      <c r="E1525">
        <v>437</v>
      </c>
      <c r="F1525" s="3">
        <v>16564143.189999999</v>
      </c>
      <c r="G1525">
        <v>5013642.6100000003</v>
      </c>
      <c r="H1525">
        <v>11550500.58</v>
      </c>
      <c r="I1525">
        <v>3.2</v>
      </c>
      <c r="J1525">
        <v>4.4000000000000004</v>
      </c>
      <c r="K1525" t="str">
        <f t="shared" si="23"/>
        <v>Jul 2024</v>
      </c>
    </row>
    <row r="1526" spans="1:11" x14ac:dyDescent="0.25">
      <c r="A1526" s="6">
        <v>45388</v>
      </c>
      <c r="B1526" t="s">
        <v>19</v>
      </c>
      <c r="C1526" t="s">
        <v>20</v>
      </c>
      <c r="D1526" t="s">
        <v>14</v>
      </c>
      <c r="E1526">
        <v>237</v>
      </c>
      <c r="F1526" s="3">
        <v>19049519.059999999</v>
      </c>
      <c r="G1526">
        <v>5721501.4000000004</v>
      </c>
      <c r="H1526">
        <v>13328017.66</v>
      </c>
      <c r="I1526">
        <v>0.85</v>
      </c>
      <c r="J1526">
        <v>3.59</v>
      </c>
      <c r="K1526" t="str">
        <f t="shared" si="23"/>
        <v>Apr 2024</v>
      </c>
    </row>
    <row r="1527" spans="1:11" x14ac:dyDescent="0.25">
      <c r="A1527" s="6">
        <v>43850</v>
      </c>
      <c r="B1527" t="s">
        <v>19</v>
      </c>
      <c r="C1527" t="s">
        <v>22</v>
      </c>
      <c r="D1527" t="s">
        <v>14</v>
      </c>
      <c r="E1527">
        <v>158</v>
      </c>
      <c r="F1527" s="3">
        <v>12012090.060000001</v>
      </c>
      <c r="G1527">
        <v>2445735.5499999998</v>
      </c>
      <c r="H1527">
        <v>9566354.5099999998</v>
      </c>
      <c r="I1527">
        <v>1.44</v>
      </c>
      <c r="J1527">
        <v>4.74</v>
      </c>
      <c r="K1527" t="str">
        <f t="shared" si="23"/>
        <v>Jan 2020</v>
      </c>
    </row>
    <row r="1528" spans="1:11" x14ac:dyDescent="0.25">
      <c r="A1528" s="6">
        <v>44172</v>
      </c>
      <c r="B1528" t="s">
        <v>19</v>
      </c>
      <c r="C1528" t="s">
        <v>24</v>
      </c>
      <c r="D1528" t="s">
        <v>14</v>
      </c>
      <c r="E1528">
        <v>68</v>
      </c>
      <c r="F1528" s="3">
        <v>4026344.25</v>
      </c>
      <c r="G1528">
        <v>1491798.77</v>
      </c>
      <c r="H1528">
        <v>2534545.48</v>
      </c>
      <c r="I1528">
        <v>1.98</v>
      </c>
      <c r="J1528">
        <v>4.1500000000000004</v>
      </c>
      <c r="K1528" t="str">
        <f t="shared" si="23"/>
        <v>Dec 2020</v>
      </c>
    </row>
    <row r="1529" spans="1:11" x14ac:dyDescent="0.25">
      <c r="A1529" s="6">
        <v>44191</v>
      </c>
      <c r="B1529" t="s">
        <v>19</v>
      </c>
      <c r="C1529" t="s">
        <v>24</v>
      </c>
      <c r="D1529" t="s">
        <v>17</v>
      </c>
      <c r="E1529">
        <v>195</v>
      </c>
      <c r="F1529" s="3">
        <v>10808500.970000001</v>
      </c>
      <c r="G1529">
        <v>4188202.84</v>
      </c>
      <c r="H1529">
        <v>6620298.1299999999</v>
      </c>
      <c r="I1529">
        <v>4.1100000000000003</v>
      </c>
      <c r="J1529">
        <v>4.6500000000000004</v>
      </c>
      <c r="K1529" t="str">
        <f t="shared" si="23"/>
        <v>Dec 2020</v>
      </c>
    </row>
    <row r="1530" spans="1:11" x14ac:dyDescent="0.25">
      <c r="A1530" s="6">
        <v>44408</v>
      </c>
      <c r="B1530" t="s">
        <v>19</v>
      </c>
      <c r="C1530" t="s">
        <v>23</v>
      </c>
      <c r="D1530" t="s">
        <v>14</v>
      </c>
      <c r="E1530">
        <v>362</v>
      </c>
      <c r="F1530" s="3">
        <v>31248286.43</v>
      </c>
      <c r="G1530">
        <v>8483502.2899999991</v>
      </c>
      <c r="H1530">
        <v>22764784.140000001</v>
      </c>
      <c r="I1530">
        <v>2.4</v>
      </c>
      <c r="J1530">
        <v>4.45</v>
      </c>
      <c r="K1530" t="str">
        <f t="shared" si="23"/>
        <v>Jul 2021</v>
      </c>
    </row>
    <row r="1531" spans="1:11" x14ac:dyDescent="0.25">
      <c r="A1531" s="6">
        <v>45313</v>
      </c>
      <c r="B1531" t="s">
        <v>19</v>
      </c>
      <c r="C1531" t="s">
        <v>22</v>
      </c>
      <c r="D1531" t="s">
        <v>14</v>
      </c>
      <c r="E1531">
        <v>289</v>
      </c>
      <c r="F1531" s="3">
        <v>12948322.960000001</v>
      </c>
      <c r="G1531">
        <v>3403049.05</v>
      </c>
      <c r="H1531">
        <v>9545273.9100000001</v>
      </c>
      <c r="I1531">
        <v>4.96</v>
      </c>
      <c r="J1531">
        <v>4.62</v>
      </c>
      <c r="K1531" t="str">
        <f t="shared" si="23"/>
        <v>Jan 2024</v>
      </c>
    </row>
    <row r="1532" spans="1:11" x14ac:dyDescent="0.25">
      <c r="A1532" s="6">
        <v>45435</v>
      </c>
      <c r="B1532" t="s">
        <v>19</v>
      </c>
      <c r="C1532" t="s">
        <v>24</v>
      </c>
      <c r="D1532" t="s">
        <v>17</v>
      </c>
      <c r="E1532">
        <v>408</v>
      </c>
      <c r="F1532" s="3">
        <v>27112813.77</v>
      </c>
      <c r="G1532">
        <v>7657909.2599999998</v>
      </c>
      <c r="H1532">
        <v>19454904.5</v>
      </c>
      <c r="I1532">
        <v>1.33</v>
      </c>
      <c r="J1532">
        <v>4.04</v>
      </c>
      <c r="K1532" t="str">
        <f t="shared" si="23"/>
        <v>May 2024</v>
      </c>
    </row>
    <row r="1533" spans="1:11" x14ac:dyDescent="0.25">
      <c r="A1533" s="6">
        <v>44761</v>
      </c>
      <c r="B1533" t="s">
        <v>19</v>
      </c>
      <c r="C1533" t="s">
        <v>21</v>
      </c>
      <c r="D1533" t="s">
        <v>14</v>
      </c>
      <c r="E1533">
        <v>99</v>
      </c>
      <c r="F1533" s="3">
        <v>4365026.43</v>
      </c>
      <c r="G1533">
        <v>1134686.9099999999</v>
      </c>
      <c r="H1533">
        <v>3230339.52</v>
      </c>
      <c r="I1533">
        <v>3.14</v>
      </c>
      <c r="J1533">
        <v>4.38</v>
      </c>
      <c r="K1533" t="str">
        <f t="shared" si="23"/>
        <v>Jul 2022</v>
      </c>
    </row>
    <row r="1534" spans="1:11" x14ac:dyDescent="0.25">
      <c r="A1534" s="6">
        <v>44056</v>
      </c>
      <c r="B1534" t="s">
        <v>19</v>
      </c>
      <c r="C1534" t="s">
        <v>21</v>
      </c>
      <c r="D1534" t="s">
        <v>14</v>
      </c>
      <c r="E1534">
        <v>247</v>
      </c>
      <c r="F1534" s="3">
        <v>15683100.039999999</v>
      </c>
      <c r="G1534">
        <v>5336251.4000000004</v>
      </c>
      <c r="H1534">
        <v>10346848.630000001</v>
      </c>
      <c r="I1534">
        <v>4.7300000000000004</v>
      </c>
      <c r="J1534">
        <v>3.89</v>
      </c>
      <c r="K1534" t="str">
        <f t="shared" si="23"/>
        <v>Aug 2020</v>
      </c>
    </row>
    <row r="1535" spans="1:11" x14ac:dyDescent="0.25">
      <c r="A1535" s="6">
        <v>45091</v>
      </c>
      <c r="B1535" t="s">
        <v>19</v>
      </c>
      <c r="C1535" t="s">
        <v>20</v>
      </c>
      <c r="D1535" t="s">
        <v>14</v>
      </c>
      <c r="E1535">
        <v>351</v>
      </c>
      <c r="F1535" s="3">
        <v>16639075.369999999</v>
      </c>
      <c r="G1535">
        <v>5401329.5099999998</v>
      </c>
      <c r="H1535">
        <v>11237745.859999999</v>
      </c>
      <c r="I1535">
        <v>2.58</v>
      </c>
      <c r="J1535">
        <v>4.22</v>
      </c>
      <c r="K1535" t="str">
        <f t="shared" si="23"/>
        <v>Jun 2023</v>
      </c>
    </row>
    <row r="1536" spans="1:11" x14ac:dyDescent="0.25">
      <c r="A1536" s="6">
        <v>45094</v>
      </c>
      <c r="B1536" t="s">
        <v>19</v>
      </c>
      <c r="C1536" t="s">
        <v>23</v>
      </c>
      <c r="D1536" t="s">
        <v>17</v>
      </c>
      <c r="E1536">
        <v>454</v>
      </c>
      <c r="F1536" s="3">
        <v>27330926.559999999</v>
      </c>
      <c r="G1536">
        <v>8292373.2699999996</v>
      </c>
      <c r="H1536">
        <v>19038553.289999999</v>
      </c>
      <c r="I1536">
        <v>1.1000000000000001</v>
      </c>
      <c r="J1536">
        <v>3.62</v>
      </c>
      <c r="K1536" t="str">
        <f t="shared" si="23"/>
        <v>Jun 2023</v>
      </c>
    </row>
    <row r="1537" spans="1:11" x14ac:dyDescent="0.25">
      <c r="A1537" s="6">
        <v>44638</v>
      </c>
      <c r="B1537" t="s">
        <v>19</v>
      </c>
      <c r="C1537" t="s">
        <v>24</v>
      </c>
      <c r="D1537" t="s">
        <v>12</v>
      </c>
      <c r="E1537">
        <v>280</v>
      </c>
      <c r="F1537" s="3">
        <v>23720265.289999999</v>
      </c>
      <c r="G1537">
        <v>5173910.79</v>
      </c>
      <c r="H1537">
        <v>18546354.489999998</v>
      </c>
      <c r="I1537">
        <v>4.01</v>
      </c>
      <c r="J1537">
        <v>3.51</v>
      </c>
      <c r="K1537" t="str">
        <f t="shared" si="23"/>
        <v>Mar 2022</v>
      </c>
    </row>
    <row r="1538" spans="1:11" x14ac:dyDescent="0.25">
      <c r="A1538" s="6">
        <v>43900</v>
      </c>
      <c r="B1538" t="s">
        <v>19</v>
      </c>
      <c r="C1538" t="s">
        <v>24</v>
      </c>
      <c r="D1538" t="s">
        <v>17</v>
      </c>
      <c r="E1538">
        <v>346</v>
      </c>
      <c r="F1538" s="3">
        <v>15134022.43</v>
      </c>
      <c r="G1538">
        <v>4206576.75</v>
      </c>
      <c r="H1538">
        <v>10927445.68</v>
      </c>
      <c r="I1538">
        <v>1.1100000000000001</v>
      </c>
      <c r="J1538">
        <v>4.63</v>
      </c>
      <c r="K1538" t="str">
        <f t="shared" ref="K1538:K1601" si="24">TEXT(A1538,"mmm yyyy")</f>
        <v>Mar 2020</v>
      </c>
    </row>
    <row r="1539" spans="1:11" x14ac:dyDescent="0.25">
      <c r="A1539" s="6">
        <v>45237</v>
      </c>
      <c r="B1539" t="s">
        <v>19</v>
      </c>
      <c r="C1539" t="s">
        <v>23</v>
      </c>
      <c r="D1539" t="s">
        <v>17</v>
      </c>
      <c r="E1539">
        <v>201</v>
      </c>
      <c r="F1539" s="3">
        <v>12253628.1</v>
      </c>
      <c r="G1539">
        <v>4868605.08</v>
      </c>
      <c r="H1539">
        <v>7385023.0199999996</v>
      </c>
      <c r="I1539">
        <v>1.77</v>
      </c>
      <c r="J1539">
        <v>3.57</v>
      </c>
      <c r="K1539" t="str">
        <f t="shared" si="24"/>
        <v>Nov 2023</v>
      </c>
    </row>
    <row r="1540" spans="1:11" x14ac:dyDescent="0.25">
      <c r="A1540" s="6">
        <v>45105</v>
      </c>
      <c r="B1540" t="s">
        <v>19</v>
      </c>
      <c r="C1540" t="s">
        <v>20</v>
      </c>
      <c r="D1540" t="s">
        <v>12</v>
      </c>
      <c r="E1540">
        <v>391</v>
      </c>
      <c r="F1540" s="3">
        <v>19312980.73</v>
      </c>
      <c r="G1540">
        <v>6771212.9299999997</v>
      </c>
      <c r="H1540">
        <v>12541767.789999999</v>
      </c>
      <c r="I1540">
        <v>4.58</v>
      </c>
      <c r="J1540">
        <v>3.87</v>
      </c>
      <c r="K1540" t="str">
        <f t="shared" si="24"/>
        <v>Jun 2023</v>
      </c>
    </row>
    <row r="1541" spans="1:11" x14ac:dyDescent="0.25">
      <c r="A1541" s="6">
        <v>44005</v>
      </c>
      <c r="B1541" t="s">
        <v>19</v>
      </c>
      <c r="C1541" t="s">
        <v>22</v>
      </c>
      <c r="D1541" t="s">
        <v>17</v>
      </c>
      <c r="E1541">
        <v>385</v>
      </c>
      <c r="F1541" s="3">
        <v>21335310.210000001</v>
      </c>
      <c r="G1541">
        <v>6704037.1600000001</v>
      </c>
      <c r="H1541">
        <v>14631273.050000001</v>
      </c>
      <c r="I1541">
        <v>4.3</v>
      </c>
      <c r="J1541">
        <v>3.9</v>
      </c>
      <c r="K1541" t="str">
        <f t="shared" si="24"/>
        <v>Jun 2020</v>
      </c>
    </row>
    <row r="1542" spans="1:11" x14ac:dyDescent="0.25">
      <c r="A1542" s="6">
        <v>45293</v>
      </c>
      <c r="B1542" t="s">
        <v>19</v>
      </c>
      <c r="C1542" t="s">
        <v>22</v>
      </c>
      <c r="D1542" t="s">
        <v>12</v>
      </c>
      <c r="E1542">
        <v>378</v>
      </c>
      <c r="F1542" s="3">
        <v>23366605.120000001</v>
      </c>
      <c r="G1542">
        <v>9189554.9000000004</v>
      </c>
      <c r="H1542">
        <v>14177050.210000001</v>
      </c>
      <c r="I1542">
        <v>0.78</v>
      </c>
      <c r="J1542">
        <v>4.8600000000000003</v>
      </c>
      <c r="K1542" t="str">
        <f t="shared" si="24"/>
        <v>Jan 2024</v>
      </c>
    </row>
    <row r="1543" spans="1:11" x14ac:dyDescent="0.25">
      <c r="A1543" s="6">
        <v>44599</v>
      </c>
      <c r="B1543" t="s">
        <v>19</v>
      </c>
      <c r="C1543" t="s">
        <v>20</v>
      </c>
      <c r="D1543" t="s">
        <v>12</v>
      </c>
      <c r="E1543">
        <v>490</v>
      </c>
      <c r="F1543" s="3">
        <v>26472556.059999999</v>
      </c>
      <c r="G1543">
        <v>8920247.9700000007</v>
      </c>
      <c r="H1543">
        <v>17552308.09</v>
      </c>
      <c r="I1543">
        <v>3.97</v>
      </c>
      <c r="J1543">
        <v>3.63</v>
      </c>
      <c r="K1543" t="str">
        <f t="shared" si="24"/>
        <v>Feb 2022</v>
      </c>
    </row>
    <row r="1544" spans="1:11" x14ac:dyDescent="0.25">
      <c r="A1544" s="6">
        <v>44780</v>
      </c>
      <c r="B1544" t="s">
        <v>19</v>
      </c>
      <c r="C1544" t="s">
        <v>23</v>
      </c>
      <c r="D1544" t="s">
        <v>17</v>
      </c>
      <c r="E1544">
        <v>448</v>
      </c>
      <c r="F1544" s="3">
        <v>16217728.5</v>
      </c>
      <c r="G1544">
        <v>4334059.22</v>
      </c>
      <c r="H1544">
        <v>11883669.279999999</v>
      </c>
      <c r="I1544">
        <v>4.84</v>
      </c>
      <c r="J1544">
        <v>4.34</v>
      </c>
      <c r="K1544" t="str">
        <f t="shared" si="24"/>
        <v>Aug 2022</v>
      </c>
    </row>
    <row r="1545" spans="1:11" x14ac:dyDescent="0.25">
      <c r="A1545" s="6">
        <v>45256</v>
      </c>
      <c r="B1545" t="s">
        <v>19</v>
      </c>
      <c r="C1545" t="s">
        <v>20</v>
      </c>
      <c r="D1545" t="s">
        <v>17</v>
      </c>
      <c r="E1545">
        <v>248</v>
      </c>
      <c r="F1545" s="3">
        <v>14046628.630000001</v>
      </c>
      <c r="G1545">
        <v>3292899.53</v>
      </c>
      <c r="H1545">
        <v>10753729.1</v>
      </c>
      <c r="I1545">
        <v>4.04</v>
      </c>
      <c r="J1545">
        <v>4.4400000000000004</v>
      </c>
      <c r="K1545" t="str">
        <f t="shared" si="24"/>
        <v>Nov 2023</v>
      </c>
    </row>
    <row r="1546" spans="1:11" x14ac:dyDescent="0.25">
      <c r="A1546" s="6">
        <v>44868</v>
      </c>
      <c r="B1546" t="s">
        <v>19</v>
      </c>
      <c r="C1546" t="s">
        <v>23</v>
      </c>
      <c r="D1546" t="s">
        <v>12</v>
      </c>
      <c r="E1546">
        <v>214</v>
      </c>
      <c r="F1546" s="3">
        <v>19039866.760000002</v>
      </c>
      <c r="G1546">
        <v>6639087.0599999996</v>
      </c>
      <c r="H1546">
        <v>12400779.689999999</v>
      </c>
      <c r="I1546">
        <v>3.44</v>
      </c>
      <c r="J1546">
        <v>3.8</v>
      </c>
      <c r="K1546" t="str">
        <f t="shared" si="24"/>
        <v>Nov 2022</v>
      </c>
    </row>
    <row r="1547" spans="1:11" x14ac:dyDescent="0.25">
      <c r="A1547" s="6">
        <v>45258</v>
      </c>
      <c r="B1547" t="s">
        <v>19</v>
      </c>
      <c r="C1547" t="s">
        <v>24</v>
      </c>
      <c r="D1547" t="s">
        <v>14</v>
      </c>
      <c r="E1547">
        <v>354</v>
      </c>
      <c r="F1547" s="3">
        <v>21422765.52</v>
      </c>
      <c r="G1547">
        <v>4404497.75</v>
      </c>
      <c r="H1547">
        <v>17018267.760000002</v>
      </c>
      <c r="I1547">
        <v>3.24</v>
      </c>
      <c r="J1547">
        <v>4.0199999999999996</v>
      </c>
      <c r="K1547" t="str">
        <f t="shared" si="24"/>
        <v>Nov 2023</v>
      </c>
    </row>
    <row r="1548" spans="1:11" x14ac:dyDescent="0.25">
      <c r="A1548" s="6">
        <v>45163</v>
      </c>
      <c r="B1548" t="s">
        <v>19</v>
      </c>
      <c r="C1548" t="s">
        <v>23</v>
      </c>
      <c r="D1548" t="s">
        <v>17</v>
      </c>
      <c r="E1548">
        <v>474</v>
      </c>
      <c r="F1548" s="3">
        <v>17164456.629999999</v>
      </c>
      <c r="G1548">
        <v>4394073.3</v>
      </c>
      <c r="H1548">
        <v>12770383.33</v>
      </c>
      <c r="I1548">
        <v>2.38</v>
      </c>
      <c r="J1548">
        <v>3.63</v>
      </c>
      <c r="K1548" t="str">
        <f t="shared" si="24"/>
        <v>Aug 2023</v>
      </c>
    </row>
    <row r="1549" spans="1:11" x14ac:dyDescent="0.25">
      <c r="A1549" s="6">
        <v>45553</v>
      </c>
      <c r="B1549" t="s">
        <v>19</v>
      </c>
      <c r="C1549" t="s">
        <v>22</v>
      </c>
      <c r="D1549" t="s">
        <v>12</v>
      </c>
      <c r="E1549">
        <v>135</v>
      </c>
      <c r="F1549" s="3">
        <v>8892079.1999999993</v>
      </c>
      <c r="G1549">
        <v>2626024.9900000002</v>
      </c>
      <c r="H1549">
        <v>6266054.21</v>
      </c>
      <c r="I1549">
        <v>1.02</v>
      </c>
      <c r="J1549">
        <v>4.79</v>
      </c>
      <c r="K1549" t="str">
        <f t="shared" si="24"/>
        <v>Sep 2024</v>
      </c>
    </row>
    <row r="1550" spans="1:11" x14ac:dyDescent="0.25">
      <c r="A1550" s="6">
        <v>45448</v>
      </c>
      <c r="B1550" t="s">
        <v>19</v>
      </c>
      <c r="C1550" t="s">
        <v>22</v>
      </c>
      <c r="D1550" t="s">
        <v>12</v>
      </c>
      <c r="E1550">
        <v>491</v>
      </c>
      <c r="F1550" s="3">
        <v>31836449.420000002</v>
      </c>
      <c r="G1550">
        <v>7693596.4400000004</v>
      </c>
      <c r="H1550">
        <v>24142852.98</v>
      </c>
      <c r="I1550">
        <v>2.97</v>
      </c>
      <c r="J1550">
        <v>4.42</v>
      </c>
      <c r="K1550" t="str">
        <f t="shared" si="24"/>
        <v>Jun 2024</v>
      </c>
    </row>
    <row r="1551" spans="1:11" x14ac:dyDescent="0.25">
      <c r="A1551" s="6">
        <v>44102</v>
      </c>
      <c r="B1551" t="s">
        <v>19</v>
      </c>
      <c r="C1551" t="s">
        <v>23</v>
      </c>
      <c r="D1551" t="s">
        <v>14</v>
      </c>
      <c r="E1551">
        <v>247</v>
      </c>
      <c r="F1551" s="3">
        <v>20150390.920000002</v>
      </c>
      <c r="G1551">
        <v>6332741.75</v>
      </c>
      <c r="H1551">
        <v>13817649.17</v>
      </c>
      <c r="I1551">
        <v>1.1299999999999999</v>
      </c>
      <c r="J1551">
        <v>4.5</v>
      </c>
      <c r="K1551" t="str">
        <f t="shared" si="24"/>
        <v>Sep 2020</v>
      </c>
    </row>
    <row r="1552" spans="1:11" x14ac:dyDescent="0.25">
      <c r="A1552" s="6">
        <v>44750</v>
      </c>
      <c r="B1552" t="s">
        <v>19</v>
      </c>
      <c r="C1552" t="s">
        <v>20</v>
      </c>
      <c r="D1552" t="s">
        <v>17</v>
      </c>
      <c r="E1552">
        <v>106</v>
      </c>
      <c r="F1552" s="3">
        <v>7610400.2300000004</v>
      </c>
      <c r="G1552">
        <v>2340509.2400000002</v>
      </c>
      <c r="H1552">
        <v>5269890.9800000004</v>
      </c>
      <c r="I1552">
        <v>2.35</v>
      </c>
      <c r="J1552">
        <v>4.4800000000000004</v>
      </c>
      <c r="K1552" t="str">
        <f t="shared" si="24"/>
        <v>Jul 2022</v>
      </c>
    </row>
    <row r="1553" spans="1:11" x14ac:dyDescent="0.25">
      <c r="A1553" s="6">
        <v>44103</v>
      </c>
      <c r="B1553" t="s">
        <v>19</v>
      </c>
      <c r="C1553" t="s">
        <v>20</v>
      </c>
      <c r="D1553" t="s">
        <v>17</v>
      </c>
      <c r="E1553">
        <v>135</v>
      </c>
      <c r="F1553" s="3">
        <v>6882612.6299999999</v>
      </c>
      <c r="G1553">
        <v>1669762.93</v>
      </c>
      <c r="H1553">
        <v>5212849.7</v>
      </c>
      <c r="I1553">
        <v>1</v>
      </c>
      <c r="J1553">
        <v>4.03</v>
      </c>
      <c r="K1553" t="str">
        <f t="shared" si="24"/>
        <v>Sep 2020</v>
      </c>
    </row>
    <row r="1554" spans="1:11" x14ac:dyDescent="0.25">
      <c r="A1554" s="6">
        <v>44873</v>
      </c>
      <c r="B1554" t="s">
        <v>19</v>
      </c>
      <c r="C1554" t="s">
        <v>21</v>
      </c>
      <c r="D1554" t="s">
        <v>17</v>
      </c>
      <c r="E1554">
        <v>148</v>
      </c>
      <c r="F1554" s="3">
        <v>5602926.54</v>
      </c>
      <c r="G1554">
        <v>1360078.82</v>
      </c>
      <c r="H1554">
        <v>4242847.72</v>
      </c>
      <c r="I1554">
        <v>1.41</v>
      </c>
      <c r="J1554">
        <v>3.89</v>
      </c>
      <c r="K1554" t="str">
        <f t="shared" si="24"/>
        <v>Nov 2022</v>
      </c>
    </row>
    <row r="1555" spans="1:11" x14ac:dyDescent="0.25">
      <c r="A1555" s="6">
        <v>45418</v>
      </c>
      <c r="B1555" t="s">
        <v>19</v>
      </c>
      <c r="C1555" t="s">
        <v>24</v>
      </c>
      <c r="D1555" t="s">
        <v>14</v>
      </c>
      <c r="E1555">
        <v>69</v>
      </c>
      <c r="F1555" s="3">
        <v>4482697.25</v>
      </c>
      <c r="G1555">
        <v>1113120.95</v>
      </c>
      <c r="H1555">
        <v>3369576.3</v>
      </c>
      <c r="I1555">
        <v>3.89</v>
      </c>
      <c r="J1555">
        <v>3.53</v>
      </c>
      <c r="K1555" t="str">
        <f t="shared" si="24"/>
        <v>May 2024</v>
      </c>
    </row>
    <row r="1556" spans="1:11" x14ac:dyDescent="0.25">
      <c r="A1556" s="6">
        <v>45460</v>
      </c>
      <c r="B1556" t="s">
        <v>19</v>
      </c>
      <c r="C1556" t="s">
        <v>20</v>
      </c>
      <c r="D1556" t="s">
        <v>17</v>
      </c>
      <c r="E1556">
        <v>281</v>
      </c>
      <c r="F1556" s="3">
        <v>23401863.859999999</v>
      </c>
      <c r="G1556">
        <v>5243974.58</v>
      </c>
      <c r="H1556">
        <v>18157889.280000001</v>
      </c>
      <c r="I1556">
        <v>4.42</v>
      </c>
      <c r="J1556">
        <v>3.86</v>
      </c>
      <c r="K1556" t="str">
        <f t="shared" si="24"/>
        <v>Jun 2024</v>
      </c>
    </row>
    <row r="1557" spans="1:11" x14ac:dyDescent="0.25">
      <c r="A1557" s="6">
        <v>45059</v>
      </c>
      <c r="B1557" t="s">
        <v>19</v>
      </c>
      <c r="C1557" t="s">
        <v>21</v>
      </c>
      <c r="D1557" t="s">
        <v>17</v>
      </c>
      <c r="E1557">
        <v>217</v>
      </c>
      <c r="F1557" s="3">
        <v>19350851.550000001</v>
      </c>
      <c r="G1557">
        <v>4752520.8499999996</v>
      </c>
      <c r="H1557">
        <v>14598330.689999999</v>
      </c>
      <c r="I1557">
        <v>0.62</v>
      </c>
      <c r="J1557">
        <v>3.6</v>
      </c>
      <c r="K1557" t="str">
        <f t="shared" si="24"/>
        <v>May 2023</v>
      </c>
    </row>
    <row r="1558" spans="1:11" x14ac:dyDescent="0.25">
      <c r="A1558" s="6">
        <v>44008</v>
      </c>
      <c r="B1558" t="s">
        <v>19</v>
      </c>
      <c r="C1558" t="s">
        <v>20</v>
      </c>
      <c r="D1558" t="s">
        <v>12</v>
      </c>
      <c r="E1558">
        <v>303</v>
      </c>
      <c r="F1558" s="3">
        <v>16332147.1</v>
      </c>
      <c r="G1558">
        <v>5610318.25</v>
      </c>
      <c r="H1558">
        <v>10721828.859999999</v>
      </c>
      <c r="I1558">
        <v>2.2599999999999998</v>
      </c>
      <c r="J1558">
        <v>4.7</v>
      </c>
      <c r="K1558" t="str">
        <f t="shared" si="24"/>
        <v>Jun 2020</v>
      </c>
    </row>
    <row r="1559" spans="1:11" x14ac:dyDescent="0.25">
      <c r="A1559" s="6">
        <v>45433</v>
      </c>
      <c r="B1559" t="s">
        <v>19</v>
      </c>
      <c r="C1559" t="s">
        <v>21</v>
      </c>
      <c r="D1559" t="s">
        <v>17</v>
      </c>
      <c r="E1559">
        <v>216</v>
      </c>
      <c r="F1559" s="3">
        <v>15362547.640000001</v>
      </c>
      <c r="G1559">
        <v>3619099.26</v>
      </c>
      <c r="H1559">
        <v>11743448.380000001</v>
      </c>
      <c r="I1559">
        <v>2.21</v>
      </c>
      <c r="J1559">
        <v>4.66</v>
      </c>
      <c r="K1559" t="str">
        <f t="shared" si="24"/>
        <v>May 2024</v>
      </c>
    </row>
    <row r="1560" spans="1:11" x14ac:dyDescent="0.25">
      <c r="A1560" s="6">
        <v>44979</v>
      </c>
      <c r="B1560" t="s">
        <v>19</v>
      </c>
      <c r="C1560" t="s">
        <v>21</v>
      </c>
      <c r="D1560" t="s">
        <v>17</v>
      </c>
      <c r="E1560">
        <v>356</v>
      </c>
      <c r="F1560" s="3">
        <v>16290029.57</v>
      </c>
      <c r="G1560">
        <v>5907666.2199999997</v>
      </c>
      <c r="H1560">
        <v>10382363.34</v>
      </c>
      <c r="I1560">
        <v>0.92</v>
      </c>
      <c r="J1560">
        <v>4.04</v>
      </c>
      <c r="K1560" t="str">
        <f t="shared" si="24"/>
        <v>Feb 2023</v>
      </c>
    </row>
    <row r="1561" spans="1:11" x14ac:dyDescent="0.25">
      <c r="A1561" s="6">
        <v>43902</v>
      </c>
      <c r="B1561" t="s">
        <v>19</v>
      </c>
      <c r="C1561" t="s">
        <v>20</v>
      </c>
      <c r="D1561" t="s">
        <v>17</v>
      </c>
      <c r="E1561">
        <v>346</v>
      </c>
      <c r="F1561" s="3">
        <v>23101601.75</v>
      </c>
      <c r="G1561">
        <v>6308666.6399999997</v>
      </c>
      <c r="H1561">
        <v>16792935.109999999</v>
      </c>
      <c r="I1561">
        <v>4.09</v>
      </c>
      <c r="J1561">
        <v>4.09</v>
      </c>
      <c r="K1561" t="str">
        <f t="shared" si="24"/>
        <v>Mar 2020</v>
      </c>
    </row>
    <row r="1562" spans="1:11" x14ac:dyDescent="0.25">
      <c r="A1562" s="6">
        <v>45357</v>
      </c>
      <c r="B1562" t="s">
        <v>19</v>
      </c>
      <c r="C1562" t="s">
        <v>21</v>
      </c>
      <c r="D1562" t="s">
        <v>12</v>
      </c>
      <c r="E1562">
        <v>481</v>
      </c>
      <c r="F1562" s="3">
        <v>40564022.049999997</v>
      </c>
      <c r="G1562">
        <v>12005404.85</v>
      </c>
      <c r="H1562">
        <v>28558617.199999999</v>
      </c>
      <c r="I1562">
        <v>2.5099999999999998</v>
      </c>
      <c r="J1562">
        <v>4.34</v>
      </c>
      <c r="K1562" t="str">
        <f t="shared" si="24"/>
        <v>Mar 2024</v>
      </c>
    </row>
    <row r="1563" spans="1:11" x14ac:dyDescent="0.25">
      <c r="A1563" s="6">
        <v>44340</v>
      </c>
      <c r="B1563" t="s">
        <v>19</v>
      </c>
      <c r="C1563" t="s">
        <v>23</v>
      </c>
      <c r="D1563" t="s">
        <v>14</v>
      </c>
      <c r="E1563">
        <v>435</v>
      </c>
      <c r="F1563" s="3">
        <v>22803523.120000001</v>
      </c>
      <c r="G1563">
        <v>5212067.8499999996</v>
      </c>
      <c r="H1563">
        <v>17591455.280000001</v>
      </c>
      <c r="I1563">
        <v>4.58</v>
      </c>
      <c r="J1563">
        <v>3.92</v>
      </c>
      <c r="K1563" t="str">
        <f t="shared" si="24"/>
        <v>May 2021</v>
      </c>
    </row>
    <row r="1564" spans="1:11" x14ac:dyDescent="0.25">
      <c r="A1564" s="6">
        <v>44548</v>
      </c>
      <c r="B1564" t="s">
        <v>19</v>
      </c>
      <c r="C1564" t="s">
        <v>20</v>
      </c>
      <c r="D1564" t="s">
        <v>14</v>
      </c>
      <c r="E1564">
        <v>89</v>
      </c>
      <c r="F1564" s="3">
        <v>5597015.1500000004</v>
      </c>
      <c r="G1564">
        <v>1569276.97</v>
      </c>
      <c r="H1564">
        <v>4027738.18</v>
      </c>
      <c r="I1564">
        <v>0.65</v>
      </c>
      <c r="J1564">
        <v>4.05</v>
      </c>
      <c r="K1564" t="str">
        <f t="shared" si="24"/>
        <v>Dec 2021</v>
      </c>
    </row>
    <row r="1565" spans="1:11" x14ac:dyDescent="0.25">
      <c r="A1565" s="6">
        <v>44663</v>
      </c>
      <c r="B1565" t="s">
        <v>19</v>
      </c>
      <c r="C1565" t="s">
        <v>23</v>
      </c>
      <c r="D1565" t="s">
        <v>14</v>
      </c>
      <c r="E1565">
        <v>465</v>
      </c>
      <c r="F1565" s="3">
        <v>33008532.030000001</v>
      </c>
      <c r="G1565">
        <v>12199264.99</v>
      </c>
      <c r="H1565">
        <v>20809267.039999999</v>
      </c>
      <c r="I1565">
        <v>2.48</v>
      </c>
      <c r="J1565">
        <v>4.42</v>
      </c>
      <c r="K1565" t="str">
        <f t="shared" si="24"/>
        <v>Apr 2022</v>
      </c>
    </row>
    <row r="1566" spans="1:11" x14ac:dyDescent="0.25">
      <c r="A1566" s="6">
        <v>44280</v>
      </c>
      <c r="B1566" t="s">
        <v>19</v>
      </c>
      <c r="C1566" t="s">
        <v>20</v>
      </c>
      <c r="D1566" t="s">
        <v>14</v>
      </c>
      <c r="E1566">
        <v>295</v>
      </c>
      <c r="F1566" s="3">
        <v>24227779.609999999</v>
      </c>
      <c r="G1566">
        <v>9121061.3200000003</v>
      </c>
      <c r="H1566">
        <v>15106718.289999999</v>
      </c>
      <c r="I1566">
        <v>3.83</v>
      </c>
      <c r="J1566">
        <v>3.98</v>
      </c>
      <c r="K1566" t="str">
        <f t="shared" si="24"/>
        <v>Mar 2021</v>
      </c>
    </row>
    <row r="1567" spans="1:11" x14ac:dyDescent="0.25">
      <c r="A1567" s="6">
        <v>44590</v>
      </c>
      <c r="B1567" t="s">
        <v>19</v>
      </c>
      <c r="C1567" t="s">
        <v>23</v>
      </c>
      <c r="D1567" t="s">
        <v>12</v>
      </c>
      <c r="E1567">
        <v>178</v>
      </c>
      <c r="F1567" s="3">
        <v>10319879.99</v>
      </c>
      <c r="G1567">
        <v>2096771.92</v>
      </c>
      <c r="H1567">
        <v>8223108.0700000003</v>
      </c>
      <c r="I1567">
        <v>3.51</v>
      </c>
      <c r="J1567">
        <v>4.45</v>
      </c>
      <c r="K1567" t="str">
        <f t="shared" si="24"/>
        <v>Jan 2022</v>
      </c>
    </row>
    <row r="1568" spans="1:11" x14ac:dyDescent="0.25">
      <c r="A1568" s="6">
        <v>45313</v>
      </c>
      <c r="B1568" t="s">
        <v>19</v>
      </c>
      <c r="C1568" t="s">
        <v>22</v>
      </c>
      <c r="D1568" t="s">
        <v>12</v>
      </c>
      <c r="E1568">
        <v>309</v>
      </c>
      <c r="F1568" s="3">
        <v>27760343.280000001</v>
      </c>
      <c r="G1568">
        <v>5664317.8399999999</v>
      </c>
      <c r="H1568">
        <v>22096025.440000001</v>
      </c>
      <c r="I1568">
        <v>3.45</v>
      </c>
      <c r="J1568">
        <v>3.69</v>
      </c>
      <c r="K1568" t="str">
        <f t="shared" si="24"/>
        <v>Jan 2024</v>
      </c>
    </row>
    <row r="1569" spans="1:11" x14ac:dyDescent="0.25">
      <c r="A1569" s="6">
        <v>43907</v>
      </c>
      <c r="B1569" t="s">
        <v>19</v>
      </c>
      <c r="C1569" t="s">
        <v>23</v>
      </c>
      <c r="D1569" t="s">
        <v>17</v>
      </c>
      <c r="E1569">
        <v>374</v>
      </c>
      <c r="F1569" s="3">
        <v>24604174.41</v>
      </c>
      <c r="G1569">
        <v>7246423.3099999996</v>
      </c>
      <c r="H1569">
        <v>17357751.109999999</v>
      </c>
      <c r="I1569">
        <v>3.74</v>
      </c>
      <c r="J1569">
        <v>4.84</v>
      </c>
      <c r="K1569" t="str">
        <f t="shared" si="24"/>
        <v>Mar 2020</v>
      </c>
    </row>
    <row r="1570" spans="1:11" x14ac:dyDescent="0.25">
      <c r="A1570" s="6">
        <v>43855</v>
      </c>
      <c r="B1570" t="s">
        <v>19</v>
      </c>
      <c r="C1570" t="s">
        <v>21</v>
      </c>
      <c r="D1570" t="s">
        <v>12</v>
      </c>
      <c r="E1570">
        <v>431</v>
      </c>
      <c r="F1570" s="3">
        <v>24069838.030000001</v>
      </c>
      <c r="G1570">
        <v>4941742.87</v>
      </c>
      <c r="H1570">
        <v>19128095.16</v>
      </c>
      <c r="I1570">
        <v>2.02</v>
      </c>
      <c r="J1570">
        <v>3.94</v>
      </c>
      <c r="K1570" t="str">
        <f t="shared" si="24"/>
        <v>Jan 2020</v>
      </c>
    </row>
    <row r="1571" spans="1:11" x14ac:dyDescent="0.25">
      <c r="A1571" s="6">
        <v>45604</v>
      </c>
      <c r="B1571" t="s">
        <v>19</v>
      </c>
      <c r="C1571" t="s">
        <v>21</v>
      </c>
      <c r="D1571" t="s">
        <v>14</v>
      </c>
      <c r="E1571">
        <v>483</v>
      </c>
      <c r="F1571" s="3">
        <v>19847032.449999999</v>
      </c>
      <c r="G1571">
        <v>4923721.63</v>
      </c>
      <c r="H1571">
        <v>14923310.82</v>
      </c>
      <c r="I1571">
        <v>4.95</v>
      </c>
      <c r="J1571">
        <v>4.8499999999999996</v>
      </c>
      <c r="K1571" t="str">
        <f t="shared" si="24"/>
        <v>Nov 2024</v>
      </c>
    </row>
    <row r="1572" spans="1:11" x14ac:dyDescent="0.25">
      <c r="A1572" s="6">
        <v>44245</v>
      </c>
      <c r="B1572" t="s">
        <v>19</v>
      </c>
      <c r="C1572" t="s">
        <v>24</v>
      </c>
      <c r="D1572" t="s">
        <v>17</v>
      </c>
      <c r="E1572">
        <v>413</v>
      </c>
      <c r="F1572" s="3">
        <v>24887208.949999999</v>
      </c>
      <c r="G1572">
        <v>8173963.54</v>
      </c>
      <c r="H1572">
        <v>16713245.41</v>
      </c>
      <c r="I1572">
        <v>2.72</v>
      </c>
      <c r="J1572">
        <v>4.74</v>
      </c>
      <c r="K1572" t="str">
        <f t="shared" si="24"/>
        <v>Feb 2021</v>
      </c>
    </row>
    <row r="1573" spans="1:11" x14ac:dyDescent="0.25">
      <c r="A1573" s="6">
        <v>45097</v>
      </c>
      <c r="B1573" t="s">
        <v>19</v>
      </c>
      <c r="C1573" t="s">
        <v>20</v>
      </c>
      <c r="D1573" t="s">
        <v>12</v>
      </c>
      <c r="E1573">
        <v>335</v>
      </c>
      <c r="F1573" s="3">
        <v>14926557.35</v>
      </c>
      <c r="G1573">
        <v>3845039.32</v>
      </c>
      <c r="H1573">
        <v>11081518.029999999</v>
      </c>
      <c r="I1573">
        <v>4.22</v>
      </c>
      <c r="J1573">
        <v>3.65</v>
      </c>
      <c r="K1573" t="str">
        <f t="shared" si="24"/>
        <v>Jun 2023</v>
      </c>
    </row>
    <row r="1574" spans="1:11" x14ac:dyDescent="0.25">
      <c r="A1574" s="6">
        <v>45290</v>
      </c>
      <c r="B1574" t="s">
        <v>19</v>
      </c>
      <c r="C1574" t="s">
        <v>21</v>
      </c>
      <c r="D1574" t="s">
        <v>12</v>
      </c>
      <c r="E1574">
        <v>212</v>
      </c>
      <c r="F1574" s="3">
        <v>9075393.4000000004</v>
      </c>
      <c r="G1574">
        <v>2998616.32</v>
      </c>
      <c r="H1574">
        <v>6076777.0800000001</v>
      </c>
      <c r="I1574">
        <v>2.5299999999999998</v>
      </c>
      <c r="J1574">
        <v>4.62</v>
      </c>
      <c r="K1574" t="str">
        <f t="shared" si="24"/>
        <v>Dec 2023</v>
      </c>
    </row>
    <row r="1575" spans="1:11" x14ac:dyDescent="0.25">
      <c r="A1575" s="6">
        <v>43898</v>
      </c>
      <c r="B1575" t="s">
        <v>19</v>
      </c>
      <c r="C1575" t="s">
        <v>20</v>
      </c>
      <c r="D1575" t="s">
        <v>17</v>
      </c>
      <c r="E1575">
        <v>490</v>
      </c>
      <c r="F1575" s="3">
        <v>28886872</v>
      </c>
      <c r="G1575">
        <v>8219760.9800000004</v>
      </c>
      <c r="H1575">
        <v>20667111.010000002</v>
      </c>
      <c r="I1575">
        <v>3.82</v>
      </c>
      <c r="J1575">
        <v>4.71</v>
      </c>
      <c r="K1575" t="str">
        <f t="shared" si="24"/>
        <v>Mar 2020</v>
      </c>
    </row>
    <row r="1576" spans="1:11" x14ac:dyDescent="0.25">
      <c r="A1576" s="6">
        <v>45541</v>
      </c>
      <c r="B1576" t="s">
        <v>19</v>
      </c>
      <c r="C1576" t="s">
        <v>23</v>
      </c>
      <c r="D1576" t="s">
        <v>17</v>
      </c>
      <c r="E1576">
        <v>399</v>
      </c>
      <c r="F1576" s="3">
        <v>35451457.859999999</v>
      </c>
      <c r="G1576">
        <v>9684330.4900000002</v>
      </c>
      <c r="H1576">
        <v>25767127.379999999</v>
      </c>
      <c r="I1576">
        <v>1.07</v>
      </c>
      <c r="J1576">
        <v>4.51</v>
      </c>
      <c r="K1576" t="str">
        <f t="shared" si="24"/>
        <v>Sep 2024</v>
      </c>
    </row>
    <row r="1577" spans="1:11" x14ac:dyDescent="0.25">
      <c r="A1577" s="6">
        <v>45316</v>
      </c>
      <c r="B1577" t="s">
        <v>19</v>
      </c>
      <c r="C1577" t="s">
        <v>24</v>
      </c>
      <c r="D1577" t="s">
        <v>14</v>
      </c>
      <c r="E1577">
        <v>115</v>
      </c>
      <c r="F1577" s="3">
        <v>6016866.4000000004</v>
      </c>
      <c r="G1577">
        <v>2402153.12</v>
      </c>
      <c r="H1577">
        <v>3614713.28</v>
      </c>
      <c r="I1577">
        <v>3.57</v>
      </c>
      <c r="J1577">
        <v>3.75</v>
      </c>
      <c r="K1577" t="str">
        <f t="shared" si="24"/>
        <v>Jan 2024</v>
      </c>
    </row>
    <row r="1578" spans="1:11" x14ac:dyDescent="0.25">
      <c r="A1578" s="6">
        <v>44731</v>
      </c>
      <c r="B1578" t="s">
        <v>19</v>
      </c>
      <c r="C1578" t="s">
        <v>21</v>
      </c>
      <c r="D1578" t="s">
        <v>17</v>
      </c>
      <c r="E1578">
        <v>197</v>
      </c>
      <c r="F1578" s="3">
        <v>9356490.5</v>
      </c>
      <c r="G1578">
        <v>2176242.73</v>
      </c>
      <c r="H1578">
        <v>7180247.7699999996</v>
      </c>
      <c r="I1578">
        <v>1.76</v>
      </c>
      <c r="J1578">
        <v>4.46</v>
      </c>
      <c r="K1578" t="str">
        <f t="shared" si="24"/>
        <v>Jun 2022</v>
      </c>
    </row>
    <row r="1579" spans="1:11" x14ac:dyDescent="0.25">
      <c r="A1579" s="6">
        <v>44410</v>
      </c>
      <c r="B1579" t="s">
        <v>19</v>
      </c>
      <c r="C1579" t="s">
        <v>22</v>
      </c>
      <c r="D1579" t="s">
        <v>14</v>
      </c>
      <c r="E1579">
        <v>53</v>
      </c>
      <c r="F1579" s="3">
        <v>4380516.6900000004</v>
      </c>
      <c r="G1579">
        <v>1563380.24</v>
      </c>
      <c r="H1579">
        <v>2817136.45</v>
      </c>
      <c r="I1579">
        <v>2.12</v>
      </c>
      <c r="J1579">
        <v>3.6</v>
      </c>
      <c r="K1579" t="str">
        <f t="shared" si="24"/>
        <v>Aug 2021</v>
      </c>
    </row>
    <row r="1580" spans="1:11" x14ac:dyDescent="0.25">
      <c r="A1580" s="6">
        <v>44076</v>
      </c>
      <c r="B1580" t="s">
        <v>19</v>
      </c>
      <c r="C1580" t="s">
        <v>24</v>
      </c>
      <c r="D1580" t="s">
        <v>12</v>
      </c>
      <c r="E1580">
        <v>362</v>
      </c>
      <c r="F1580" s="3">
        <v>18721572.850000001</v>
      </c>
      <c r="G1580">
        <v>5042982.1900000004</v>
      </c>
      <c r="H1580">
        <v>13678590.66</v>
      </c>
      <c r="I1580">
        <v>4.72</v>
      </c>
      <c r="J1580">
        <v>4.8099999999999996</v>
      </c>
      <c r="K1580" t="str">
        <f t="shared" si="24"/>
        <v>Sep 2020</v>
      </c>
    </row>
    <row r="1581" spans="1:11" x14ac:dyDescent="0.25">
      <c r="A1581" s="6">
        <v>45401</v>
      </c>
      <c r="B1581" t="s">
        <v>19</v>
      </c>
      <c r="C1581" t="s">
        <v>22</v>
      </c>
      <c r="D1581" t="s">
        <v>14</v>
      </c>
      <c r="E1581">
        <v>88</v>
      </c>
      <c r="F1581" s="3">
        <v>6987796.79</v>
      </c>
      <c r="G1581">
        <v>2712531.5</v>
      </c>
      <c r="H1581">
        <v>4275265.29</v>
      </c>
      <c r="I1581">
        <v>4.54</v>
      </c>
      <c r="J1581">
        <v>4.4800000000000004</v>
      </c>
      <c r="K1581" t="str">
        <f t="shared" si="24"/>
        <v>Apr 2024</v>
      </c>
    </row>
    <row r="1582" spans="1:11" x14ac:dyDescent="0.25">
      <c r="A1582" s="6">
        <v>44526</v>
      </c>
      <c r="B1582" t="s">
        <v>19</v>
      </c>
      <c r="C1582" t="s">
        <v>23</v>
      </c>
      <c r="D1582" t="s">
        <v>17</v>
      </c>
      <c r="E1582">
        <v>183</v>
      </c>
      <c r="F1582" s="3">
        <v>13155920.720000001</v>
      </c>
      <c r="G1582">
        <v>3787745.79</v>
      </c>
      <c r="H1582">
        <v>9368174.9299999997</v>
      </c>
      <c r="I1582">
        <v>1</v>
      </c>
      <c r="J1582">
        <v>4.17</v>
      </c>
      <c r="K1582" t="str">
        <f t="shared" si="24"/>
        <v>Nov 2021</v>
      </c>
    </row>
    <row r="1583" spans="1:11" x14ac:dyDescent="0.25">
      <c r="A1583" s="6">
        <v>44124</v>
      </c>
      <c r="B1583" t="s">
        <v>19</v>
      </c>
      <c r="C1583" t="s">
        <v>20</v>
      </c>
      <c r="D1583" t="s">
        <v>12</v>
      </c>
      <c r="E1583">
        <v>87</v>
      </c>
      <c r="F1583" s="3">
        <v>4129904.88</v>
      </c>
      <c r="G1583">
        <v>1336757.75</v>
      </c>
      <c r="H1583">
        <v>2793147.13</v>
      </c>
      <c r="I1583">
        <v>1.08</v>
      </c>
      <c r="J1583">
        <v>4.12</v>
      </c>
      <c r="K1583" t="str">
        <f t="shared" si="24"/>
        <v>Oct 2020</v>
      </c>
    </row>
    <row r="1584" spans="1:11" x14ac:dyDescent="0.25">
      <c r="A1584" s="6">
        <v>45192</v>
      </c>
      <c r="B1584" t="s">
        <v>19</v>
      </c>
      <c r="C1584" t="s">
        <v>22</v>
      </c>
      <c r="D1584" t="s">
        <v>12</v>
      </c>
      <c r="E1584">
        <v>383</v>
      </c>
      <c r="F1584" s="3">
        <v>23496610.879999999</v>
      </c>
      <c r="G1584">
        <v>9314056.1300000008</v>
      </c>
      <c r="H1584">
        <v>14182554.74</v>
      </c>
      <c r="I1584">
        <v>2.4</v>
      </c>
      <c r="J1584">
        <v>3.54</v>
      </c>
      <c r="K1584" t="str">
        <f t="shared" si="24"/>
        <v>Sep 2023</v>
      </c>
    </row>
    <row r="1585" spans="1:11" x14ac:dyDescent="0.25">
      <c r="A1585" s="6">
        <v>44221</v>
      </c>
      <c r="B1585" t="s">
        <v>19</v>
      </c>
      <c r="C1585" t="s">
        <v>20</v>
      </c>
      <c r="D1585" t="s">
        <v>14</v>
      </c>
      <c r="E1585">
        <v>151</v>
      </c>
      <c r="F1585" s="3">
        <v>7610710.0199999996</v>
      </c>
      <c r="G1585">
        <v>1737766.09</v>
      </c>
      <c r="H1585">
        <v>5872943.9299999997</v>
      </c>
      <c r="I1585">
        <v>1.81</v>
      </c>
      <c r="J1585">
        <v>4.87</v>
      </c>
      <c r="K1585" t="str">
        <f t="shared" si="24"/>
        <v>Jan 2021</v>
      </c>
    </row>
    <row r="1586" spans="1:11" x14ac:dyDescent="0.25">
      <c r="A1586" s="6">
        <v>45572</v>
      </c>
      <c r="B1586" t="s">
        <v>19</v>
      </c>
      <c r="C1586" t="s">
        <v>23</v>
      </c>
      <c r="D1586" t="s">
        <v>14</v>
      </c>
      <c r="E1586">
        <v>475</v>
      </c>
      <c r="F1586" s="3">
        <v>34894614.18</v>
      </c>
      <c r="G1586">
        <v>8099312.7599999998</v>
      </c>
      <c r="H1586">
        <v>26795301.420000002</v>
      </c>
      <c r="I1586">
        <v>4.92</v>
      </c>
      <c r="J1586">
        <v>4.43</v>
      </c>
      <c r="K1586" t="str">
        <f t="shared" si="24"/>
        <v>Oct 2024</v>
      </c>
    </row>
    <row r="1587" spans="1:11" x14ac:dyDescent="0.25">
      <c r="A1587" s="6">
        <v>45250</v>
      </c>
      <c r="B1587" t="s">
        <v>19</v>
      </c>
      <c r="C1587" t="s">
        <v>21</v>
      </c>
      <c r="D1587" t="s">
        <v>14</v>
      </c>
      <c r="E1587">
        <v>122</v>
      </c>
      <c r="F1587" s="3">
        <v>6314879.8499999996</v>
      </c>
      <c r="G1587">
        <v>1478446.41</v>
      </c>
      <c r="H1587">
        <v>4836433.4400000004</v>
      </c>
      <c r="I1587">
        <v>1.77</v>
      </c>
      <c r="J1587">
        <v>4.8099999999999996</v>
      </c>
      <c r="K1587" t="str">
        <f t="shared" si="24"/>
        <v>Nov 2023</v>
      </c>
    </row>
    <row r="1588" spans="1:11" x14ac:dyDescent="0.25">
      <c r="A1588" s="6">
        <v>45197</v>
      </c>
      <c r="B1588" t="s">
        <v>19</v>
      </c>
      <c r="C1588" t="s">
        <v>24</v>
      </c>
      <c r="D1588" t="s">
        <v>12</v>
      </c>
      <c r="E1588">
        <v>447</v>
      </c>
      <c r="F1588" s="3">
        <v>21015425.649999999</v>
      </c>
      <c r="G1588">
        <v>7900760.9299999997</v>
      </c>
      <c r="H1588">
        <v>13114664.720000001</v>
      </c>
      <c r="I1588">
        <v>0.81</v>
      </c>
      <c r="J1588">
        <v>3.89</v>
      </c>
      <c r="K1588" t="str">
        <f t="shared" si="24"/>
        <v>Sep 2023</v>
      </c>
    </row>
    <row r="1589" spans="1:11" x14ac:dyDescent="0.25">
      <c r="A1589" s="6">
        <v>44796</v>
      </c>
      <c r="B1589" t="s">
        <v>19</v>
      </c>
      <c r="C1589" t="s">
        <v>20</v>
      </c>
      <c r="D1589" t="s">
        <v>12</v>
      </c>
      <c r="E1589">
        <v>314</v>
      </c>
      <c r="F1589" s="3">
        <v>11204217.710000001</v>
      </c>
      <c r="G1589">
        <v>3431251.41</v>
      </c>
      <c r="H1589">
        <v>7772966.29</v>
      </c>
      <c r="I1589">
        <v>1.86</v>
      </c>
      <c r="J1589">
        <v>4.4000000000000004</v>
      </c>
      <c r="K1589" t="str">
        <f t="shared" si="24"/>
        <v>Aug 2022</v>
      </c>
    </row>
    <row r="1590" spans="1:11" x14ac:dyDescent="0.25">
      <c r="A1590" s="6">
        <v>45334</v>
      </c>
      <c r="B1590" t="s">
        <v>19</v>
      </c>
      <c r="C1590" t="s">
        <v>23</v>
      </c>
      <c r="D1590" t="s">
        <v>12</v>
      </c>
      <c r="E1590">
        <v>276</v>
      </c>
      <c r="F1590" s="3">
        <v>13096015.68</v>
      </c>
      <c r="G1590">
        <v>3325743.27</v>
      </c>
      <c r="H1590">
        <v>9770272.4100000001</v>
      </c>
      <c r="I1590">
        <v>3.19</v>
      </c>
      <c r="J1590">
        <v>3.6</v>
      </c>
      <c r="K1590" t="str">
        <f t="shared" si="24"/>
        <v>Feb 2024</v>
      </c>
    </row>
    <row r="1591" spans="1:11" x14ac:dyDescent="0.25">
      <c r="A1591" s="6">
        <v>45085</v>
      </c>
      <c r="B1591" t="s">
        <v>19</v>
      </c>
      <c r="C1591" t="s">
        <v>21</v>
      </c>
      <c r="D1591" t="s">
        <v>12</v>
      </c>
      <c r="E1591">
        <v>313</v>
      </c>
      <c r="F1591" s="3">
        <v>26057061.25</v>
      </c>
      <c r="G1591">
        <v>8700932.1799999997</v>
      </c>
      <c r="H1591">
        <v>17356129.07</v>
      </c>
      <c r="I1591">
        <v>2.0299999999999998</v>
      </c>
      <c r="J1591">
        <v>4.9800000000000004</v>
      </c>
      <c r="K1591" t="str">
        <f t="shared" si="24"/>
        <v>Jun 2023</v>
      </c>
    </row>
    <row r="1592" spans="1:11" x14ac:dyDescent="0.25">
      <c r="A1592" s="6">
        <v>43931</v>
      </c>
      <c r="B1592" t="s">
        <v>19</v>
      </c>
      <c r="C1592" t="s">
        <v>21</v>
      </c>
      <c r="D1592" t="s">
        <v>12</v>
      </c>
      <c r="E1592">
        <v>304</v>
      </c>
      <c r="F1592" s="3">
        <v>11960364.390000001</v>
      </c>
      <c r="G1592">
        <v>4211219.9800000004</v>
      </c>
      <c r="H1592">
        <v>7749144.4199999999</v>
      </c>
      <c r="I1592">
        <v>4.08</v>
      </c>
      <c r="J1592">
        <v>3.55</v>
      </c>
      <c r="K1592" t="str">
        <f t="shared" si="24"/>
        <v>Apr 2020</v>
      </c>
    </row>
    <row r="1593" spans="1:11" x14ac:dyDescent="0.25">
      <c r="A1593" s="6">
        <v>45557</v>
      </c>
      <c r="B1593" t="s">
        <v>19</v>
      </c>
      <c r="C1593" t="s">
        <v>23</v>
      </c>
      <c r="D1593" t="s">
        <v>14</v>
      </c>
      <c r="E1593">
        <v>84</v>
      </c>
      <c r="F1593" s="3">
        <v>4177128.24</v>
      </c>
      <c r="G1593">
        <v>1011566.08</v>
      </c>
      <c r="H1593">
        <v>3165562.16</v>
      </c>
      <c r="I1593">
        <v>3.08</v>
      </c>
      <c r="J1593">
        <v>4.49</v>
      </c>
      <c r="K1593" t="str">
        <f t="shared" si="24"/>
        <v>Sep 2024</v>
      </c>
    </row>
    <row r="1594" spans="1:11" x14ac:dyDescent="0.25">
      <c r="A1594" s="6">
        <v>45162</v>
      </c>
      <c r="B1594" t="s">
        <v>19</v>
      </c>
      <c r="C1594" t="s">
        <v>23</v>
      </c>
      <c r="D1594" t="s">
        <v>17</v>
      </c>
      <c r="E1594">
        <v>353</v>
      </c>
      <c r="F1594" s="3">
        <v>28496116.780000001</v>
      </c>
      <c r="G1594">
        <v>7984734.4100000001</v>
      </c>
      <c r="H1594">
        <v>20511382.370000001</v>
      </c>
      <c r="I1594">
        <v>1.02</v>
      </c>
      <c r="J1594">
        <v>3.64</v>
      </c>
      <c r="K1594" t="str">
        <f t="shared" si="24"/>
        <v>Aug 2023</v>
      </c>
    </row>
    <row r="1595" spans="1:11" x14ac:dyDescent="0.25">
      <c r="A1595" s="6">
        <v>44686</v>
      </c>
      <c r="B1595" t="s">
        <v>19</v>
      </c>
      <c r="C1595" t="s">
        <v>22</v>
      </c>
      <c r="D1595" t="s">
        <v>17</v>
      </c>
      <c r="E1595">
        <v>494</v>
      </c>
      <c r="F1595" s="3">
        <v>18176983.059999999</v>
      </c>
      <c r="G1595">
        <v>4113264.02</v>
      </c>
      <c r="H1595">
        <v>14063719.039999999</v>
      </c>
      <c r="I1595">
        <v>0.79</v>
      </c>
      <c r="J1595">
        <v>4.93</v>
      </c>
      <c r="K1595" t="str">
        <f t="shared" si="24"/>
        <v>May 2022</v>
      </c>
    </row>
    <row r="1596" spans="1:11" x14ac:dyDescent="0.25">
      <c r="A1596" s="6">
        <v>44604</v>
      </c>
      <c r="B1596" t="s">
        <v>19</v>
      </c>
      <c r="C1596" t="s">
        <v>21</v>
      </c>
      <c r="D1596" t="s">
        <v>17</v>
      </c>
      <c r="E1596">
        <v>57</v>
      </c>
      <c r="F1596" s="3">
        <v>3617194.31</v>
      </c>
      <c r="G1596">
        <v>1135489.81</v>
      </c>
      <c r="H1596">
        <v>2481704.5</v>
      </c>
      <c r="I1596">
        <v>1.93</v>
      </c>
      <c r="J1596">
        <v>4.1500000000000004</v>
      </c>
      <c r="K1596" t="str">
        <f t="shared" si="24"/>
        <v>Feb 2022</v>
      </c>
    </row>
    <row r="1597" spans="1:11" x14ac:dyDescent="0.25">
      <c r="A1597" s="6">
        <v>45542</v>
      </c>
      <c r="B1597" t="s">
        <v>19</v>
      </c>
      <c r="C1597" t="s">
        <v>22</v>
      </c>
      <c r="D1597" t="s">
        <v>14</v>
      </c>
      <c r="E1597">
        <v>96</v>
      </c>
      <c r="F1597" s="3">
        <v>4086125.53</v>
      </c>
      <c r="G1597">
        <v>1355927.07</v>
      </c>
      <c r="H1597">
        <v>2730198.47</v>
      </c>
      <c r="I1597">
        <v>1.24</v>
      </c>
      <c r="J1597">
        <v>3.76</v>
      </c>
      <c r="K1597" t="str">
        <f t="shared" si="24"/>
        <v>Sep 2024</v>
      </c>
    </row>
    <row r="1598" spans="1:11" x14ac:dyDescent="0.25">
      <c r="A1598" s="6">
        <v>45619</v>
      </c>
      <c r="B1598" t="s">
        <v>19</v>
      </c>
      <c r="C1598" t="s">
        <v>22</v>
      </c>
      <c r="D1598" t="s">
        <v>17</v>
      </c>
      <c r="E1598">
        <v>70</v>
      </c>
      <c r="F1598" s="3">
        <v>4880534.08</v>
      </c>
      <c r="G1598">
        <v>1374654</v>
      </c>
      <c r="H1598">
        <v>3505880.08</v>
      </c>
      <c r="I1598">
        <v>3.66</v>
      </c>
      <c r="J1598">
        <v>3.86</v>
      </c>
      <c r="K1598" t="str">
        <f t="shared" si="24"/>
        <v>Nov 2024</v>
      </c>
    </row>
    <row r="1599" spans="1:11" x14ac:dyDescent="0.25">
      <c r="A1599" s="6">
        <v>45639</v>
      </c>
      <c r="B1599" t="s">
        <v>19</v>
      </c>
      <c r="C1599" t="s">
        <v>22</v>
      </c>
      <c r="D1599" t="s">
        <v>14</v>
      </c>
      <c r="E1599">
        <v>397</v>
      </c>
      <c r="F1599" s="3">
        <v>16170748.57</v>
      </c>
      <c r="G1599">
        <v>5224732.2300000004</v>
      </c>
      <c r="H1599">
        <v>10946016.34</v>
      </c>
      <c r="I1599">
        <v>2.69</v>
      </c>
      <c r="J1599">
        <v>4.4800000000000004</v>
      </c>
      <c r="K1599" t="str">
        <f t="shared" si="24"/>
        <v>Dec 2024</v>
      </c>
    </row>
    <row r="1600" spans="1:11" x14ac:dyDescent="0.25">
      <c r="A1600" s="6">
        <v>44420</v>
      </c>
      <c r="B1600" t="s">
        <v>19</v>
      </c>
      <c r="C1600" t="s">
        <v>23</v>
      </c>
      <c r="D1600" t="s">
        <v>12</v>
      </c>
      <c r="E1600">
        <v>243</v>
      </c>
      <c r="F1600" s="3">
        <v>12134516.539999999</v>
      </c>
      <c r="G1600">
        <v>3706131</v>
      </c>
      <c r="H1600">
        <v>8428385.5399999991</v>
      </c>
      <c r="I1600">
        <v>4.93</v>
      </c>
      <c r="J1600">
        <v>3.9</v>
      </c>
      <c r="K1600" t="str">
        <f t="shared" si="24"/>
        <v>Aug 2021</v>
      </c>
    </row>
    <row r="1601" spans="1:11" x14ac:dyDescent="0.25">
      <c r="A1601" s="6">
        <v>44523</v>
      </c>
      <c r="B1601" t="s">
        <v>19</v>
      </c>
      <c r="C1601" t="s">
        <v>23</v>
      </c>
      <c r="D1601" t="s">
        <v>14</v>
      </c>
      <c r="E1601">
        <v>471</v>
      </c>
      <c r="F1601" s="3">
        <v>18322499.059999999</v>
      </c>
      <c r="G1601">
        <v>6396781.7199999997</v>
      </c>
      <c r="H1601">
        <v>11925717.34</v>
      </c>
      <c r="I1601">
        <v>2.13</v>
      </c>
      <c r="J1601">
        <v>4.21</v>
      </c>
      <c r="K1601" t="str">
        <f t="shared" si="24"/>
        <v>Nov 2021</v>
      </c>
    </row>
    <row r="1602" spans="1:11" x14ac:dyDescent="0.25">
      <c r="A1602" s="6">
        <v>44718</v>
      </c>
      <c r="B1602" t="s">
        <v>19</v>
      </c>
      <c r="C1602" t="s">
        <v>21</v>
      </c>
      <c r="D1602" t="s">
        <v>12</v>
      </c>
      <c r="E1602">
        <v>267</v>
      </c>
      <c r="F1602" s="3">
        <v>22669877.719999999</v>
      </c>
      <c r="G1602">
        <v>7984980.8300000001</v>
      </c>
      <c r="H1602">
        <v>14684896.890000001</v>
      </c>
      <c r="I1602">
        <v>2.61</v>
      </c>
      <c r="J1602">
        <v>4.18</v>
      </c>
      <c r="K1602" t="str">
        <f t="shared" ref="K1602:K1665" si="25">TEXT(A1602,"mmm yyyy")</f>
        <v>Jun 2022</v>
      </c>
    </row>
    <row r="1603" spans="1:11" x14ac:dyDescent="0.25">
      <c r="A1603" s="6">
        <v>45543</v>
      </c>
      <c r="B1603" t="s">
        <v>19</v>
      </c>
      <c r="C1603" t="s">
        <v>20</v>
      </c>
      <c r="D1603" t="s">
        <v>12</v>
      </c>
      <c r="E1603">
        <v>158</v>
      </c>
      <c r="F1603" s="3">
        <v>9718936.7899999991</v>
      </c>
      <c r="G1603">
        <v>3506402.46</v>
      </c>
      <c r="H1603">
        <v>6212534.3300000001</v>
      </c>
      <c r="I1603">
        <v>3.25</v>
      </c>
      <c r="J1603">
        <v>3.92</v>
      </c>
      <c r="K1603" t="str">
        <f t="shared" si="25"/>
        <v>Sep 2024</v>
      </c>
    </row>
    <row r="1604" spans="1:11" x14ac:dyDescent="0.25">
      <c r="A1604" s="6">
        <v>44358</v>
      </c>
      <c r="B1604" t="s">
        <v>19</v>
      </c>
      <c r="C1604" t="s">
        <v>22</v>
      </c>
      <c r="D1604" t="s">
        <v>12</v>
      </c>
      <c r="E1604">
        <v>361</v>
      </c>
      <c r="F1604" s="3">
        <v>24366673.050000001</v>
      </c>
      <c r="G1604">
        <v>7129652.04</v>
      </c>
      <c r="H1604">
        <v>17237021.010000002</v>
      </c>
      <c r="I1604">
        <v>4.34</v>
      </c>
      <c r="J1604">
        <v>3.57</v>
      </c>
      <c r="K1604" t="str">
        <f t="shared" si="25"/>
        <v>Jun 2021</v>
      </c>
    </row>
    <row r="1605" spans="1:11" x14ac:dyDescent="0.25">
      <c r="A1605" s="6">
        <v>45605</v>
      </c>
      <c r="B1605" t="s">
        <v>19</v>
      </c>
      <c r="C1605" t="s">
        <v>20</v>
      </c>
      <c r="D1605" t="s">
        <v>17</v>
      </c>
      <c r="E1605">
        <v>185</v>
      </c>
      <c r="F1605" s="3">
        <v>6848639.8600000003</v>
      </c>
      <c r="G1605">
        <v>2591490.0499999998</v>
      </c>
      <c r="H1605">
        <v>4257149.82</v>
      </c>
      <c r="I1605">
        <v>2.02</v>
      </c>
      <c r="J1605">
        <v>4.7</v>
      </c>
      <c r="K1605" t="str">
        <f t="shared" si="25"/>
        <v>Nov 2024</v>
      </c>
    </row>
    <row r="1606" spans="1:11" x14ac:dyDescent="0.25">
      <c r="A1606" s="6">
        <v>44501</v>
      </c>
      <c r="B1606" t="s">
        <v>19</v>
      </c>
      <c r="C1606" t="s">
        <v>20</v>
      </c>
      <c r="D1606" t="s">
        <v>12</v>
      </c>
      <c r="E1606">
        <v>482</v>
      </c>
      <c r="F1606" s="3">
        <v>22662695.710000001</v>
      </c>
      <c r="G1606">
        <v>7266581.04</v>
      </c>
      <c r="H1606">
        <v>15396114.67</v>
      </c>
      <c r="I1606">
        <v>0.7</v>
      </c>
      <c r="J1606">
        <v>3.92</v>
      </c>
      <c r="K1606" t="str">
        <f t="shared" si="25"/>
        <v>Nov 2021</v>
      </c>
    </row>
    <row r="1607" spans="1:11" x14ac:dyDescent="0.25">
      <c r="A1607" s="6">
        <v>44142</v>
      </c>
      <c r="B1607" t="s">
        <v>19</v>
      </c>
      <c r="C1607" t="s">
        <v>20</v>
      </c>
      <c r="D1607" t="s">
        <v>14</v>
      </c>
      <c r="E1607">
        <v>393</v>
      </c>
      <c r="F1607" s="3">
        <v>15637510.15</v>
      </c>
      <c r="G1607">
        <v>4325127.28</v>
      </c>
      <c r="H1607">
        <v>11312382.869999999</v>
      </c>
      <c r="I1607">
        <v>1.01</v>
      </c>
      <c r="J1607">
        <v>4.0199999999999996</v>
      </c>
      <c r="K1607" t="str">
        <f t="shared" si="25"/>
        <v>Nov 2020</v>
      </c>
    </row>
    <row r="1608" spans="1:11" x14ac:dyDescent="0.25">
      <c r="A1608" s="6">
        <v>44529</v>
      </c>
      <c r="B1608" t="s">
        <v>19</v>
      </c>
      <c r="C1608" t="s">
        <v>24</v>
      </c>
      <c r="D1608" t="s">
        <v>17</v>
      </c>
      <c r="E1608">
        <v>472</v>
      </c>
      <c r="F1608" s="3">
        <v>31441277.23</v>
      </c>
      <c r="G1608">
        <v>12389949.529999999</v>
      </c>
      <c r="H1608">
        <v>19051327.699999999</v>
      </c>
      <c r="I1608">
        <v>3.54</v>
      </c>
      <c r="J1608">
        <v>3.57</v>
      </c>
      <c r="K1608" t="str">
        <f t="shared" si="25"/>
        <v>Nov 2021</v>
      </c>
    </row>
    <row r="1609" spans="1:11" x14ac:dyDescent="0.25">
      <c r="A1609" s="6">
        <v>43968</v>
      </c>
      <c r="B1609" t="s">
        <v>19</v>
      </c>
      <c r="C1609" t="s">
        <v>20</v>
      </c>
      <c r="D1609" t="s">
        <v>12</v>
      </c>
      <c r="E1609">
        <v>444</v>
      </c>
      <c r="F1609" s="3">
        <v>18750964.309999999</v>
      </c>
      <c r="G1609">
        <v>6470089.5199999996</v>
      </c>
      <c r="H1609">
        <v>12280874.789999999</v>
      </c>
      <c r="I1609">
        <v>2.2799999999999998</v>
      </c>
      <c r="J1609">
        <v>4.13</v>
      </c>
      <c r="K1609" t="str">
        <f t="shared" si="25"/>
        <v>May 2020</v>
      </c>
    </row>
    <row r="1610" spans="1:11" x14ac:dyDescent="0.25">
      <c r="A1610" s="6">
        <v>44522</v>
      </c>
      <c r="B1610" t="s">
        <v>19</v>
      </c>
      <c r="C1610" t="s">
        <v>21</v>
      </c>
      <c r="D1610" t="s">
        <v>17</v>
      </c>
      <c r="E1610">
        <v>381</v>
      </c>
      <c r="F1610" s="3">
        <v>31822728.039999999</v>
      </c>
      <c r="G1610">
        <v>8458843.8599999994</v>
      </c>
      <c r="H1610">
        <v>23363884.18</v>
      </c>
      <c r="I1610">
        <v>1.66</v>
      </c>
      <c r="J1610">
        <v>4.51</v>
      </c>
      <c r="K1610" t="str">
        <f t="shared" si="25"/>
        <v>Nov 2021</v>
      </c>
    </row>
    <row r="1611" spans="1:11" x14ac:dyDescent="0.25">
      <c r="A1611" s="6">
        <v>45035</v>
      </c>
      <c r="B1611" t="s">
        <v>19</v>
      </c>
      <c r="C1611" t="s">
        <v>23</v>
      </c>
      <c r="D1611" t="s">
        <v>14</v>
      </c>
      <c r="E1611">
        <v>466</v>
      </c>
      <c r="F1611" s="3">
        <v>37423747.549999997</v>
      </c>
      <c r="G1611">
        <v>7821110.3200000003</v>
      </c>
      <c r="H1611">
        <v>29602637.219999999</v>
      </c>
      <c r="I1611">
        <v>4.2</v>
      </c>
      <c r="J1611">
        <v>3.5</v>
      </c>
      <c r="K1611" t="str">
        <f t="shared" si="25"/>
        <v>Apr 2023</v>
      </c>
    </row>
    <row r="1612" spans="1:11" x14ac:dyDescent="0.25">
      <c r="A1612" s="6">
        <v>44819</v>
      </c>
      <c r="B1612" t="s">
        <v>19</v>
      </c>
      <c r="C1612" t="s">
        <v>24</v>
      </c>
      <c r="D1612" t="s">
        <v>14</v>
      </c>
      <c r="E1612">
        <v>396</v>
      </c>
      <c r="F1612" s="3">
        <v>13905821.699999999</v>
      </c>
      <c r="G1612">
        <v>3566642.68</v>
      </c>
      <c r="H1612">
        <v>10339179.029999999</v>
      </c>
      <c r="I1612">
        <v>4.2300000000000004</v>
      </c>
      <c r="J1612">
        <v>3.56</v>
      </c>
      <c r="K1612" t="str">
        <f t="shared" si="25"/>
        <v>Sep 2022</v>
      </c>
    </row>
    <row r="1613" spans="1:11" x14ac:dyDescent="0.25">
      <c r="A1613" s="6">
        <v>45513</v>
      </c>
      <c r="B1613" t="s">
        <v>19</v>
      </c>
      <c r="C1613" t="s">
        <v>23</v>
      </c>
      <c r="D1613" t="s">
        <v>17</v>
      </c>
      <c r="E1613">
        <v>389</v>
      </c>
      <c r="F1613" s="3">
        <v>28304591.199999999</v>
      </c>
      <c r="G1613">
        <v>10673731.32</v>
      </c>
      <c r="H1613">
        <v>17630859.879999999</v>
      </c>
      <c r="I1613">
        <v>2.23</v>
      </c>
      <c r="J1613">
        <v>4.18</v>
      </c>
      <c r="K1613" t="str">
        <f t="shared" si="25"/>
        <v>Aug 2024</v>
      </c>
    </row>
    <row r="1614" spans="1:11" x14ac:dyDescent="0.25">
      <c r="A1614" s="6">
        <v>45356</v>
      </c>
      <c r="B1614" t="s">
        <v>19</v>
      </c>
      <c r="C1614" t="s">
        <v>20</v>
      </c>
      <c r="D1614" t="s">
        <v>14</v>
      </c>
      <c r="E1614">
        <v>131</v>
      </c>
      <c r="F1614" s="3">
        <v>5249911.93</v>
      </c>
      <c r="G1614">
        <v>1473837.68</v>
      </c>
      <c r="H1614">
        <v>3776074.25</v>
      </c>
      <c r="I1614">
        <v>2.97</v>
      </c>
      <c r="J1614">
        <v>4.8499999999999996</v>
      </c>
      <c r="K1614" t="str">
        <f t="shared" si="25"/>
        <v>Mar 2024</v>
      </c>
    </row>
    <row r="1615" spans="1:11" x14ac:dyDescent="0.25">
      <c r="A1615" s="6">
        <v>44818</v>
      </c>
      <c r="B1615" t="s">
        <v>19</v>
      </c>
      <c r="C1615" t="s">
        <v>20</v>
      </c>
      <c r="D1615" t="s">
        <v>14</v>
      </c>
      <c r="E1615">
        <v>381</v>
      </c>
      <c r="F1615" s="3">
        <v>15015172.199999999</v>
      </c>
      <c r="G1615">
        <v>4940678.47</v>
      </c>
      <c r="H1615">
        <v>10074493.720000001</v>
      </c>
      <c r="I1615">
        <v>4.74</v>
      </c>
      <c r="J1615">
        <v>4.5</v>
      </c>
      <c r="K1615" t="str">
        <f t="shared" si="25"/>
        <v>Sep 2022</v>
      </c>
    </row>
    <row r="1616" spans="1:11" x14ac:dyDescent="0.25">
      <c r="A1616" s="6">
        <v>45370</v>
      </c>
      <c r="B1616" t="s">
        <v>19</v>
      </c>
      <c r="C1616" t="s">
        <v>21</v>
      </c>
      <c r="D1616" t="s">
        <v>17</v>
      </c>
      <c r="E1616">
        <v>154</v>
      </c>
      <c r="F1616" s="3">
        <v>10865432.26</v>
      </c>
      <c r="G1616">
        <v>2416387.25</v>
      </c>
      <c r="H1616">
        <v>8449045.0199999996</v>
      </c>
      <c r="I1616">
        <v>3.19</v>
      </c>
      <c r="J1616">
        <v>4.25</v>
      </c>
      <c r="K1616" t="str">
        <f t="shared" si="25"/>
        <v>Mar 2024</v>
      </c>
    </row>
    <row r="1617" spans="1:11" x14ac:dyDescent="0.25">
      <c r="A1617" s="6">
        <v>44461</v>
      </c>
      <c r="B1617" t="s">
        <v>19</v>
      </c>
      <c r="C1617" t="s">
        <v>20</v>
      </c>
      <c r="D1617" t="s">
        <v>14</v>
      </c>
      <c r="E1617">
        <v>100</v>
      </c>
      <c r="F1617" s="3">
        <v>8523078.2100000009</v>
      </c>
      <c r="G1617">
        <v>2365028.9700000002</v>
      </c>
      <c r="H1617">
        <v>6158049.2400000002</v>
      </c>
      <c r="I1617">
        <v>4.43</v>
      </c>
      <c r="J1617">
        <v>4.59</v>
      </c>
      <c r="K1617" t="str">
        <f t="shared" si="25"/>
        <v>Sep 2021</v>
      </c>
    </row>
    <row r="1618" spans="1:11" x14ac:dyDescent="0.25">
      <c r="A1618" s="6">
        <v>44607</v>
      </c>
      <c r="B1618" t="s">
        <v>19</v>
      </c>
      <c r="C1618" t="s">
        <v>20</v>
      </c>
      <c r="D1618" t="s">
        <v>12</v>
      </c>
      <c r="E1618">
        <v>204</v>
      </c>
      <c r="F1618" s="3">
        <v>15453809.630000001</v>
      </c>
      <c r="G1618">
        <v>4543446.2300000004</v>
      </c>
      <c r="H1618">
        <v>10910363.4</v>
      </c>
      <c r="I1618">
        <v>4.2300000000000004</v>
      </c>
      <c r="J1618">
        <v>4.99</v>
      </c>
      <c r="K1618" t="str">
        <f t="shared" si="25"/>
        <v>Feb 2022</v>
      </c>
    </row>
    <row r="1619" spans="1:11" x14ac:dyDescent="0.25">
      <c r="A1619" s="6">
        <v>45488</v>
      </c>
      <c r="B1619" t="s">
        <v>19</v>
      </c>
      <c r="C1619" t="s">
        <v>21</v>
      </c>
      <c r="D1619" t="s">
        <v>12</v>
      </c>
      <c r="E1619">
        <v>307</v>
      </c>
      <c r="F1619" s="3">
        <v>10942666.119999999</v>
      </c>
      <c r="G1619">
        <v>3453430.45</v>
      </c>
      <c r="H1619">
        <v>7489235.6699999999</v>
      </c>
      <c r="I1619">
        <v>1.83</v>
      </c>
      <c r="J1619">
        <v>4.2300000000000004</v>
      </c>
      <c r="K1619" t="str">
        <f t="shared" si="25"/>
        <v>Jul 2024</v>
      </c>
    </row>
    <row r="1620" spans="1:11" x14ac:dyDescent="0.25">
      <c r="A1620" s="6">
        <v>44770</v>
      </c>
      <c r="B1620" t="s">
        <v>19</v>
      </c>
      <c r="C1620" t="s">
        <v>21</v>
      </c>
      <c r="D1620" t="s">
        <v>12</v>
      </c>
      <c r="E1620">
        <v>350</v>
      </c>
      <c r="F1620" s="3">
        <v>19937848.41</v>
      </c>
      <c r="G1620">
        <v>4345914.08</v>
      </c>
      <c r="H1620">
        <v>15591934.33</v>
      </c>
      <c r="I1620">
        <v>4.1399999999999997</v>
      </c>
      <c r="J1620">
        <v>3.82</v>
      </c>
      <c r="K1620" t="str">
        <f t="shared" si="25"/>
        <v>Jul 2022</v>
      </c>
    </row>
    <row r="1621" spans="1:11" x14ac:dyDescent="0.25">
      <c r="A1621" s="6">
        <v>44785</v>
      </c>
      <c r="B1621" t="s">
        <v>19</v>
      </c>
      <c r="C1621" t="s">
        <v>21</v>
      </c>
      <c r="D1621" t="s">
        <v>17</v>
      </c>
      <c r="E1621">
        <v>458</v>
      </c>
      <c r="F1621" s="3">
        <v>34397880.149999999</v>
      </c>
      <c r="G1621">
        <v>9271662.0700000003</v>
      </c>
      <c r="H1621">
        <v>25126218.079999998</v>
      </c>
      <c r="I1621">
        <v>4.3099999999999996</v>
      </c>
      <c r="J1621">
        <v>4.54</v>
      </c>
      <c r="K1621" t="str">
        <f t="shared" si="25"/>
        <v>Aug 2022</v>
      </c>
    </row>
    <row r="1622" spans="1:11" x14ac:dyDescent="0.25">
      <c r="A1622" s="6">
        <v>44664</v>
      </c>
      <c r="B1622" t="s">
        <v>19</v>
      </c>
      <c r="C1622" t="s">
        <v>23</v>
      </c>
      <c r="D1622" t="s">
        <v>12</v>
      </c>
      <c r="E1622">
        <v>195</v>
      </c>
      <c r="F1622" s="3">
        <v>11156804.59</v>
      </c>
      <c r="G1622">
        <v>4289535.55</v>
      </c>
      <c r="H1622">
        <v>6867269.04</v>
      </c>
      <c r="I1622">
        <v>2.94</v>
      </c>
      <c r="J1622">
        <v>4.79</v>
      </c>
      <c r="K1622" t="str">
        <f t="shared" si="25"/>
        <v>Apr 2022</v>
      </c>
    </row>
    <row r="1623" spans="1:11" x14ac:dyDescent="0.25">
      <c r="A1623" s="6">
        <v>45645</v>
      </c>
      <c r="B1623" t="s">
        <v>19</v>
      </c>
      <c r="C1623" t="s">
        <v>21</v>
      </c>
      <c r="D1623" t="s">
        <v>14</v>
      </c>
      <c r="E1623">
        <v>79</v>
      </c>
      <c r="F1623" s="3">
        <v>4704692.8</v>
      </c>
      <c r="G1623">
        <v>1130650.27</v>
      </c>
      <c r="H1623">
        <v>3574042.53</v>
      </c>
      <c r="I1623">
        <v>4.2</v>
      </c>
      <c r="J1623">
        <v>4.79</v>
      </c>
      <c r="K1623" t="str">
        <f t="shared" si="25"/>
        <v>Dec 2024</v>
      </c>
    </row>
    <row r="1624" spans="1:11" x14ac:dyDescent="0.25">
      <c r="A1624" s="6">
        <v>44113</v>
      </c>
      <c r="B1624" t="s">
        <v>19</v>
      </c>
      <c r="C1624" t="s">
        <v>21</v>
      </c>
      <c r="D1624" t="s">
        <v>12</v>
      </c>
      <c r="E1624">
        <v>384</v>
      </c>
      <c r="F1624" s="3">
        <v>29477493.66</v>
      </c>
      <c r="G1624">
        <v>11208088.18</v>
      </c>
      <c r="H1624">
        <v>18269405.489999998</v>
      </c>
      <c r="I1624">
        <v>4.5</v>
      </c>
      <c r="J1624">
        <v>3.52</v>
      </c>
      <c r="K1624" t="str">
        <f t="shared" si="25"/>
        <v>Oct 2020</v>
      </c>
    </row>
    <row r="1625" spans="1:11" x14ac:dyDescent="0.25">
      <c r="A1625" s="6">
        <v>43915</v>
      </c>
      <c r="B1625" t="s">
        <v>19</v>
      </c>
      <c r="C1625" t="s">
        <v>22</v>
      </c>
      <c r="D1625" t="s">
        <v>14</v>
      </c>
      <c r="E1625">
        <v>362</v>
      </c>
      <c r="F1625" s="3">
        <v>13215938.369999999</v>
      </c>
      <c r="G1625">
        <v>4247670.72</v>
      </c>
      <c r="H1625">
        <v>8968267.6500000004</v>
      </c>
      <c r="I1625">
        <v>2.87</v>
      </c>
      <c r="J1625">
        <v>4.2699999999999996</v>
      </c>
      <c r="K1625" t="str">
        <f t="shared" si="25"/>
        <v>Mar 2020</v>
      </c>
    </row>
    <row r="1626" spans="1:11" x14ac:dyDescent="0.25">
      <c r="A1626" s="6">
        <v>44036</v>
      </c>
      <c r="B1626" t="s">
        <v>19</v>
      </c>
      <c r="C1626" t="s">
        <v>24</v>
      </c>
      <c r="D1626" t="s">
        <v>17</v>
      </c>
      <c r="E1626">
        <v>205</v>
      </c>
      <c r="F1626" s="3">
        <v>12029218.289999999</v>
      </c>
      <c r="G1626">
        <v>4468628.0999999996</v>
      </c>
      <c r="H1626">
        <v>7560590.1900000004</v>
      </c>
      <c r="I1626">
        <v>4.51</v>
      </c>
      <c r="J1626">
        <v>4.0199999999999996</v>
      </c>
      <c r="K1626" t="str">
        <f t="shared" si="25"/>
        <v>Jul 2020</v>
      </c>
    </row>
    <row r="1627" spans="1:11" x14ac:dyDescent="0.25">
      <c r="A1627" s="6">
        <v>44794</v>
      </c>
      <c r="B1627" t="s">
        <v>19</v>
      </c>
      <c r="C1627" t="s">
        <v>22</v>
      </c>
      <c r="D1627" t="s">
        <v>14</v>
      </c>
      <c r="E1627">
        <v>197</v>
      </c>
      <c r="F1627" s="3">
        <v>10576395.24</v>
      </c>
      <c r="G1627">
        <v>3136452.47</v>
      </c>
      <c r="H1627">
        <v>7439942.7699999996</v>
      </c>
      <c r="I1627">
        <v>2.21</v>
      </c>
      <c r="J1627">
        <v>3.51</v>
      </c>
      <c r="K1627" t="str">
        <f t="shared" si="25"/>
        <v>Aug 2022</v>
      </c>
    </row>
    <row r="1628" spans="1:11" x14ac:dyDescent="0.25">
      <c r="A1628" s="6">
        <v>44649</v>
      </c>
      <c r="B1628" t="s">
        <v>19</v>
      </c>
      <c r="C1628" t="s">
        <v>24</v>
      </c>
      <c r="D1628" t="s">
        <v>14</v>
      </c>
      <c r="E1628">
        <v>175</v>
      </c>
      <c r="F1628" s="3">
        <v>11861392.609999999</v>
      </c>
      <c r="G1628">
        <v>4504340.32</v>
      </c>
      <c r="H1628">
        <v>7357052.2800000003</v>
      </c>
      <c r="I1628">
        <v>4.3099999999999996</v>
      </c>
      <c r="J1628">
        <v>4.3</v>
      </c>
      <c r="K1628" t="str">
        <f t="shared" si="25"/>
        <v>Mar 2022</v>
      </c>
    </row>
    <row r="1629" spans="1:11" x14ac:dyDescent="0.25">
      <c r="A1629" s="6">
        <v>44295</v>
      </c>
      <c r="B1629" t="s">
        <v>19</v>
      </c>
      <c r="C1629" t="s">
        <v>23</v>
      </c>
      <c r="D1629" t="s">
        <v>17</v>
      </c>
      <c r="E1629">
        <v>225</v>
      </c>
      <c r="F1629" s="3">
        <v>10571420.359999999</v>
      </c>
      <c r="G1629">
        <v>2139579.44</v>
      </c>
      <c r="H1629">
        <v>8431840.9199999999</v>
      </c>
      <c r="I1629">
        <v>2.54</v>
      </c>
      <c r="J1629">
        <v>4.53</v>
      </c>
      <c r="K1629" t="str">
        <f t="shared" si="25"/>
        <v>Apr 2021</v>
      </c>
    </row>
    <row r="1630" spans="1:11" x14ac:dyDescent="0.25">
      <c r="A1630" s="6">
        <v>43946</v>
      </c>
      <c r="B1630" t="s">
        <v>19</v>
      </c>
      <c r="C1630" t="s">
        <v>22</v>
      </c>
      <c r="D1630" t="s">
        <v>14</v>
      </c>
      <c r="E1630">
        <v>414</v>
      </c>
      <c r="F1630" s="3">
        <v>36623015.090000004</v>
      </c>
      <c r="G1630">
        <v>12975631.32</v>
      </c>
      <c r="H1630">
        <v>23647383.77</v>
      </c>
      <c r="I1630">
        <v>4.9000000000000004</v>
      </c>
      <c r="J1630">
        <v>4.3</v>
      </c>
      <c r="K1630" t="str">
        <f t="shared" si="25"/>
        <v>Apr 2020</v>
      </c>
    </row>
    <row r="1631" spans="1:11" x14ac:dyDescent="0.25">
      <c r="A1631" s="6">
        <v>43877</v>
      </c>
      <c r="B1631" t="s">
        <v>19</v>
      </c>
      <c r="C1631" t="s">
        <v>20</v>
      </c>
      <c r="D1631" t="s">
        <v>12</v>
      </c>
      <c r="E1631">
        <v>94</v>
      </c>
      <c r="F1631" s="3">
        <v>5276348.71</v>
      </c>
      <c r="G1631">
        <v>2069388.17</v>
      </c>
      <c r="H1631">
        <v>3206960.54</v>
      </c>
      <c r="I1631">
        <v>0.64</v>
      </c>
      <c r="J1631">
        <v>4.08</v>
      </c>
      <c r="K1631" t="str">
        <f t="shared" si="25"/>
        <v>Feb 2020</v>
      </c>
    </row>
    <row r="1632" spans="1:11" x14ac:dyDescent="0.25">
      <c r="A1632" s="6">
        <v>44381</v>
      </c>
      <c r="B1632" t="s">
        <v>19</v>
      </c>
      <c r="C1632" t="s">
        <v>22</v>
      </c>
      <c r="D1632" t="s">
        <v>17</v>
      </c>
      <c r="E1632">
        <v>283</v>
      </c>
      <c r="F1632" s="3">
        <v>16059934.380000001</v>
      </c>
      <c r="G1632">
        <v>5417959.3499999996</v>
      </c>
      <c r="H1632">
        <v>10641975.029999999</v>
      </c>
      <c r="I1632">
        <v>1.1599999999999999</v>
      </c>
      <c r="J1632">
        <v>4.2300000000000004</v>
      </c>
      <c r="K1632" t="str">
        <f t="shared" si="25"/>
        <v>Jul 2021</v>
      </c>
    </row>
    <row r="1633" spans="1:11" x14ac:dyDescent="0.25">
      <c r="A1633" s="6">
        <v>45382</v>
      </c>
      <c r="B1633" t="s">
        <v>19</v>
      </c>
      <c r="C1633" t="s">
        <v>20</v>
      </c>
      <c r="D1633" t="s">
        <v>17</v>
      </c>
      <c r="E1633">
        <v>475</v>
      </c>
      <c r="F1633" s="3">
        <v>40139673.159999996</v>
      </c>
      <c r="G1633">
        <v>15123513.279999999</v>
      </c>
      <c r="H1633">
        <v>25016159.870000001</v>
      </c>
      <c r="I1633">
        <v>4.8</v>
      </c>
      <c r="J1633">
        <v>3.97</v>
      </c>
      <c r="K1633" t="str">
        <f t="shared" si="25"/>
        <v>Mar 2024</v>
      </c>
    </row>
    <row r="1634" spans="1:11" x14ac:dyDescent="0.25">
      <c r="A1634" s="6">
        <v>44351</v>
      </c>
      <c r="B1634" t="s">
        <v>19</v>
      </c>
      <c r="C1634" t="s">
        <v>22</v>
      </c>
      <c r="D1634" t="s">
        <v>14</v>
      </c>
      <c r="E1634">
        <v>136</v>
      </c>
      <c r="F1634" s="3">
        <v>8082075.29</v>
      </c>
      <c r="G1634">
        <v>1624726.71</v>
      </c>
      <c r="H1634">
        <v>6457348.5899999999</v>
      </c>
      <c r="I1634">
        <v>2.95</v>
      </c>
      <c r="J1634">
        <v>3.63</v>
      </c>
      <c r="K1634" t="str">
        <f t="shared" si="25"/>
        <v>Jun 2021</v>
      </c>
    </row>
    <row r="1635" spans="1:11" x14ac:dyDescent="0.25">
      <c r="A1635" s="6">
        <v>44476</v>
      </c>
      <c r="B1635" t="s">
        <v>19</v>
      </c>
      <c r="C1635" t="s">
        <v>22</v>
      </c>
      <c r="D1635" t="s">
        <v>12</v>
      </c>
      <c r="E1635">
        <v>108</v>
      </c>
      <c r="F1635" s="3">
        <v>9489144.7799999993</v>
      </c>
      <c r="G1635">
        <v>3056487.9</v>
      </c>
      <c r="H1635">
        <v>6432656.8899999997</v>
      </c>
      <c r="I1635">
        <v>2.23</v>
      </c>
      <c r="J1635">
        <v>4.01</v>
      </c>
      <c r="K1635" t="str">
        <f t="shared" si="25"/>
        <v>Oct 2021</v>
      </c>
    </row>
    <row r="1636" spans="1:11" x14ac:dyDescent="0.25">
      <c r="A1636" s="6">
        <v>44029</v>
      </c>
      <c r="B1636" t="s">
        <v>19</v>
      </c>
      <c r="C1636" t="s">
        <v>24</v>
      </c>
      <c r="D1636" t="s">
        <v>17</v>
      </c>
      <c r="E1636">
        <v>117</v>
      </c>
      <c r="F1636" s="3">
        <v>10402001.369999999</v>
      </c>
      <c r="G1636">
        <v>3166622.09</v>
      </c>
      <c r="H1636">
        <v>7235379.2699999996</v>
      </c>
      <c r="I1636">
        <v>2.9</v>
      </c>
      <c r="J1636">
        <v>3.75</v>
      </c>
      <c r="K1636" t="str">
        <f t="shared" si="25"/>
        <v>Jul 2020</v>
      </c>
    </row>
    <row r="1637" spans="1:11" x14ac:dyDescent="0.25">
      <c r="A1637" s="6">
        <v>45053</v>
      </c>
      <c r="B1637" t="s">
        <v>19</v>
      </c>
      <c r="C1637" t="s">
        <v>21</v>
      </c>
      <c r="D1637" t="s">
        <v>17</v>
      </c>
      <c r="E1637">
        <v>358</v>
      </c>
      <c r="F1637" s="3">
        <v>28944567.75</v>
      </c>
      <c r="G1637">
        <v>9028150.1999999993</v>
      </c>
      <c r="H1637">
        <v>19916417.550000001</v>
      </c>
      <c r="I1637">
        <v>1.86</v>
      </c>
      <c r="J1637">
        <v>3.89</v>
      </c>
      <c r="K1637" t="str">
        <f t="shared" si="25"/>
        <v>May 2023</v>
      </c>
    </row>
    <row r="1638" spans="1:11" x14ac:dyDescent="0.25">
      <c r="A1638" s="6">
        <v>44379</v>
      </c>
      <c r="B1638" t="s">
        <v>19</v>
      </c>
      <c r="C1638" t="s">
        <v>21</v>
      </c>
      <c r="D1638" t="s">
        <v>14</v>
      </c>
      <c r="E1638">
        <v>100</v>
      </c>
      <c r="F1638" s="3">
        <v>4474440.09</v>
      </c>
      <c r="G1638">
        <v>1335668.3600000001</v>
      </c>
      <c r="H1638">
        <v>3138771.73</v>
      </c>
      <c r="I1638">
        <v>3.55</v>
      </c>
      <c r="J1638">
        <v>3.85</v>
      </c>
      <c r="K1638" t="str">
        <f t="shared" si="25"/>
        <v>Jul 2021</v>
      </c>
    </row>
    <row r="1639" spans="1:11" x14ac:dyDescent="0.25">
      <c r="A1639" s="6">
        <v>43842</v>
      </c>
      <c r="B1639" t="s">
        <v>19</v>
      </c>
      <c r="C1639" t="s">
        <v>20</v>
      </c>
      <c r="D1639" t="s">
        <v>12</v>
      </c>
      <c r="E1639">
        <v>188</v>
      </c>
      <c r="F1639" s="3">
        <v>12346709.26</v>
      </c>
      <c r="G1639">
        <v>4081137.98</v>
      </c>
      <c r="H1639">
        <v>8265571.29</v>
      </c>
      <c r="I1639">
        <v>3.11</v>
      </c>
      <c r="J1639">
        <v>3.71</v>
      </c>
      <c r="K1639" t="str">
        <f t="shared" si="25"/>
        <v>Jan 2020</v>
      </c>
    </row>
    <row r="1640" spans="1:11" x14ac:dyDescent="0.25">
      <c r="A1640" s="6">
        <v>43932</v>
      </c>
      <c r="B1640" t="s">
        <v>19</v>
      </c>
      <c r="C1640" t="s">
        <v>22</v>
      </c>
      <c r="D1640" t="s">
        <v>12</v>
      </c>
      <c r="E1640">
        <v>446</v>
      </c>
      <c r="F1640" s="3">
        <v>30971527.899999999</v>
      </c>
      <c r="G1640">
        <v>9360228.5899999999</v>
      </c>
      <c r="H1640">
        <v>21611299.309999999</v>
      </c>
      <c r="I1640">
        <v>2.31</v>
      </c>
      <c r="J1640">
        <v>4.99</v>
      </c>
      <c r="K1640" t="str">
        <f t="shared" si="25"/>
        <v>Apr 2020</v>
      </c>
    </row>
    <row r="1641" spans="1:11" x14ac:dyDescent="0.25">
      <c r="A1641" s="6">
        <v>45165</v>
      </c>
      <c r="B1641" t="s">
        <v>19</v>
      </c>
      <c r="C1641" t="s">
        <v>20</v>
      </c>
      <c r="D1641" t="s">
        <v>17</v>
      </c>
      <c r="E1641">
        <v>301</v>
      </c>
      <c r="F1641" s="3">
        <v>15509601.779999999</v>
      </c>
      <c r="G1641">
        <v>5193163.3499999996</v>
      </c>
      <c r="H1641">
        <v>10316438.43</v>
      </c>
      <c r="I1641">
        <v>4.07</v>
      </c>
      <c r="J1641">
        <v>4.1900000000000004</v>
      </c>
      <c r="K1641" t="str">
        <f t="shared" si="25"/>
        <v>Aug 2023</v>
      </c>
    </row>
    <row r="1642" spans="1:11" x14ac:dyDescent="0.25">
      <c r="A1642" s="6">
        <v>45158</v>
      </c>
      <c r="B1642" t="s">
        <v>19</v>
      </c>
      <c r="C1642" t="s">
        <v>22</v>
      </c>
      <c r="D1642" t="s">
        <v>17</v>
      </c>
      <c r="E1642">
        <v>390</v>
      </c>
      <c r="F1642" s="3">
        <v>16824259.960000001</v>
      </c>
      <c r="G1642">
        <v>3860973.23</v>
      </c>
      <c r="H1642">
        <v>12963286.73</v>
      </c>
      <c r="I1642">
        <v>3.7</v>
      </c>
      <c r="J1642">
        <v>4.8600000000000003</v>
      </c>
      <c r="K1642" t="str">
        <f t="shared" si="25"/>
        <v>Aug 2023</v>
      </c>
    </row>
    <row r="1643" spans="1:11" x14ac:dyDescent="0.25">
      <c r="A1643" s="6">
        <v>44840</v>
      </c>
      <c r="B1643" t="s">
        <v>19</v>
      </c>
      <c r="C1643" t="s">
        <v>20</v>
      </c>
      <c r="D1643" t="s">
        <v>12</v>
      </c>
      <c r="E1643">
        <v>113</v>
      </c>
      <c r="F1643" s="3">
        <v>7640585.1200000001</v>
      </c>
      <c r="G1643">
        <v>2140707.6800000002</v>
      </c>
      <c r="H1643">
        <v>5499877.4400000004</v>
      </c>
      <c r="I1643">
        <v>2.09</v>
      </c>
      <c r="J1643">
        <v>4.1900000000000004</v>
      </c>
      <c r="K1643" t="str">
        <f t="shared" si="25"/>
        <v>Oct 2022</v>
      </c>
    </row>
    <row r="1644" spans="1:11" x14ac:dyDescent="0.25">
      <c r="A1644" s="6">
        <v>43881</v>
      </c>
      <c r="B1644" t="s">
        <v>19</v>
      </c>
      <c r="C1644" t="s">
        <v>22</v>
      </c>
      <c r="D1644" t="s">
        <v>14</v>
      </c>
      <c r="E1644">
        <v>295</v>
      </c>
      <c r="F1644" s="3">
        <v>12444834.279999999</v>
      </c>
      <c r="G1644">
        <v>3010381.03</v>
      </c>
      <c r="H1644">
        <v>9434453.2400000002</v>
      </c>
      <c r="I1644">
        <v>1.06</v>
      </c>
      <c r="J1644">
        <v>4.6900000000000004</v>
      </c>
      <c r="K1644" t="str">
        <f t="shared" si="25"/>
        <v>Feb 2020</v>
      </c>
    </row>
    <row r="1645" spans="1:11" x14ac:dyDescent="0.25">
      <c r="A1645" s="6">
        <v>44787</v>
      </c>
      <c r="B1645" t="s">
        <v>19</v>
      </c>
      <c r="C1645" t="s">
        <v>21</v>
      </c>
      <c r="D1645" t="s">
        <v>12</v>
      </c>
      <c r="E1645">
        <v>69</v>
      </c>
      <c r="F1645" s="3">
        <v>4186437.98</v>
      </c>
      <c r="G1645">
        <v>1645721.21</v>
      </c>
      <c r="H1645">
        <v>2540716.77</v>
      </c>
      <c r="I1645">
        <v>4.8600000000000003</v>
      </c>
      <c r="J1645">
        <v>4.92</v>
      </c>
      <c r="K1645" t="str">
        <f t="shared" si="25"/>
        <v>Aug 2022</v>
      </c>
    </row>
    <row r="1646" spans="1:11" x14ac:dyDescent="0.25">
      <c r="A1646" s="6">
        <v>45023</v>
      </c>
      <c r="B1646" t="s">
        <v>19</v>
      </c>
      <c r="C1646" t="s">
        <v>23</v>
      </c>
      <c r="D1646" t="s">
        <v>12</v>
      </c>
      <c r="E1646">
        <v>203</v>
      </c>
      <c r="F1646" s="3">
        <v>18057724.079999998</v>
      </c>
      <c r="G1646">
        <v>5477242.0099999998</v>
      </c>
      <c r="H1646">
        <v>12580482.07</v>
      </c>
      <c r="I1646">
        <v>4.3899999999999997</v>
      </c>
      <c r="J1646">
        <v>4.38</v>
      </c>
      <c r="K1646" t="str">
        <f t="shared" si="25"/>
        <v>Apr 2023</v>
      </c>
    </row>
    <row r="1647" spans="1:11" x14ac:dyDescent="0.25">
      <c r="A1647" s="6">
        <v>43976</v>
      </c>
      <c r="B1647" t="s">
        <v>19</v>
      </c>
      <c r="C1647" t="s">
        <v>22</v>
      </c>
      <c r="D1647" t="s">
        <v>14</v>
      </c>
      <c r="E1647">
        <v>299</v>
      </c>
      <c r="F1647" s="3">
        <v>18546371.93</v>
      </c>
      <c r="G1647">
        <v>5480660.0899999999</v>
      </c>
      <c r="H1647">
        <v>13065711.84</v>
      </c>
      <c r="I1647">
        <v>3.03</v>
      </c>
      <c r="J1647">
        <v>4.16</v>
      </c>
      <c r="K1647" t="str">
        <f t="shared" si="25"/>
        <v>May 2020</v>
      </c>
    </row>
    <row r="1648" spans="1:11" x14ac:dyDescent="0.25">
      <c r="A1648" s="6">
        <v>44396</v>
      </c>
      <c r="B1648" t="s">
        <v>19</v>
      </c>
      <c r="C1648" t="s">
        <v>20</v>
      </c>
      <c r="D1648" t="s">
        <v>14</v>
      </c>
      <c r="E1648">
        <v>460</v>
      </c>
      <c r="F1648" s="3">
        <v>29035269.190000001</v>
      </c>
      <c r="G1648">
        <v>8755147.1099999994</v>
      </c>
      <c r="H1648">
        <v>20280122.079999998</v>
      </c>
      <c r="I1648">
        <v>3.1</v>
      </c>
      <c r="J1648">
        <v>4.8</v>
      </c>
      <c r="K1648" t="str">
        <f t="shared" si="25"/>
        <v>Jul 2021</v>
      </c>
    </row>
    <row r="1649" spans="1:11" x14ac:dyDescent="0.25">
      <c r="A1649" s="6">
        <v>45324</v>
      </c>
      <c r="B1649" t="s">
        <v>19</v>
      </c>
      <c r="C1649" t="s">
        <v>22</v>
      </c>
      <c r="D1649" t="s">
        <v>12</v>
      </c>
      <c r="E1649">
        <v>268</v>
      </c>
      <c r="F1649" s="3">
        <v>15387791.23</v>
      </c>
      <c r="G1649">
        <v>3608378.81</v>
      </c>
      <c r="H1649">
        <v>11779412.42</v>
      </c>
      <c r="I1649">
        <v>3.94</v>
      </c>
      <c r="J1649">
        <v>4.3600000000000003</v>
      </c>
      <c r="K1649" t="str">
        <f t="shared" si="25"/>
        <v>Feb 2024</v>
      </c>
    </row>
    <row r="1650" spans="1:11" x14ac:dyDescent="0.25">
      <c r="A1650" s="6">
        <v>44418</v>
      </c>
      <c r="B1650" t="s">
        <v>19</v>
      </c>
      <c r="C1650" t="s">
        <v>22</v>
      </c>
      <c r="D1650" t="s">
        <v>12</v>
      </c>
      <c r="E1650">
        <v>414</v>
      </c>
      <c r="F1650" s="3">
        <v>25339526.649999999</v>
      </c>
      <c r="G1650">
        <v>5087553.8499999996</v>
      </c>
      <c r="H1650">
        <v>20251972.789999999</v>
      </c>
      <c r="I1650">
        <v>0.77</v>
      </c>
      <c r="J1650">
        <v>3.5</v>
      </c>
      <c r="K1650" t="str">
        <f t="shared" si="25"/>
        <v>Aug 2021</v>
      </c>
    </row>
    <row r="1651" spans="1:11" x14ac:dyDescent="0.25">
      <c r="A1651" s="6">
        <v>44571</v>
      </c>
      <c r="B1651" t="s">
        <v>19</v>
      </c>
      <c r="C1651" t="s">
        <v>22</v>
      </c>
      <c r="D1651" t="s">
        <v>17</v>
      </c>
      <c r="E1651">
        <v>386</v>
      </c>
      <c r="F1651" s="3">
        <v>31491148.77</v>
      </c>
      <c r="G1651">
        <v>6971572.21</v>
      </c>
      <c r="H1651">
        <v>24519576.57</v>
      </c>
      <c r="I1651">
        <v>0.78</v>
      </c>
      <c r="J1651">
        <v>4.83</v>
      </c>
      <c r="K1651" t="str">
        <f t="shared" si="25"/>
        <v>Jan 2022</v>
      </c>
    </row>
    <row r="1652" spans="1:11" x14ac:dyDescent="0.25">
      <c r="A1652" s="6">
        <v>45288</v>
      </c>
      <c r="B1652" t="s">
        <v>19</v>
      </c>
      <c r="C1652" t="s">
        <v>23</v>
      </c>
      <c r="D1652" t="s">
        <v>17</v>
      </c>
      <c r="E1652">
        <v>492</v>
      </c>
      <c r="F1652" s="3">
        <v>18053178.739999998</v>
      </c>
      <c r="G1652">
        <v>3713419.56</v>
      </c>
      <c r="H1652">
        <v>14339759.18</v>
      </c>
      <c r="I1652">
        <v>1.49</v>
      </c>
      <c r="J1652">
        <v>4.5999999999999996</v>
      </c>
      <c r="K1652" t="str">
        <f t="shared" si="25"/>
        <v>Dec 2023</v>
      </c>
    </row>
    <row r="1653" spans="1:11" x14ac:dyDescent="0.25">
      <c r="A1653" s="6">
        <v>44510</v>
      </c>
      <c r="B1653" t="s">
        <v>19</v>
      </c>
      <c r="C1653" t="s">
        <v>23</v>
      </c>
      <c r="D1653" t="s">
        <v>14</v>
      </c>
      <c r="E1653">
        <v>163</v>
      </c>
      <c r="F1653" s="3">
        <v>9979901.6899999995</v>
      </c>
      <c r="G1653">
        <v>2619281</v>
      </c>
      <c r="H1653">
        <v>7360620.6900000004</v>
      </c>
      <c r="I1653">
        <v>3.75</v>
      </c>
      <c r="J1653">
        <v>4.54</v>
      </c>
      <c r="K1653" t="str">
        <f t="shared" si="25"/>
        <v>Nov 2021</v>
      </c>
    </row>
    <row r="1654" spans="1:11" x14ac:dyDescent="0.25">
      <c r="A1654" s="6">
        <v>45352</v>
      </c>
      <c r="B1654" t="s">
        <v>19</v>
      </c>
      <c r="C1654" t="s">
        <v>20</v>
      </c>
      <c r="D1654" t="s">
        <v>12</v>
      </c>
      <c r="E1654">
        <v>347</v>
      </c>
      <c r="F1654" s="3">
        <v>24217104.34</v>
      </c>
      <c r="G1654">
        <v>6565400.9500000002</v>
      </c>
      <c r="H1654">
        <v>17651703.390000001</v>
      </c>
      <c r="I1654">
        <v>4.1900000000000004</v>
      </c>
      <c r="J1654">
        <v>4</v>
      </c>
      <c r="K1654" t="str">
        <f t="shared" si="25"/>
        <v>Mar 2024</v>
      </c>
    </row>
    <row r="1655" spans="1:11" x14ac:dyDescent="0.25">
      <c r="A1655" s="6">
        <v>45326</v>
      </c>
      <c r="B1655" t="s">
        <v>19</v>
      </c>
      <c r="C1655" t="s">
        <v>20</v>
      </c>
      <c r="D1655" t="s">
        <v>14</v>
      </c>
      <c r="E1655">
        <v>84</v>
      </c>
      <c r="F1655" s="3">
        <v>3913456.93</v>
      </c>
      <c r="G1655">
        <v>815996.46</v>
      </c>
      <c r="H1655">
        <v>3097460.48</v>
      </c>
      <c r="I1655">
        <v>0.54</v>
      </c>
      <c r="J1655">
        <v>5</v>
      </c>
      <c r="K1655" t="str">
        <f t="shared" si="25"/>
        <v>Feb 2024</v>
      </c>
    </row>
    <row r="1656" spans="1:11" x14ac:dyDescent="0.25">
      <c r="A1656" s="6">
        <v>44096</v>
      </c>
      <c r="B1656" t="s">
        <v>19</v>
      </c>
      <c r="C1656" t="s">
        <v>24</v>
      </c>
      <c r="D1656" t="s">
        <v>12</v>
      </c>
      <c r="E1656">
        <v>313</v>
      </c>
      <c r="F1656" s="3">
        <v>28077876.359999999</v>
      </c>
      <c r="G1656">
        <v>10726803.630000001</v>
      </c>
      <c r="H1656">
        <v>17351072.73</v>
      </c>
      <c r="I1656">
        <v>0.51</v>
      </c>
      <c r="J1656">
        <v>3.57</v>
      </c>
      <c r="K1656" t="str">
        <f t="shared" si="25"/>
        <v>Sep 2020</v>
      </c>
    </row>
    <row r="1657" spans="1:11" x14ac:dyDescent="0.25">
      <c r="A1657" s="6">
        <v>45316</v>
      </c>
      <c r="B1657" t="s">
        <v>19</v>
      </c>
      <c r="C1657" t="s">
        <v>23</v>
      </c>
      <c r="D1657" t="s">
        <v>14</v>
      </c>
      <c r="E1657">
        <v>341</v>
      </c>
      <c r="F1657" s="3">
        <v>27579381.920000002</v>
      </c>
      <c r="G1657">
        <v>6947377.96</v>
      </c>
      <c r="H1657">
        <v>20632003.960000001</v>
      </c>
      <c r="I1657">
        <v>1.1399999999999999</v>
      </c>
      <c r="J1657">
        <v>4.63</v>
      </c>
      <c r="K1657" t="str">
        <f t="shared" si="25"/>
        <v>Jan 2024</v>
      </c>
    </row>
    <row r="1658" spans="1:11" x14ac:dyDescent="0.25">
      <c r="A1658" s="6">
        <v>45035</v>
      </c>
      <c r="B1658" t="s">
        <v>19</v>
      </c>
      <c r="C1658" t="s">
        <v>23</v>
      </c>
      <c r="D1658" t="s">
        <v>14</v>
      </c>
      <c r="E1658">
        <v>438</v>
      </c>
      <c r="F1658" s="3">
        <v>35130212.659999996</v>
      </c>
      <c r="G1658">
        <v>8366729.6900000004</v>
      </c>
      <c r="H1658">
        <v>26763482.969999999</v>
      </c>
      <c r="I1658">
        <v>4.4800000000000004</v>
      </c>
      <c r="J1658">
        <v>4.55</v>
      </c>
      <c r="K1658" t="str">
        <f t="shared" si="25"/>
        <v>Apr 2023</v>
      </c>
    </row>
    <row r="1659" spans="1:11" x14ac:dyDescent="0.25">
      <c r="A1659" s="6">
        <v>44398</v>
      </c>
      <c r="B1659" t="s">
        <v>19</v>
      </c>
      <c r="C1659" t="s">
        <v>20</v>
      </c>
      <c r="D1659" t="s">
        <v>12</v>
      </c>
      <c r="E1659">
        <v>240</v>
      </c>
      <c r="F1659" s="3">
        <v>9569582.2200000007</v>
      </c>
      <c r="G1659">
        <v>2894554.01</v>
      </c>
      <c r="H1659">
        <v>6675028.2199999997</v>
      </c>
      <c r="I1659">
        <v>0.85</v>
      </c>
      <c r="J1659">
        <v>4.1100000000000003</v>
      </c>
      <c r="K1659" t="str">
        <f t="shared" si="25"/>
        <v>Jul 2021</v>
      </c>
    </row>
    <row r="1660" spans="1:11" x14ac:dyDescent="0.25">
      <c r="A1660" s="6">
        <v>44674</v>
      </c>
      <c r="B1660" t="s">
        <v>19</v>
      </c>
      <c r="C1660" t="s">
        <v>22</v>
      </c>
      <c r="D1660" t="s">
        <v>12</v>
      </c>
      <c r="E1660">
        <v>463</v>
      </c>
      <c r="F1660" s="3">
        <v>16828852.989999998</v>
      </c>
      <c r="G1660">
        <v>5701153.1299999999</v>
      </c>
      <c r="H1660">
        <v>11127699.85</v>
      </c>
      <c r="I1660">
        <v>2.97</v>
      </c>
      <c r="J1660">
        <v>4.45</v>
      </c>
      <c r="K1660" t="str">
        <f t="shared" si="25"/>
        <v>Apr 2022</v>
      </c>
    </row>
    <row r="1661" spans="1:11" x14ac:dyDescent="0.25">
      <c r="A1661" s="6">
        <v>44716</v>
      </c>
      <c r="B1661" t="s">
        <v>19</v>
      </c>
      <c r="C1661" t="s">
        <v>23</v>
      </c>
      <c r="D1661" t="s">
        <v>14</v>
      </c>
      <c r="E1661">
        <v>222</v>
      </c>
      <c r="F1661" s="3">
        <v>16289604.130000001</v>
      </c>
      <c r="G1661">
        <v>6496004.9900000002</v>
      </c>
      <c r="H1661">
        <v>9793599.1400000006</v>
      </c>
      <c r="I1661">
        <v>0.95</v>
      </c>
      <c r="J1661">
        <v>4.8</v>
      </c>
      <c r="K1661" t="str">
        <f t="shared" si="25"/>
        <v>Jun 2022</v>
      </c>
    </row>
    <row r="1662" spans="1:11" x14ac:dyDescent="0.25">
      <c r="A1662" s="6">
        <v>44718</v>
      </c>
      <c r="B1662" t="s">
        <v>19</v>
      </c>
      <c r="C1662" t="s">
        <v>20</v>
      </c>
      <c r="D1662" t="s">
        <v>17</v>
      </c>
      <c r="E1662">
        <v>115</v>
      </c>
      <c r="F1662" s="3">
        <v>4511152.63</v>
      </c>
      <c r="G1662">
        <v>1352782.55</v>
      </c>
      <c r="H1662">
        <v>3158370.07</v>
      </c>
      <c r="I1662">
        <v>4.08</v>
      </c>
      <c r="J1662">
        <v>4.5599999999999996</v>
      </c>
      <c r="K1662" t="str">
        <f t="shared" si="25"/>
        <v>Jun 2022</v>
      </c>
    </row>
    <row r="1663" spans="1:11" x14ac:dyDescent="0.25">
      <c r="A1663" s="6">
        <v>44641</v>
      </c>
      <c r="B1663" t="s">
        <v>19</v>
      </c>
      <c r="C1663" t="s">
        <v>22</v>
      </c>
      <c r="D1663" t="s">
        <v>17</v>
      </c>
      <c r="E1663">
        <v>237</v>
      </c>
      <c r="F1663" s="3">
        <v>10187636.550000001</v>
      </c>
      <c r="G1663">
        <v>2628185.9900000002</v>
      </c>
      <c r="H1663">
        <v>7559450.5599999996</v>
      </c>
      <c r="I1663">
        <v>3.5</v>
      </c>
      <c r="J1663">
        <v>3.82</v>
      </c>
      <c r="K1663" t="str">
        <f t="shared" si="25"/>
        <v>Mar 2022</v>
      </c>
    </row>
    <row r="1664" spans="1:11" x14ac:dyDescent="0.25">
      <c r="A1664" s="6">
        <v>44621</v>
      </c>
      <c r="B1664" t="s">
        <v>19</v>
      </c>
      <c r="C1664" t="s">
        <v>21</v>
      </c>
      <c r="D1664" t="s">
        <v>14</v>
      </c>
      <c r="E1664">
        <v>339</v>
      </c>
      <c r="F1664" s="3">
        <v>17104328.879999999</v>
      </c>
      <c r="G1664">
        <v>4093124.93</v>
      </c>
      <c r="H1664">
        <v>13011203.949999999</v>
      </c>
      <c r="I1664">
        <v>4.68</v>
      </c>
      <c r="J1664">
        <v>4.1100000000000003</v>
      </c>
      <c r="K1664" t="str">
        <f t="shared" si="25"/>
        <v>Mar 2022</v>
      </c>
    </row>
    <row r="1665" spans="1:11" x14ac:dyDescent="0.25">
      <c r="A1665" s="6">
        <v>44582</v>
      </c>
      <c r="B1665" t="s">
        <v>19</v>
      </c>
      <c r="C1665" t="s">
        <v>21</v>
      </c>
      <c r="D1665" t="s">
        <v>12</v>
      </c>
      <c r="E1665">
        <v>76</v>
      </c>
      <c r="F1665" s="3">
        <v>2752072.53</v>
      </c>
      <c r="G1665">
        <v>779795.63</v>
      </c>
      <c r="H1665">
        <v>1972276.9</v>
      </c>
      <c r="I1665">
        <v>4.29</v>
      </c>
      <c r="J1665">
        <v>4.32</v>
      </c>
      <c r="K1665" t="str">
        <f t="shared" si="25"/>
        <v>Jan 2022</v>
      </c>
    </row>
    <row r="1666" spans="1:11" x14ac:dyDescent="0.25">
      <c r="A1666" s="6">
        <v>45245</v>
      </c>
      <c r="B1666" t="s">
        <v>19</v>
      </c>
      <c r="C1666" t="s">
        <v>23</v>
      </c>
      <c r="D1666" t="s">
        <v>17</v>
      </c>
      <c r="E1666">
        <v>207</v>
      </c>
      <c r="F1666" s="3">
        <v>18390700</v>
      </c>
      <c r="G1666">
        <v>5136547.9000000004</v>
      </c>
      <c r="H1666">
        <v>13254152.09</v>
      </c>
      <c r="I1666">
        <v>2.11</v>
      </c>
      <c r="J1666">
        <v>4.47</v>
      </c>
      <c r="K1666" t="str">
        <f t="shared" ref="K1666:K1729" si="26">TEXT(A1666,"mmm yyyy")</f>
        <v>Nov 2023</v>
      </c>
    </row>
    <row r="1667" spans="1:11" x14ac:dyDescent="0.25">
      <c r="A1667" s="6">
        <v>45590</v>
      </c>
      <c r="B1667" t="s">
        <v>19</v>
      </c>
      <c r="C1667" t="s">
        <v>24</v>
      </c>
      <c r="D1667" t="s">
        <v>14</v>
      </c>
      <c r="E1667">
        <v>263</v>
      </c>
      <c r="F1667" s="3">
        <v>11922146.859999999</v>
      </c>
      <c r="G1667">
        <v>3052566.86</v>
      </c>
      <c r="H1667">
        <v>8869580</v>
      </c>
      <c r="I1667">
        <v>4.4000000000000004</v>
      </c>
      <c r="J1667">
        <v>4.18</v>
      </c>
      <c r="K1667" t="str">
        <f t="shared" si="26"/>
        <v>Oct 2024</v>
      </c>
    </row>
    <row r="1668" spans="1:11" x14ac:dyDescent="0.25">
      <c r="A1668" s="6">
        <v>44528</v>
      </c>
      <c r="B1668" t="s">
        <v>19</v>
      </c>
      <c r="C1668" t="s">
        <v>20</v>
      </c>
      <c r="D1668" t="s">
        <v>12</v>
      </c>
      <c r="E1668">
        <v>103</v>
      </c>
      <c r="F1668" s="3">
        <v>4011609.94</v>
      </c>
      <c r="G1668">
        <v>1056965.17</v>
      </c>
      <c r="H1668">
        <v>2954644.77</v>
      </c>
      <c r="I1668">
        <v>1.59</v>
      </c>
      <c r="J1668">
        <v>4.57</v>
      </c>
      <c r="K1668" t="str">
        <f t="shared" si="26"/>
        <v>Nov 2021</v>
      </c>
    </row>
    <row r="1669" spans="1:11" x14ac:dyDescent="0.25">
      <c r="A1669" s="6">
        <v>44555</v>
      </c>
      <c r="B1669" t="s">
        <v>19</v>
      </c>
      <c r="C1669" t="s">
        <v>20</v>
      </c>
      <c r="D1669" t="s">
        <v>17</v>
      </c>
      <c r="E1669">
        <v>102</v>
      </c>
      <c r="F1669" s="3">
        <v>8080207.2300000004</v>
      </c>
      <c r="G1669">
        <v>2339218.4300000002</v>
      </c>
      <c r="H1669">
        <v>5740988.7999999998</v>
      </c>
      <c r="I1669">
        <v>2.84</v>
      </c>
      <c r="J1669">
        <v>3.71</v>
      </c>
      <c r="K1669" t="str">
        <f t="shared" si="26"/>
        <v>Dec 2021</v>
      </c>
    </row>
    <row r="1670" spans="1:11" x14ac:dyDescent="0.25">
      <c r="A1670" s="6">
        <v>45611</v>
      </c>
      <c r="B1670" t="s">
        <v>19</v>
      </c>
      <c r="C1670" t="s">
        <v>20</v>
      </c>
      <c r="D1670" t="s">
        <v>14</v>
      </c>
      <c r="E1670">
        <v>313</v>
      </c>
      <c r="F1670" s="3">
        <v>15627312.48</v>
      </c>
      <c r="G1670">
        <v>4698522.08</v>
      </c>
      <c r="H1670">
        <v>10928790.41</v>
      </c>
      <c r="I1670">
        <v>1.78</v>
      </c>
      <c r="J1670">
        <v>3.7</v>
      </c>
      <c r="K1670" t="str">
        <f t="shared" si="26"/>
        <v>Nov 2024</v>
      </c>
    </row>
    <row r="1671" spans="1:11" x14ac:dyDescent="0.25">
      <c r="A1671" s="6">
        <v>45208</v>
      </c>
      <c r="B1671" t="s">
        <v>19</v>
      </c>
      <c r="C1671" t="s">
        <v>21</v>
      </c>
      <c r="D1671" t="s">
        <v>17</v>
      </c>
      <c r="E1671">
        <v>403</v>
      </c>
      <c r="F1671" s="3">
        <v>30101958.219999999</v>
      </c>
      <c r="G1671">
        <v>10405963.710000001</v>
      </c>
      <c r="H1671">
        <v>19695994.5</v>
      </c>
      <c r="I1671">
        <v>2.31</v>
      </c>
      <c r="J1671">
        <v>3.65</v>
      </c>
      <c r="K1671" t="str">
        <f t="shared" si="26"/>
        <v>Oct 2023</v>
      </c>
    </row>
    <row r="1672" spans="1:11" x14ac:dyDescent="0.25">
      <c r="A1672" s="6">
        <v>45576</v>
      </c>
      <c r="B1672" t="s">
        <v>19</v>
      </c>
      <c r="C1672" t="s">
        <v>22</v>
      </c>
      <c r="D1672" t="s">
        <v>14</v>
      </c>
      <c r="E1672">
        <v>290</v>
      </c>
      <c r="F1672" s="3">
        <v>18302509.77</v>
      </c>
      <c r="G1672">
        <v>7149502.4100000001</v>
      </c>
      <c r="H1672">
        <v>11153007.369999999</v>
      </c>
      <c r="I1672">
        <v>1.74</v>
      </c>
      <c r="J1672">
        <v>4.5599999999999996</v>
      </c>
      <c r="K1672" t="str">
        <f t="shared" si="26"/>
        <v>Oct 2024</v>
      </c>
    </row>
    <row r="1673" spans="1:11" x14ac:dyDescent="0.25">
      <c r="A1673" s="6">
        <v>44068</v>
      </c>
      <c r="B1673" t="s">
        <v>19</v>
      </c>
      <c r="C1673" t="s">
        <v>23</v>
      </c>
      <c r="D1673" t="s">
        <v>12</v>
      </c>
      <c r="E1673">
        <v>392</v>
      </c>
      <c r="F1673" s="3">
        <v>26295226.120000001</v>
      </c>
      <c r="G1673">
        <v>8062284.6200000001</v>
      </c>
      <c r="H1673">
        <v>18232941.5</v>
      </c>
      <c r="I1673">
        <v>2.0299999999999998</v>
      </c>
      <c r="J1673">
        <v>4.91</v>
      </c>
      <c r="K1673" t="str">
        <f t="shared" si="26"/>
        <v>Aug 2020</v>
      </c>
    </row>
    <row r="1674" spans="1:11" x14ac:dyDescent="0.25">
      <c r="A1674" s="6">
        <v>45413</v>
      </c>
      <c r="B1674" t="s">
        <v>19</v>
      </c>
      <c r="C1674" t="s">
        <v>20</v>
      </c>
      <c r="D1674" t="s">
        <v>17</v>
      </c>
      <c r="E1674">
        <v>369</v>
      </c>
      <c r="F1674" s="3">
        <v>19333702.690000001</v>
      </c>
      <c r="G1674">
        <v>7339489.6500000004</v>
      </c>
      <c r="H1674">
        <v>11994213.039999999</v>
      </c>
      <c r="I1674">
        <v>2.12</v>
      </c>
      <c r="J1674">
        <v>3.91</v>
      </c>
      <c r="K1674" t="str">
        <f t="shared" si="26"/>
        <v>May 2024</v>
      </c>
    </row>
    <row r="1675" spans="1:11" x14ac:dyDescent="0.25">
      <c r="A1675" s="6">
        <v>44545</v>
      </c>
      <c r="B1675" t="s">
        <v>19</v>
      </c>
      <c r="C1675" t="s">
        <v>21</v>
      </c>
      <c r="D1675" t="s">
        <v>17</v>
      </c>
      <c r="E1675">
        <v>460</v>
      </c>
      <c r="F1675" s="3">
        <v>38023663.939999998</v>
      </c>
      <c r="G1675">
        <v>10861009.68</v>
      </c>
      <c r="H1675">
        <v>27162654.260000002</v>
      </c>
      <c r="I1675">
        <v>4.58</v>
      </c>
      <c r="J1675">
        <v>4.91</v>
      </c>
      <c r="K1675" t="str">
        <f t="shared" si="26"/>
        <v>Dec 2021</v>
      </c>
    </row>
    <row r="1676" spans="1:11" x14ac:dyDescent="0.25">
      <c r="A1676" s="6">
        <v>44233</v>
      </c>
      <c r="B1676" t="s">
        <v>19</v>
      </c>
      <c r="C1676" t="s">
        <v>20</v>
      </c>
      <c r="D1676" t="s">
        <v>17</v>
      </c>
      <c r="E1676">
        <v>132</v>
      </c>
      <c r="F1676" s="3">
        <v>11226187.220000001</v>
      </c>
      <c r="G1676">
        <v>3643306.27</v>
      </c>
      <c r="H1676">
        <v>7582880.96</v>
      </c>
      <c r="I1676">
        <v>4.84</v>
      </c>
      <c r="J1676">
        <v>3.63</v>
      </c>
      <c r="K1676" t="str">
        <f t="shared" si="26"/>
        <v>Feb 2021</v>
      </c>
    </row>
    <row r="1677" spans="1:11" x14ac:dyDescent="0.25">
      <c r="A1677" s="6">
        <v>45419</v>
      </c>
      <c r="B1677" t="s">
        <v>19</v>
      </c>
      <c r="C1677" t="s">
        <v>20</v>
      </c>
      <c r="D1677" t="s">
        <v>14</v>
      </c>
      <c r="E1677">
        <v>235</v>
      </c>
      <c r="F1677" s="3">
        <v>8771620.8599999994</v>
      </c>
      <c r="G1677">
        <v>2518105.9500000002</v>
      </c>
      <c r="H1677">
        <v>6253514.9100000001</v>
      </c>
      <c r="I1677">
        <v>4.6900000000000004</v>
      </c>
      <c r="J1677">
        <v>4.7699999999999996</v>
      </c>
      <c r="K1677" t="str">
        <f t="shared" si="26"/>
        <v>May 2024</v>
      </c>
    </row>
    <row r="1678" spans="1:11" x14ac:dyDescent="0.25">
      <c r="A1678" s="6">
        <v>45647</v>
      </c>
      <c r="B1678" t="s">
        <v>19</v>
      </c>
      <c r="C1678" t="s">
        <v>23</v>
      </c>
      <c r="D1678" t="s">
        <v>17</v>
      </c>
      <c r="E1678">
        <v>488</v>
      </c>
      <c r="F1678" s="3">
        <v>17197110.16</v>
      </c>
      <c r="G1678">
        <v>6304621.9299999997</v>
      </c>
      <c r="H1678">
        <v>10892488.23</v>
      </c>
      <c r="I1678">
        <v>3.71</v>
      </c>
      <c r="J1678">
        <v>4.5</v>
      </c>
      <c r="K1678" t="str">
        <f t="shared" si="26"/>
        <v>Dec 2024</v>
      </c>
    </row>
    <row r="1679" spans="1:11" x14ac:dyDescent="0.25">
      <c r="A1679" s="6">
        <v>45135</v>
      </c>
      <c r="B1679" t="s">
        <v>19</v>
      </c>
      <c r="C1679" t="s">
        <v>23</v>
      </c>
      <c r="D1679" t="s">
        <v>14</v>
      </c>
      <c r="E1679">
        <v>466</v>
      </c>
      <c r="F1679" s="3">
        <v>23446402.030000001</v>
      </c>
      <c r="G1679">
        <v>8770827.0199999996</v>
      </c>
      <c r="H1679">
        <v>14675575.01</v>
      </c>
      <c r="I1679">
        <v>3.54</v>
      </c>
      <c r="J1679">
        <v>4.92</v>
      </c>
      <c r="K1679" t="str">
        <f t="shared" si="26"/>
        <v>Jul 2023</v>
      </c>
    </row>
    <row r="1680" spans="1:11" x14ac:dyDescent="0.25">
      <c r="A1680" s="6">
        <v>44755</v>
      </c>
      <c r="B1680" t="s">
        <v>19</v>
      </c>
      <c r="C1680" t="s">
        <v>21</v>
      </c>
      <c r="D1680" t="s">
        <v>17</v>
      </c>
      <c r="E1680">
        <v>250</v>
      </c>
      <c r="F1680" s="3">
        <v>10198767.68</v>
      </c>
      <c r="G1680">
        <v>2484779.08</v>
      </c>
      <c r="H1680">
        <v>7713988.5999999996</v>
      </c>
      <c r="I1680">
        <v>3.4</v>
      </c>
      <c r="J1680">
        <v>3.57</v>
      </c>
      <c r="K1680" t="str">
        <f t="shared" si="26"/>
        <v>Jul 2022</v>
      </c>
    </row>
    <row r="1681" spans="1:11" x14ac:dyDescent="0.25">
      <c r="A1681" s="6">
        <v>44573</v>
      </c>
      <c r="B1681" t="s">
        <v>19</v>
      </c>
      <c r="C1681" t="s">
        <v>24</v>
      </c>
      <c r="D1681" t="s">
        <v>14</v>
      </c>
      <c r="E1681">
        <v>150</v>
      </c>
      <c r="F1681" s="3">
        <v>9363209.0999999996</v>
      </c>
      <c r="G1681">
        <v>3024091.6</v>
      </c>
      <c r="H1681">
        <v>6339117.5</v>
      </c>
      <c r="I1681">
        <v>4.4000000000000004</v>
      </c>
      <c r="J1681">
        <v>4.21</v>
      </c>
      <c r="K1681" t="str">
        <f t="shared" si="26"/>
        <v>Jan 2022</v>
      </c>
    </row>
    <row r="1682" spans="1:11" x14ac:dyDescent="0.25">
      <c r="A1682" s="6">
        <v>44306</v>
      </c>
      <c r="B1682" t="s">
        <v>19</v>
      </c>
      <c r="C1682" t="s">
        <v>21</v>
      </c>
      <c r="D1682" t="s">
        <v>14</v>
      </c>
      <c r="E1682">
        <v>195</v>
      </c>
      <c r="F1682" s="3">
        <v>13629198.960000001</v>
      </c>
      <c r="G1682">
        <v>3350655.1</v>
      </c>
      <c r="H1682">
        <v>10278543.85</v>
      </c>
      <c r="I1682">
        <v>0.51</v>
      </c>
      <c r="J1682">
        <v>4.79</v>
      </c>
      <c r="K1682" t="str">
        <f t="shared" si="26"/>
        <v>Apr 2021</v>
      </c>
    </row>
    <row r="1683" spans="1:11" x14ac:dyDescent="0.25">
      <c r="A1683" s="6">
        <v>44536</v>
      </c>
      <c r="B1683" t="s">
        <v>19</v>
      </c>
      <c r="C1683" t="s">
        <v>24</v>
      </c>
      <c r="D1683" t="s">
        <v>14</v>
      </c>
      <c r="E1683">
        <v>62</v>
      </c>
      <c r="F1683" s="3">
        <v>3590280.11</v>
      </c>
      <c r="G1683">
        <v>845740.83</v>
      </c>
      <c r="H1683">
        <v>2744539.29</v>
      </c>
      <c r="I1683">
        <v>4.33</v>
      </c>
      <c r="J1683">
        <v>3.82</v>
      </c>
      <c r="K1683" t="str">
        <f t="shared" si="26"/>
        <v>Dec 2021</v>
      </c>
    </row>
    <row r="1684" spans="1:11" x14ac:dyDescent="0.25">
      <c r="A1684" s="6">
        <v>45252</v>
      </c>
      <c r="B1684" t="s">
        <v>19</v>
      </c>
      <c r="C1684" t="s">
        <v>22</v>
      </c>
      <c r="D1684" t="s">
        <v>14</v>
      </c>
      <c r="E1684">
        <v>378</v>
      </c>
      <c r="F1684" s="3">
        <v>31312376.440000001</v>
      </c>
      <c r="G1684">
        <v>7950235.1699999999</v>
      </c>
      <c r="H1684">
        <v>23362141.27</v>
      </c>
      <c r="I1684">
        <v>3.41</v>
      </c>
      <c r="J1684">
        <v>4.6900000000000004</v>
      </c>
      <c r="K1684" t="str">
        <f t="shared" si="26"/>
        <v>Nov 2023</v>
      </c>
    </row>
    <row r="1685" spans="1:11" x14ac:dyDescent="0.25">
      <c r="A1685" s="6">
        <v>44191</v>
      </c>
      <c r="B1685" t="s">
        <v>19</v>
      </c>
      <c r="C1685" t="s">
        <v>23</v>
      </c>
      <c r="D1685" t="s">
        <v>17</v>
      </c>
      <c r="E1685">
        <v>392</v>
      </c>
      <c r="F1685" s="3">
        <v>26823135.760000002</v>
      </c>
      <c r="G1685">
        <v>9145071.9800000004</v>
      </c>
      <c r="H1685">
        <v>17678063.780000001</v>
      </c>
      <c r="I1685">
        <v>1.1100000000000001</v>
      </c>
      <c r="J1685">
        <v>4.4800000000000004</v>
      </c>
      <c r="K1685" t="str">
        <f t="shared" si="26"/>
        <v>Dec 2020</v>
      </c>
    </row>
    <row r="1686" spans="1:11" x14ac:dyDescent="0.25">
      <c r="A1686" s="6">
        <v>44417</v>
      </c>
      <c r="B1686" t="s">
        <v>19</v>
      </c>
      <c r="C1686" t="s">
        <v>23</v>
      </c>
      <c r="D1686" t="s">
        <v>12</v>
      </c>
      <c r="E1686">
        <v>323</v>
      </c>
      <c r="F1686" s="3">
        <v>24399520.219999999</v>
      </c>
      <c r="G1686">
        <v>5003893.57</v>
      </c>
      <c r="H1686">
        <v>19395626.649999999</v>
      </c>
      <c r="I1686">
        <v>0.73</v>
      </c>
      <c r="J1686">
        <v>4.5199999999999996</v>
      </c>
      <c r="K1686" t="str">
        <f t="shared" si="26"/>
        <v>Aug 2021</v>
      </c>
    </row>
    <row r="1687" spans="1:11" x14ac:dyDescent="0.25">
      <c r="A1687" s="6">
        <v>44691</v>
      </c>
      <c r="B1687" t="s">
        <v>19</v>
      </c>
      <c r="C1687" t="s">
        <v>20</v>
      </c>
      <c r="D1687" t="s">
        <v>14</v>
      </c>
      <c r="E1687">
        <v>359</v>
      </c>
      <c r="F1687" s="3">
        <v>16498505.6</v>
      </c>
      <c r="G1687">
        <v>3661958.8</v>
      </c>
      <c r="H1687">
        <v>12836546.800000001</v>
      </c>
      <c r="I1687">
        <v>1.79</v>
      </c>
      <c r="J1687">
        <v>4.05</v>
      </c>
      <c r="K1687" t="str">
        <f t="shared" si="26"/>
        <v>May 2022</v>
      </c>
    </row>
    <row r="1688" spans="1:11" x14ac:dyDescent="0.25">
      <c r="A1688" s="6">
        <v>44859</v>
      </c>
      <c r="B1688" t="s">
        <v>19</v>
      </c>
      <c r="C1688" t="s">
        <v>22</v>
      </c>
      <c r="D1688" t="s">
        <v>12</v>
      </c>
      <c r="E1688">
        <v>362</v>
      </c>
      <c r="F1688" s="3">
        <v>29062090.75</v>
      </c>
      <c r="G1688">
        <v>7079436.1699999999</v>
      </c>
      <c r="H1688">
        <v>21982654.57</v>
      </c>
      <c r="I1688">
        <v>2.95</v>
      </c>
      <c r="J1688">
        <v>3.65</v>
      </c>
      <c r="K1688" t="str">
        <f t="shared" si="26"/>
        <v>Oct 2022</v>
      </c>
    </row>
    <row r="1689" spans="1:11" x14ac:dyDescent="0.25">
      <c r="A1689" s="6">
        <v>45333</v>
      </c>
      <c r="B1689" t="s">
        <v>19</v>
      </c>
      <c r="C1689" t="s">
        <v>23</v>
      </c>
      <c r="D1689" t="s">
        <v>14</v>
      </c>
      <c r="E1689">
        <v>123</v>
      </c>
      <c r="F1689" s="3">
        <v>4404400.7699999996</v>
      </c>
      <c r="G1689">
        <v>1427823.89</v>
      </c>
      <c r="H1689">
        <v>2976576.89</v>
      </c>
      <c r="I1689">
        <v>2.02</v>
      </c>
      <c r="J1689">
        <v>3.53</v>
      </c>
      <c r="K1689" t="str">
        <f t="shared" si="26"/>
        <v>Feb 2024</v>
      </c>
    </row>
    <row r="1690" spans="1:11" x14ac:dyDescent="0.25">
      <c r="A1690" s="6">
        <v>45033</v>
      </c>
      <c r="B1690" t="s">
        <v>19</v>
      </c>
      <c r="C1690" t="s">
        <v>20</v>
      </c>
      <c r="D1690" t="s">
        <v>12</v>
      </c>
      <c r="E1690">
        <v>405</v>
      </c>
      <c r="F1690" s="3">
        <v>35310543.670000002</v>
      </c>
      <c r="G1690">
        <v>13902313.15</v>
      </c>
      <c r="H1690">
        <v>21408230.52</v>
      </c>
      <c r="I1690">
        <v>3.81</v>
      </c>
      <c r="J1690">
        <v>4</v>
      </c>
      <c r="K1690" t="str">
        <f t="shared" si="26"/>
        <v>Apr 2023</v>
      </c>
    </row>
    <row r="1691" spans="1:11" x14ac:dyDescent="0.25">
      <c r="A1691" s="6">
        <v>45122</v>
      </c>
      <c r="B1691" t="s">
        <v>19</v>
      </c>
      <c r="C1691" t="s">
        <v>23</v>
      </c>
      <c r="D1691" t="s">
        <v>12</v>
      </c>
      <c r="E1691">
        <v>317</v>
      </c>
      <c r="F1691" s="3">
        <v>21471120.75</v>
      </c>
      <c r="G1691">
        <v>8545833.1899999995</v>
      </c>
      <c r="H1691">
        <v>12925287.560000001</v>
      </c>
      <c r="I1691">
        <v>2.59</v>
      </c>
      <c r="J1691">
        <v>4.95</v>
      </c>
      <c r="K1691" t="str">
        <f t="shared" si="26"/>
        <v>Jul 2023</v>
      </c>
    </row>
    <row r="1692" spans="1:11" x14ac:dyDescent="0.25">
      <c r="A1692" s="6">
        <v>44235</v>
      </c>
      <c r="B1692" t="s">
        <v>19</v>
      </c>
      <c r="C1692" t="s">
        <v>23</v>
      </c>
      <c r="D1692" t="s">
        <v>17</v>
      </c>
      <c r="E1692">
        <v>237</v>
      </c>
      <c r="F1692" s="3">
        <v>13478336.199999999</v>
      </c>
      <c r="G1692">
        <v>3336403</v>
      </c>
      <c r="H1692">
        <v>10141933.199999999</v>
      </c>
      <c r="I1692">
        <v>2.5499999999999998</v>
      </c>
      <c r="J1692">
        <v>3.9</v>
      </c>
      <c r="K1692" t="str">
        <f t="shared" si="26"/>
        <v>Feb 2021</v>
      </c>
    </row>
    <row r="1693" spans="1:11" x14ac:dyDescent="0.25">
      <c r="A1693" s="6">
        <v>45371</v>
      </c>
      <c r="B1693" t="s">
        <v>19</v>
      </c>
      <c r="C1693" t="s">
        <v>23</v>
      </c>
      <c r="D1693" t="s">
        <v>12</v>
      </c>
      <c r="E1693">
        <v>153</v>
      </c>
      <c r="F1693" s="3">
        <v>6461726.2199999997</v>
      </c>
      <c r="G1693">
        <v>1476983.18</v>
      </c>
      <c r="H1693">
        <v>4984743.04</v>
      </c>
      <c r="I1693">
        <v>3.09</v>
      </c>
      <c r="J1693">
        <v>3.61</v>
      </c>
      <c r="K1693" t="str">
        <f t="shared" si="26"/>
        <v>Mar 2024</v>
      </c>
    </row>
    <row r="1694" spans="1:11" x14ac:dyDescent="0.25">
      <c r="A1694" s="6">
        <v>44471</v>
      </c>
      <c r="B1694" t="s">
        <v>19</v>
      </c>
      <c r="C1694" t="s">
        <v>21</v>
      </c>
      <c r="D1694" t="s">
        <v>12</v>
      </c>
      <c r="E1694">
        <v>224</v>
      </c>
      <c r="F1694" s="3">
        <v>17784156.219999999</v>
      </c>
      <c r="G1694">
        <v>6686105.6600000001</v>
      </c>
      <c r="H1694">
        <v>11098050.560000001</v>
      </c>
      <c r="I1694">
        <v>1.7</v>
      </c>
      <c r="J1694">
        <v>3.53</v>
      </c>
      <c r="K1694" t="str">
        <f t="shared" si="26"/>
        <v>Oct 2021</v>
      </c>
    </row>
    <row r="1695" spans="1:11" x14ac:dyDescent="0.25">
      <c r="A1695" s="6">
        <v>44772</v>
      </c>
      <c r="B1695" t="s">
        <v>19</v>
      </c>
      <c r="C1695" t="s">
        <v>24</v>
      </c>
      <c r="D1695" t="s">
        <v>12</v>
      </c>
      <c r="E1695">
        <v>202</v>
      </c>
      <c r="F1695" s="3">
        <v>15659606.220000001</v>
      </c>
      <c r="G1695">
        <v>4641630.91</v>
      </c>
      <c r="H1695">
        <v>11017975.310000001</v>
      </c>
      <c r="I1695">
        <v>2.0699999999999998</v>
      </c>
      <c r="J1695">
        <v>4.0599999999999996</v>
      </c>
      <c r="K1695" t="str">
        <f t="shared" si="26"/>
        <v>Jul 2022</v>
      </c>
    </row>
    <row r="1696" spans="1:11" x14ac:dyDescent="0.25">
      <c r="A1696" s="6">
        <v>44180</v>
      </c>
      <c r="B1696" t="s">
        <v>19</v>
      </c>
      <c r="C1696" t="s">
        <v>23</v>
      </c>
      <c r="D1696" t="s">
        <v>17</v>
      </c>
      <c r="E1696">
        <v>65</v>
      </c>
      <c r="F1696" s="3">
        <v>4305930.7300000004</v>
      </c>
      <c r="G1696">
        <v>1151399.55</v>
      </c>
      <c r="H1696">
        <v>3154531.18</v>
      </c>
      <c r="I1696">
        <v>2.97</v>
      </c>
      <c r="J1696">
        <v>4.82</v>
      </c>
      <c r="K1696" t="str">
        <f t="shared" si="26"/>
        <v>Dec 2020</v>
      </c>
    </row>
    <row r="1697" spans="1:11" x14ac:dyDescent="0.25">
      <c r="A1697" s="6">
        <v>44332</v>
      </c>
      <c r="B1697" t="s">
        <v>19</v>
      </c>
      <c r="C1697" t="s">
        <v>24</v>
      </c>
      <c r="D1697" t="s">
        <v>14</v>
      </c>
      <c r="E1697">
        <v>356</v>
      </c>
      <c r="F1697" s="3">
        <v>12921989.41</v>
      </c>
      <c r="G1697">
        <v>2846557.64</v>
      </c>
      <c r="H1697">
        <v>10075431.77</v>
      </c>
      <c r="I1697">
        <v>4.0199999999999996</v>
      </c>
      <c r="J1697">
        <v>4.67</v>
      </c>
      <c r="K1697" t="str">
        <f t="shared" si="26"/>
        <v>May 2021</v>
      </c>
    </row>
    <row r="1698" spans="1:11" x14ac:dyDescent="0.25">
      <c r="A1698" s="6">
        <v>45166</v>
      </c>
      <c r="B1698" t="s">
        <v>19</v>
      </c>
      <c r="C1698" t="s">
        <v>22</v>
      </c>
      <c r="D1698" t="s">
        <v>12</v>
      </c>
      <c r="E1698">
        <v>94</v>
      </c>
      <c r="F1698" s="3">
        <v>5347687.3600000003</v>
      </c>
      <c r="G1698">
        <v>1815095.22</v>
      </c>
      <c r="H1698">
        <v>3532592.14</v>
      </c>
      <c r="I1698">
        <v>0.8</v>
      </c>
      <c r="J1698">
        <v>3.84</v>
      </c>
      <c r="K1698" t="str">
        <f t="shared" si="26"/>
        <v>Aug 2023</v>
      </c>
    </row>
    <row r="1699" spans="1:11" x14ac:dyDescent="0.25">
      <c r="A1699" s="6">
        <v>44161</v>
      </c>
      <c r="B1699" t="s">
        <v>19</v>
      </c>
      <c r="C1699" t="s">
        <v>22</v>
      </c>
      <c r="D1699" t="s">
        <v>17</v>
      </c>
      <c r="E1699">
        <v>147</v>
      </c>
      <c r="F1699" s="3">
        <v>10022614.25</v>
      </c>
      <c r="G1699">
        <v>3060102.82</v>
      </c>
      <c r="H1699">
        <v>6962511.4299999997</v>
      </c>
      <c r="I1699">
        <v>0.77</v>
      </c>
      <c r="J1699">
        <v>4.51</v>
      </c>
      <c r="K1699" t="str">
        <f t="shared" si="26"/>
        <v>Nov 2020</v>
      </c>
    </row>
    <row r="1700" spans="1:11" x14ac:dyDescent="0.25">
      <c r="A1700" s="6">
        <v>44359</v>
      </c>
      <c r="B1700" t="s">
        <v>19</v>
      </c>
      <c r="C1700" t="s">
        <v>24</v>
      </c>
      <c r="D1700" t="s">
        <v>14</v>
      </c>
      <c r="E1700">
        <v>53</v>
      </c>
      <c r="F1700" s="3">
        <v>4646957.2699999996</v>
      </c>
      <c r="G1700">
        <v>982622.98</v>
      </c>
      <c r="H1700">
        <v>3664334.29</v>
      </c>
      <c r="I1700">
        <v>4.03</v>
      </c>
      <c r="J1700">
        <v>4.99</v>
      </c>
      <c r="K1700" t="str">
        <f t="shared" si="26"/>
        <v>Jun 2021</v>
      </c>
    </row>
    <row r="1701" spans="1:11" x14ac:dyDescent="0.25">
      <c r="A1701" s="6">
        <v>45600</v>
      </c>
      <c r="B1701" t="s">
        <v>19</v>
      </c>
      <c r="C1701" t="s">
        <v>21</v>
      </c>
      <c r="D1701" t="s">
        <v>12</v>
      </c>
      <c r="E1701">
        <v>483</v>
      </c>
      <c r="F1701" s="3">
        <v>34028564.560000002</v>
      </c>
      <c r="G1701">
        <v>9791423.1099999994</v>
      </c>
      <c r="H1701">
        <v>24237141.449999999</v>
      </c>
      <c r="I1701">
        <v>4</v>
      </c>
      <c r="J1701">
        <v>3.81</v>
      </c>
      <c r="K1701" t="str">
        <f t="shared" si="26"/>
        <v>Nov 2024</v>
      </c>
    </row>
    <row r="1702" spans="1:11" x14ac:dyDescent="0.25">
      <c r="A1702" s="6">
        <v>45554</v>
      </c>
      <c r="B1702" t="s">
        <v>19</v>
      </c>
      <c r="C1702" t="s">
        <v>20</v>
      </c>
      <c r="D1702" t="s">
        <v>17</v>
      </c>
      <c r="E1702">
        <v>139</v>
      </c>
      <c r="F1702" s="3">
        <v>6362143.9299999997</v>
      </c>
      <c r="G1702">
        <v>2365695.85</v>
      </c>
      <c r="H1702">
        <v>3996448.08</v>
      </c>
      <c r="I1702">
        <v>3.3</v>
      </c>
      <c r="J1702">
        <v>4.67</v>
      </c>
      <c r="K1702" t="str">
        <f t="shared" si="26"/>
        <v>Sep 2024</v>
      </c>
    </row>
    <row r="1703" spans="1:11" x14ac:dyDescent="0.25">
      <c r="A1703" s="6">
        <v>44250</v>
      </c>
      <c r="B1703" t="s">
        <v>19</v>
      </c>
      <c r="C1703" t="s">
        <v>21</v>
      </c>
      <c r="D1703" t="s">
        <v>17</v>
      </c>
      <c r="E1703">
        <v>350</v>
      </c>
      <c r="F1703" s="3">
        <v>17567568.510000002</v>
      </c>
      <c r="G1703">
        <v>3577975</v>
      </c>
      <c r="H1703">
        <v>13989593.51</v>
      </c>
      <c r="I1703">
        <v>2.87</v>
      </c>
      <c r="J1703">
        <v>4.8600000000000003</v>
      </c>
      <c r="K1703" t="str">
        <f t="shared" si="26"/>
        <v>Feb 2021</v>
      </c>
    </row>
    <row r="1704" spans="1:11" x14ac:dyDescent="0.25">
      <c r="A1704" s="6">
        <v>44160</v>
      </c>
      <c r="B1704" t="s">
        <v>19</v>
      </c>
      <c r="C1704" t="s">
        <v>24</v>
      </c>
      <c r="D1704" t="s">
        <v>12</v>
      </c>
      <c r="E1704">
        <v>400</v>
      </c>
      <c r="F1704" s="3">
        <v>28830866.5</v>
      </c>
      <c r="G1704">
        <v>10033689.449999999</v>
      </c>
      <c r="H1704">
        <v>18797177.050000001</v>
      </c>
      <c r="I1704">
        <v>2.0499999999999998</v>
      </c>
      <c r="J1704">
        <v>4.88</v>
      </c>
      <c r="K1704" t="str">
        <f t="shared" si="26"/>
        <v>Nov 2020</v>
      </c>
    </row>
    <row r="1705" spans="1:11" x14ac:dyDescent="0.25">
      <c r="A1705" s="6">
        <v>45044</v>
      </c>
      <c r="B1705" t="s">
        <v>19</v>
      </c>
      <c r="C1705" t="s">
        <v>23</v>
      </c>
      <c r="D1705" t="s">
        <v>17</v>
      </c>
      <c r="E1705">
        <v>265</v>
      </c>
      <c r="F1705" s="3">
        <v>19841600.550000001</v>
      </c>
      <c r="G1705">
        <v>5798457.7199999997</v>
      </c>
      <c r="H1705">
        <v>14043142.83</v>
      </c>
      <c r="I1705">
        <v>0.77</v>
      </c>
      <c r="J1705">
        <v>4.53</v>
      </c>
      <c r="K1705" t="str">
        <f t="shared" si="26"/>
        <v>Apr 2023</v>
      </c>
    </row>
    <row r="1706" spans="1:11" x14ac:dyDescent="0.25">
      <c r="A1706" s="6">
        <v>44087</v>
      </c>
      <c r="B1706" t="s">
        <v>19</v>
      </c>
      <c r="C1706" t="s">
        <v>21</v>
      </c>
      <c r="D1706" t="s">
        <v>12</v>
      </c>
      <c r="E1706">
        <v>331</v>
      </c>
      <c r="F1706" s="3">
        <v>14266651.92</v>
      </c>
      <c r="G1706">
        <v>5684286.1200000001</v>
      </c>
      <c r="H1706">
        <v>8582365.8000000007</v>
      </c>
      <c r="I1706">
        <v>3.34</v>
      </c>
      <c r="J1706">
        <v>4.17</v>
      </c>
      <c r="K1706" t="str">
        <f t="shared" si="26"/>
        <v>Sep 2020</v>
      </c>
    </row>
    <row r="1707" spans="1:11" x14ac:dyDescent="0.25">
      <c r="A1707" s="6">
        <v>44342</v>
      </c>
      <c r="B1707" t="s">
        <v>19</v>
      </c>
      <c r="C1707" t="s">
        <v>21</v>
      </c>
      <c r="D1707" t="s">
        <v>12</v>
      </c>
      <c r="E1707">
        <v>103</v>
      </c>
      <c r="F1707" s="3">
        <v>5959612.9900000002</v>
      </c>
      <c r="G1707">
        <v>2023983.86</v>
      </c>
      <c r="H1707">
        <v>3935629.13</v>
      </c>
      <c r="I1707">
        <v>3.92</v>
      </c>
      <c r="J1707">
        <v>4.03</v>
      </c>
      <c r="K1707" t="str">
        <f t="shared" si="26"/>
        <v>May 2021</v>
      </c>
    </row>
    <row r="1708" spans="1:11" x14ac:dyDescent="0.25">
      <c r="A1708" s="6">
        <v>43878</v>
      </c>
      <c r="B1708" t="s">
        <v>19</v>
      </c>
      <c r="C1708" t="s">
        <v>21</v>
      </c>
      <c r="D1708" t="s">
        <v>14</v>
      </c>
      <c r="E1708">
        <v>171</v>
      </c>
      <c r="F1708" s="3">
        <v>12376829.23</v>
      </c>
      <c r="G1708">
        <v>4762011.74</v>
      </c>
      <c r="H1708">
        <v>7614817.4900000002</v>
      </c>
      <c r="I1708">
        <v>1.74</v>
      </c>
      <c r="J1708">
        <v>4.71</v>
      </c>
      <c r="K1708" t="str">
        <f t="shared" si="26"/>
        <v>Feb 2020</v>
      </c>
    </row>
    <row r="1709" spans="1:11" x14ac:dyDescent="0.25">
      <c r="A1709" s="6">
        <v>44489</v>
      </c>
      <c r="B1709" t="s">
        <v>19</v>
      </c>
      <c r="C1709" t="s">
        <v>23</v>
      </c>
      <c r="D1709" t="s">
        <v>12</v>
      </c>
      <c r="E1709">
        <v>259</v>
      </c>
      <c r="F1709" s="3">
        <v>16855015.59</v>
      </c>
      <c r="G1709">
        <v>6134187.6200000001</v>
      </c>
      <c r="H1709">
        <v>10720827.960000001</v>
      </c>
      <c r="I1709">
        <v>2.56</v>
      </c>
      <c r="J1709">
        <v>4.34</v>
      </c>
      <c r="K1709" t="str">
        <f t="shared" si="26"/>
        <v>Oct 2021</v>
      </c>
    </row>
    <row r="1710" spans="1:11" x14ac:dyDescent="0.25">
      <c r="A1710" s="6">
        <v>44489</v>
      </c>
      <c r="B1710" t="s">
        <v>19</v>
      </c>
      <c r="C1710" t="s">
        <v>21</v>
      </c>
      <c r="D1710" t="s">
        <v>14</v>
      </c>
      <c r="E1710">
        <v>55</v>
      </c>
      <c r="F1710" s="3">
        <v>3272763.46</v>
      </c>
      <c r="G1710">
        <v>1172182.47</v>
      </c>
      <c r="H1710">
        <v>2100580.98</v>
      </c>
      <c r="I1710">
        <v>0.72</v>
      </c>
      <c r="J1710">
        <v>4.7699999999999996</v>
      </c>
      <c r="K1710" t="str">
        <f t="shared" si="26"/>
        <v>Oct 2021</v>
      </c>
    </row>
    <row r="1711" spans="1:11" x14ac:dyDescent="0.25">
      <c r="A1711" s="6">
        <v>45585</v>
      </c>
      <c r="B1711" t="s">
        <v>19</v>
      </c>
      <c r="C1711" t="s">
        <v>24</v>
      </c>
      <c r="D1711" t="s">
        <v>14</v>
      </c>
      <c r="E1711">
        <v>289</v>
      </c>
      <c r="F1711" s="3">
        <v>25930228.870000001</v>
      </c>
      <c r="G1711">
        <v>7637838.8300000001</v>
      </c>
      <c r="H1711">
        <v>18292390.030000001</v>
      </c>
      <c r="I1711">
        <v>2.2599999999999998</v>
      </c>
      <c r="J1711">
        <v>4.49</v>
      </c>
      <c r="K1711" t="str">
        <f t="shared" si="26"/>
        <v>Oct 2024</v>
      </c>
    </row>
    <row r="1712" spans="1:11" x14ac:dyDescent="0.25">
      <c r="A1712" s="6">
        <v>44551</v>
      </c>
      <c r="B1712" t="s">
        <v>19</v>
      </c>
      <c r="C1712" t="s">
        <v>20</v>
      </c>
      <c r="D1712" t="s">
        <v>12</v>
      </c>
      <c r="E1712">
        <v>218</v>
      </c>
      <c r="F1712" s="3">
        <v>9991139.1999999993</v>
      </c>
      <c r="G1712">
        <v>2095282.14</v>
      </c>
      <c r="H1712">
        <v>7895857.0499999998</v>
      </c>
      <c r="I1712">
        <v>4.9800000000000004</v>
      </c>
      <c r="J1712">
        <v>4.57</v>
      </c>
      <c r="K1712" t="str">
        <f t="shared" si="26"/>
        <v>Dec 2021</v>
      </c>
    </row>
    <row r="1713" spans="1:11" x14ac:dyDescent="0.25">
      <c r="A1713" s="6">
        <v>45310</v>
      </c>
      <c r="B1713" t="s">
        <v>19</v>
      </c>
      <c r="C1713" t="s">
        <v>20</v>
      </c>
      <c r="D1713" t="s">
        <v>17</v>
      </c>
      <c r="E1713">
        <v>139</v>
      </c>
      <c r="F1713" s="3">
        <v>8859816.1300000008</v>
      </c>
      <c r="G1713">
        <v>3155658.34</v>
      </c>
      <c r="H1713">
        <v>5704157.7999999998</v>
      </c>
      <c r="I1713">
        <v>2.57</v>
      </c>
      <c r="J1713">
        <v>4.88</v>
      </c>
      <c r="K1713" t="str">
        <f t="shared" si="26"/>
        <v>Jan 2024</v>
      </c>
    </row>
    <row r="1714" spans="1:11" x14ac:dyDescent="0.25">
      <c r="A1714" s="6">
        <v>44937</v>
      </c>
      <c r="B1714" t="s">
        <v>19</v>
      </c>
      <c r="C1714" t="s">
        <v>21</v>
      </c>
      <c r="D1714" t="s">
        <v>17</v>
      </c>
      <c r="E1714">
        <v>360</v>
      </c>
      <c r="F1714" s="3">
        <v>16836349.370000001</v>
      </c>
      <c r="G1714">
        <v>6690665.6799999997</v>
      </c>
      <c r="H1714">
        <v>10145683.689999999</v>
      </c>
      <c r="I1714">
        <v>0.56000000000000005</v>
      </c>
      <c r="J1714">
        <v>4.74</v>
      </c>
      <c r="K1714" t="str">
        <f t="shared" si="26"/>
        <v>Jan 2023</v>
      </c>
    </row>
    <row r="1715" spans="1:11" x14ac:dyDescent="0.25">
      <c r="A1715" s="6">
        <v>44994</v>
      </c>
      <c r="B1715" t="s">
        <v>19</v>
      </c>
      <c r="C1715" t="s">
        <v>24</v>
      </c>
      <c r="D1715" t="s">
        <v>17</v>
      </c>
      <c r="E1715">
        <v>334</v>
      </c>
      <c r="F1715" s="3">
        <v>28368100.84</v>
      </c>
      <c r="G1715">
        <v>5993035.9500000002</v>
      </c>
      <c r="H1715">
        <v>22375064.890000001</v>
      </c>
      <c r="I1715">
        <v>4.82</v>
      </c>
      <c r="J1715">
        <v>4.28</v>
      </c>
      <c r="K1715" t="str">
        <f t="shared" si="26"/>
        <v>Mar 2023</v>
      </c>
    </row>
    <row r="1716" spans="1:11" x14ac:dyDescent="0.25">
      <c r="A1716" s="6">
        <v>44796</v>
      </c>
      <c r="B1716" t="s">
        <v>19</v>
      </c>
      <c r="C1716" t="s">
        <v>21</v>
      </c>
      <c r="D1716" t="s">
        <v>17</v>
      </c>
      <c r="E1716">
        <v>499</v>
      </c>
      <c r="F1716" s="3">
        <v>44005760.840000004</v>
      </c>
      <c r="G1716">
        <v>14145266.550000001</v>
      </c>
      <c r="H1716">
        <v>29860494.300000001</v>
      </c>
      <c r="I1716">
        <v>4.34</v>
      </c>
      <c r="J1716">
        <v>4.66</v>
      </c>
      <c r="K1716" t="str">
        <f t="shared" si="26"/>
        <v>Aug 2022</v>
      </c>
    </row>
    <row r="1717" spans="1:11" x14ac:dyDescent="0.25">
      <c r="A1717" s="6">
        <v>45638</v>
      </c>
      <c r="B1717" t="s">
        <v>19</v>
      </c>
      <c r="C1717" t="s">
        <v>22</v>
      </c>
      <c r="D1717" t="s">
        <v>12</v>
      </c>
      <c r="E1717">
        <v>143</v>
      </c>
      <c r="F1717" s="3">
        <v>10043438.42</v>
      </c>
      <c r="G1717">
        <v>2678383.2000000002</v>
      </c>
      <c r="H1717">
        <v>7365055.2199999997</v>
      </c>
      <c r="I1717">
        <v>1.23</v>
      </c>
      <c r="J1717">
        <v>4.3499999999999996</v>
      </c>
      <c r="K1717" t="str">
        <f t="shared" si="26"/>
        <v>Dec 2024</v>
      </c>
    </row>
    <row r="1718" spans="1:11" x14ac:dyDescent="0.25">
      <c r="A1718" s="6">
        <v>45077</v>
      </c>
      <c r="B1718" t="s">
        <v>19</v>
      </c>
      <c r="C1718" t="s">
        <v>23</v>
      </c>
      <c r="D1718" t="s">
        <v>14</v>
      </c>
      <c r="E1718">
        <v>391</v>
      </c>
      <c r="F1718" s="3">
        <v>32076226.210000001</v>
      </c>
      <c r="G1718">
        <v>8961685.0600000005</v>
      </c>
      <c r="H1718">
        <v>23114541.149999999</v>
      </c>
      <c r="I1718">
        <v>4.26</v>
      </c>
      <c r="J1718">
        <v>4.68</v>
      </c>
      <c r="K1718" t="str">
        <f t="shared" si="26"/>
        <v>May 2023</v>
      </c>
    </row>
    <row r="1719" spans="1:11" x14ac:dyDescent="0.25">
      <c r="A1719" s="6">
        <v>44700</v>
      </c>
      <c r="B1719" t="s">
        <v>19</v>
      </c>
      <c r="C1719" t="s">
        <v>24</v>
      </c>
      <c r="D1719" t="s">
        <v>17</v>
      </c>
      <c r="E1719">
        <v>205</v>
      </c>
      <c r="F1719" s="3">
        <v>9753330.6899999995</v>
      </c>
      <c r="G1719">
        <v>2663900.5099999998</v>
      </c>
      <c r="H1719">
        <v>7089430.1799999997</v>
      </c>
      <c r="I1719">
        <v>1.5</v>
      </c>
      <c r="J1719">
        <v>3.98</v>
      </c>
      <c r="K1719" t="str">
        <f t="shared" si="26"/>
        <v>May 2022</v>
      </c>
    </row>
    <row r="1720" spans="1:11" x14ac:dyDescent="0.25">
      <c r="A1720" s="6">
        <v>43979</v>
      </c>
      <c r="B1720" t="s">
        <v>19</v>
      </c>
      <c r="C1720" t="s">
        <v>21</v>
      </c>
      <c r="D1720" t="s">
        <v>17</v>
      </c>
      <c r="E1720">
        <v>371</v>
      </c>
      <c r="F1720" s="3">
        <v>23487119.210000001</v>
      </c>
      <c r="G1720">
        <v>5598035.3600000003</v>
      </c>
      <c r="H1720">
        <v>17889083.84</v>
      </c>
      <c r="I1720">
        <v>1.64</v>
      </c>
      <c r="J1720">
        <v>3.87</v>
      </c>
      <c r="K1720" t="str">
        <f t="shared" si="26"/>
        <v>May 2020</v>
      </c>
    </row>
    <row r="1721" spans="1:11" x14ac:dyDescent="0.25">
      <c r="A1721" s="6">
        <v>44892</v>
      </c>
      <c r="B1721" t="s">
        <v>19</v>
      </c>
      <c r="C1721" t="s">
        <v>22</v>
      </c>
      <c r="D1721" t="s">
        <v>12</v>
      </c>
      <c r="E1721">
        <v>398</v>
      </c>
      <c r="F1721" s="3">
        <v>24456685.309999999</v>
      </c>
      <c r="G1721">
        <v>6542486.0899999999</v>
      </c>
      <c r="H1721">
        <v>17914199.219999999</v>
      </c>
      <c r="I1721">
        <v>1.03</v>
      </c>
      <c r="J1721">
        <v>3.93</v>
      </c>
      <c r="K1721" t="str">
        <f t="shared" si="26"/>
        <v>Nov 2022</v>
      </c>
    </row>
    <row r="1722" spans="1:11" x14ac:dyDescent="0.25">
      <c r="A1722" s="6">
        <v>44298</v>
      </c>
      <c r="B1722" t="s">
        <v>19</v>
      </c>
      <c r="C1722" t="s">
        <v>21</v>
      </c>
      <c r="D1722" t="s">
        <v>14</v>
      </c>
      <c r="E1722">
        <v>297</v>
      </c>
      <c r="F1722" s="3">
        <v>26568060.949999999</v>
      </c>
      <c r="G1722">
        <v>5553537.7599999998</v>
      </c>
      <c r="H1722">
        <v>21014523.190000001</v>
      </c>
      <c r="I1722">
        <v>2.73</v>
      </c>
      <c r="J1722">
        <v>4.2699999999999996</v>
      </c>
      <c r="K1722" t="str">
        <f t="shared" si="26"/>
        <v>Apr 2021</v>
      </c>
    </row>
    <row r="1723" spans="1:11" x14ac:dyDescent="0.25">
      <c r="A1723" s="6">
        <v>45073</v>
      </c>
      <c r="B1723" t="s">
        <v>19</v>
      </c>
      <c r="C1723" t="s">
        <v>20</v>
      </c>
      <c r="D1723" t="s">
        <v>14</v>
      </c>
      <c r="E1723">
        <v>376</v>
      </c>
      <c r="F1723" s="3">
        <v>20847253.690000001</v>
      </c>
      <c r="G1723">
        <v>6702566.4000000004</v>
      </c>
      <c r="H1723">
        <v>14144687.289999999</v>
      </c>
      <c r="I1723">
        <v>3.89</v>
      </c>
      <c r="J1723">
        <v>4.88</v>
      </c>
      <c r="K1723" t="str">
        <f t="shared" si="26"/>
        <v>May 2023</v>
      </c>
    </row>
    <row r="1724" spans="1:11" x14ac:dyDescent="0.25">
      <c r="A1724" s="6">
        <v>45080</v>
      </c>
      <c r="B1724" t="s">
        <v>19</v>
      </c>
      <c r="C1724" t="s">
        <v>23</v>
      </c>
      <c r="D1724" t="s">
        <v>12</v>
      </c>
      <c r="E1724">
        <v>162</v>
      </c>
      <c r="F1724" s="3">
        <v>9629295.2599999998</v>
      </c>
      <c r="G1724">
        <v>3321051.61</v>
      </c>
      <c r="H1724">
        <v>6308243.6500000004</v>
      </c>
      <c r="I1724">
        <v>3.3</v>
      </c>
      <c r="J1724">
        <v>4.99</v>
      </c>
      <c r="K1724" t="str">
        <f t="shared" si="26"/>
        <v>Jun 2023</v>
      </c>
    </row>
    <row r="1725" spans="1:11" x14ac:dyDescent="0.25">
      <c r="A1725" s="6">
        <v>44041</v>
      </c>
      <c r="B1725" t="s">
        <v>19</v>
      </c>
      <c r="C1725" t="s">
        <v>21</v>
      </c>
      <c r="D1725" t="s">
        <v>14</v>
      </c>
      <c r="E1725">
        <v>398</v>
      </c>
      <c r="F1725" s="3">
        <v>26277580.489999998</v>
      </c>
      <c r="G1725">
        <v>8626517.3200000003</v>
      </c>
      <c r="H1725">
        <v>17651063.170000002</v>
      </c>
      <c r="I1725">
        <v>3.45</v>
      </c>
      <c r="J1725">
        <v>3.86</v>
      </c>
      <c r="K1725" t="str">
        <f t="shared" si="26"/>
        <v>Jul 2020</v>
      </c>
    </row>
    <row r="1726" spans="1:11" x14ac:dyDescent="0.25">
      <c r="A1726" s="6">
        <v>44041</v>
      </c>
      <c r="B1726" t="s">
        <v>19</v>
      </c>
      <c r="C1726" t="s">
        <v>21</v>
      </c>
      <c r="D1726" t="s">
        <v>12</v>
      </c>
      <c r="E1726">
        <v>107</v>
      </c>
      <c r="F1726" s="3">
        <v>8908237.7799999993</v>
      </c>
      <c r="G1726">
        <v>1827307.19</v>
      </c>
      <c r="H1726">
        <v>7080930.5800000001</v>
      </c>
      <c r="I1726">
        <v>0.62</v>
      </c>
      <c r="J1726">
        <v>4.76</v>
      </c>
      <c r="K1726" t="str">
        <f t="shared" si="26"/>
        <v>Jul 2020</v>
      </c>
    </row>
    <row r="1727" spans="1:11" x14ac:dyDescent="0.25">
      <c r="A1727" s="6">
        <v>44236</v>
      </c>
      <c r="B1727" t="s">
        <v>19</v>
      </c>
      <c r="C1727" t="s">
        <v>23</v>
      </c>
      <c r="D1727" t="s">
        <v>14</v>
      </c>
      <c r="E1727">
        <v>90</v>
      </c>
      <c r="F1727" s="3">
        <v>3342703.32</v>
      </c>
      <c r="G1727">
        <v>1313001.28</v>
      </c>
      <c r="H1727">
        <v>2029702.04</v>
      </c>
      <c r="I1727">
        <v>1.29</v>
      </c>
      <c r="J1727">
        <v>4.8</v>
      </c>
      <c r="K1727" t="str">
        <f t="shared" si="26"/>
        <v>Feb 2021</v>
      </c>
    </row>
    <row r="1728" spans="1:11" x14ac:dyDescent="0.25">
      <c r="A1728" s="6">
        <v>44501</v>
      </c>
      <c r="B1728" t="s">
        <v>19</v>
      </c>
      <c r="C1728" t="s">
        <v>23</v>
      </c>
      <c r="D1728" t="s">
        <v>12</v>
      </c>
      <c r="E1728">
        <v>286</v>
      </c>
      <c r="F1728" s="3">
        <v>13547523.109999999</v>
      </c>
      <c r="G1728">
        <v>4250181.38</v>
      </c>
      <c r="H1728">
        <v>9297341.7300000004</v>
      </c>
      <c r="I1728">
        <v>3.74</v>
      </c>
      <c r="J1728">
        <v>4.34</v>
      </c>
      <c r="K1728" t="str">
        <f t="shared" si="26"/>
        <v>Nov 2021</v>
      </c>
    </row>
    <row r="1729" spans="1:11" x14ac:dyDescent="0.25">
      <c r="A1729" s="6">
        <v>45297</v>
      </c>
      <c r="B1729" t="s">
        <v>19</v>
      </c>
      <c r="C1729" t="s">
        <v>24</v>
      </c>
      <c r="D1729" t="s">
        <v>12</v>
      </c>
      <c r="E1729">
        <v>198</v>
      </c>
      <c r="F1729" s="3">
        <v>12556845.42</v>
      </c>
      <c r="G1729">
        <v>3117170.94</v>
      </c>
      <c r="H1729">
        <v>9439674.4700000007</v>
      </c>
      <c r="I1729">
        <v>1.77</v>
      </c>
      <c r="J1729">
        <v>4.03</v>
      </c>
      <c r="K1729" t="str">
        <f t="shared" si="26"/>
        <v>Jan 2024</v>
      </c>
    </row>
    <row r="1730" spans="1:11" x14ac:dyDescent="0.25">
      <c r="A1730" s="6">
        <v>45083</v>
      </c>
      <c r="B1730" t="s">
        <v>19</v>
      </c>
      <c r="C1730" t="s">
        <v>23</v>
      </c>
      <c r="D1730" t="s">
        <v>17</v>
      </c>
      <c r="E1730">
        <v>352</v>
      </c>
      <c r="F1730" s="3">
        <v>29816746.59</v>
      </c>
      <c r="G1730">
        <v>6882602.2999999998</v>
      </c>
      <c r="H1730">
        <v>22934144.289999999</v>
      </c>
      <c r="I1730">
        <v>2.2999999999999998</v>
      </c>
      <c r="J1730">
        <v>4.6399999999999997</v>
      </c>
      <c r="K1730" t="str">
        <f t="shared" ref="K1730:K1793" si="27">TEXT(A1730,"mmm yyyy")</f>
        <v>Jun 2023</v>
      </c>
    </row>
    <row r="1731" spans="1:11" x14ac:dyDescent="0.25">
      <c r="A1731" s="6">
        <v>44874</v>
      </c>
      <c r="B1731" t="s">
        <v>19</v>
      </c>
      <c r="C1731" t="s">
        <v>24</v>
      </c>
      <c r="D1731" t="s">
        <v>17</v>
      </c>
      <c r="E1731">
        <v>328</v>
      </c>
      <c r="F1731" s="3">
        <v>20073096.629999999</v>
      </c>
      <c r="G1731">
        <v>6031805.5499999998</v>
      </c>
      <c r="H1731">
        <v>14041291.08</v>
      </c>
      <c r="I1731">
        <v>1.42</v>
      </c>
      <c r="J1731">
        <v>4.3899999999999997</v>
      </c>
      <c r="K1731" t="str">
        <f t="shared" si="27"/>
        <v>Nov 2022</v>
      </c>
    </row>
    <row r="1732" spans="1:11" x14ac:dyDescent="0.25">
      <c r="A1732" s="6">
        <v>43871</v>
      </c>
      <c r="B1732" t="s">
        <v>19</v>
      </c>
      <c r="C1732" t="s">
        <v>23</v>
      </c>
      <c r="D1732" t="s">
        <v>17</v>
      </c>
      <c r="E1732">
        <v>90</v>
      </c>
      <c r="F1732" s="3">
        <v>4613688.6399999997</v>
      </c>
      <c r="G1732">
        <v>1297551.5</v>
      </c>
      <c r="H1732">
        <v>3316137.13</v>
      </c>
      <c r="I1732">
        <v>0.65</v>
      </c>
      <c r="J1732">
        <v>4.45</v>
      </c>
      <c r="K1732" t="str">
        <f t="shared" si="27"/>
        <v>Feb 2020</v>
      </c>
    </row>
    <row r="1733" spans="1:11" x14ac:dyDescent="0.25">
      <c r="A1733" s="6">
        <v>44012</v>
      </c>
      <c r="B1733" t="s">
        <v>19</v>
      </c>
      <c r="C1733" t="s">
        <v>24</v>
      </c>
      <c r="D1733" t="s">
        <v>12</v>
      </c>
      <c r="E1733">
        <v>373</v>
      </c>
      <c r="F1733" s="3">
        <v>19111885.579999998</v>
      </c>
      <c r="G1733">
        <v>4282986.67</v>
      </c>
      <c r="H1733">
        <v>14828898.91</v>
      </c>
      <c r="I1733">
        <v>2.57</v>
      </c>
      <c r="J1733">
        <v>3.64</v>
      </c>
      <c r="K1733" t="str">
        <f t="shared" si="27"/>
        <v>Jun 2020</v>
      </c>
    </row>
    <row r="1734" spans="1:11" x14ac:dyDescent="0.25">
      <c r="A1734" s="6">
        <v>44878</v>
      </c>
      <c r="B1734" t="s">
        <v>19</v>
      </c>
      <c r="C1734" t="s">
        <v>21</v>
      </c>
      <c r="D1734" t="s">
        <v>14</v>
      </c>
      <c r="E1734">
        <v>332</v>
      </c>
      <c r="F1734" s="3">
        <v>26882181.440000001</v>
      </c>
      <c r="G1734">
        <v>8966868.6500000004</v>
      </c>
      <c r="H1734">
        <v>17915312.789999999</v>
      </c>
      <c r="I1734">
        <v>3.62</v>
      </c>
      <c r="J1734">
        <v>4.66</v>
      </c>
      <c r="K1734" t="str">
        <f t="shared" si="27"/>
        <v>Nov 2022</v>
      </c>
    </row>
    <row r="1735" spans="1:11" x14ac:dyDescent="0.25">
      <c r="A1735" s="6">
        <v>45031</v>
      </c>
      <c r="B1735" t="s">
        <v>19</v>
      </c>
      <c r="C1735" t="s">
        <v>23</v>
      </c>
      <c r="D1735" t="s">
        <v>17</v>
      </c>
      <c r="E1735">
        <v>53</v>
      </c>
      <c r="F1735" s="3">
        <v>2296899.64</v>
      </c>
      <c r="G1735">
        <v>516396.75</v>
      </c>
      <c r="H1735">
        <v>1780502.89</v>
      </c>
      <c r="I1735">
        <v>2.93</v>
      </c>
      <c r="J1735">
        <v>3.92</v>
      </c>
      <c r="K1735" t="str">
        <f t="shared" si="27"/>
        <v>Apr 2023</v>
      </c>
    </row>
    <row r="1736" spans="1:11" x14ac:dyDescent="0.25">
      <c r="A1736" s="6">
        <v>45478</v>
      </c>
      <c r="B1736" t="s">
        <v>19</v>
      </c>
      <c r="C1736" t="s">
        <v>23</v>
      </c>
      <c r="D1736" t="s">
        <v>14</v>
      </c>
      <c r="E1736">
        <v>328</v>
      </c>
      <c r="F1736" s="3">
        <v>28275419.870000001</v>
      </c>
      <c r="G1736">
        <v>9094370.5299999993</v>
      </c>
      <c r="H1736">
        <v>19181049.34</v>
      </c>
      <c r="I1736">
        <v>2.96</v>
      </c>
      <c r="J1736">
        <v>4.3</v>
      </c>
      <c r="K1736" t="str">
        <f t="shared" si="27"/>
        <v>Jul 2024</v>
      </c>
    </row>
    <row r="1737" spans="1:11" x14ac:dyDescent="0.25">
      <c r="A1737" s="6">
        <v>44734</v>
      </c>
      <c r="B1737" t="s">
        <v>19</v>
      </c>
      <c r="C1737" t="s">
        <v>24</v>
      </c>
      <c r="D1737" t="s">
        <v>17</v>
      </c>
      <c r="E1737">
        <v>298</v>
      </c>
      <c r="F1737" s="3">
        <v>11435214.359999999</v>
      </c>
      <c r="G1737">
        <v>3745773.12</v>
      </c>
      <c r="H1737">
        <v>7689441.2400000002</v>
      </c>
      <c r="I1737">
        <v>3.75</v>
      </c>
      <c r="J1737">
        <v>3.8</v>
      </c>
      <c r="K1737" t="str">
        <f t="shared" si="27"/>
        <v>Jun 2022</v>
      </c>
    </row>
    <row r="1738" spans="1:11" x14ac:dyDescent="0.25">
      <c r="A1738" s="6">
        <v>45579</v>
      </c>
      <c r="B1738" t="s">
        <v>19</v>
      </c>
      <c r="C1738" t="s">
        <v>20</v>
      </c>
      <c r="D1738" t="s">
        <v>12</v>
      </c>
      <c r="E1738">
        <v>152</v>
      </c>
      <c r="F1738" s="3">
        <v>7863101.2999999998</v>
      </c>
      <c r="G1738">
        <v>2667254.37</v>
      </c>
      <c r="H1738">
        <v>5195846.93</v>
      </c>
      <c r="I1738">
        <v>1.54</v>
      </c>
      <c r="J1738">
        <v>3.5</v>
      </c>
      <c r="K1738" t="str">
        <f t="shared" si="27"/>
        <v>Oct 2024</v>
      </c>
    </row>
    <row r="1739" spans="1:11" x14ac:dyDescent="0.25">
      <c r="A1739" s="6">
        <v>44921</v>
      </c>
      <c r="B1739" t="s">
        <v>19</v>
      </c>
      <c r="C1739" t="s">
        <v>20</v>
      </c>
      <c r="D1739" t="s">
        <v>17</v>
      </c>
      <c r="E1739">
        <v>352</v>
      </c>
      <c r="F1739" s="3">
        <v>16020058.220000001</v>
      </c>
      <c r="G1739">
        <v>5414508.8200000003</v>
      </c>
      <c r="H1739">
        <v>10605549.4</v>
      </c>
      <c r="I1739">
        <v>3.79</v>
      </c>
      <c r="J1739">
        <v>4.46</v>
      </c>
      <c r="K1739" t="str">
        <f t="shared" si="27"/>
        <v>Dec 2022</v>
      </c>
    </row>
    <row r="1740" spans="1:11" x14ac:dyDescent="0.25">
      <c r="A1740" s="6">
        <v>44418</v>
      </c>
      <c r="B1740" t="s">
        <v>19</v>
      </c>
      <c r="C1740" t="s">
        <v>20</v>
      </c>
      <c r="D1740" t="s">
        <v>12</v>
      </c>
      <c r="E1740">
        <v>218</v>
      </c>
      <c r="F1740" s="3">
        <v>17802620.300000001</v>
      </c>
      <c r="G1740">
        <v>5616266.6900000004</v>
      </c>
      <c r="H1740">
        <v>12186353.6</v>
      </c>
      <c r="I1740">
        <v>1.86</v>
      </c>
      <c r="J1740">
        <v>3.99</v>
      </c>
      <c r="K1740" t="str">
        <f t="shared" si="27"/>
        <v>Aug 2021</v>
      </c>
    </row>
    <row r="1741" spans="1:11" x14ac:dyDescent="0.25">
      <c r="A1741" s="6">
        <v>45472</v>
      </c>
      <c r="B1741" t="s">
        <v>19</v>
      </c>
      <c r="C1741" t="s">
        <v>24</v>
      </c>
      <c r="D1741" t="s">
        <v>17</v>
      </c>
      <c r="E1741">
        <v>74</v>
      </c>
      <c r="F1741" s="3">
        <v>3618951.38</v>
      </c>
      <c r="G1741">
        <v>1251115.95</v>
      </c>
      <c r="H1741">
        <v>2367835.4300000002</v>
      </c>
      <c r="I1741">
        <v>1.06</v>
      </c>
      <c r="J1741">
        <v>4.01</v>
      </c>
      <c r="K1741" t="str">
        <f t="shared" si="27"/>
        <v>Jun 2024</v>
      </c>
    </row>
    <row r="1742" spans="1:11" x14ac:dyDescent="0.25">
      <c r="A1742" s="6">
        <v>45216</v>
      </c>
      <c r="B1742" t="s">
        <v>19</v>
      </c>
      <c r="C1742" t="s">
        <v>20</v>
      </c>
      <c r="D1742" t="s">
        <v>14</v>
      </c>
      <c r="E1742">
        <v>96</v>
      </c>
      <c r="F1742" s="3">
        <v>7619341.7800000003</v>
      </c>
      <c r="G1742">
        <v>1546942.16</v>
      </c>
      <c r="H1742">
        <v>6072399.6299999999</v>
      </c>
      <c r="I1742">
        <v>3.89</v>
      </c>
      <c r="J1742">
        <v>4.09</v>
      </c>
      <c r="K1742" t="str">
        <f t="shared" si="27"/>
        <v>Oct 2023</v>
      </c>
    </row>
    <row r="1743" spans="1:11" x14ac:dyDescent="0.25">
      <c r="A1743" s="6">
        <v>44397</v>
      </c>
      <c r="B1743" t="s">
        <v>19</v>
      </c>
      <c r="C1743" t="s">
        <v>23</v>
      </c>
      <c r="D1743" t="s">
        <v>17</v>
      </c>
      <c r="E1743">
        <v>198</v>
      </c>
      <c r="F1743" s="3">
        <v>8559159.7899999991</v>
      </c>
      <c r="G1743">
        <v>2771987.15</v>
      </c>
      <c r="H1743">
        <v>5787172.6299999999</v>
      </c>
      <c r="I1743">
        <v>2.37</v>
      </c>
      <c r="J1743">
        <v>4.63</v>
      </c>
      <c r="K1743" t="str">
        <f t="shared" si="27"/>
        <v>Jul 2021</v>
      </c>
    </row>
    <row r="1744" spans="1:11" x14ac:dyDescent="0.25">
      <c r="A1744" s="6">
        <v>44760</v>
      </c>
      <c r="B1744" t="s">
        <v>19</v>
      </c>
      <c r="C1744" t="s">
        <v>23</v>
      </c>
      <c r="D1744" t="s">
        <v>14</v>
      </c>
      <c r="E1744">
        <v>81</v>
      </c>
      <c r="F1744" s="3">
        <v>3580416.41</v>
      </c>
      <c r="G1744">
        <v>873169.24</v>
      </c>
      <c r="H1744">
        <v>2707247.17</v>
      </c>
      <c r="I1744">
        <v>3.13</v>
      </c>
      <c r="J1744">
        <v>4.93</v>
      </c>
      <c r="K1744" t="str">
        <f t="shared" si="27"/>
        <v>Jul 2022</v>
      </c>
    </row>
    <row r="1745" spans="1:11" x14ac:dyDescent="0.25">
      <c r="A1745" s="6">
        <v>43972</v>
      </c>
      <c r="B1745" t="s">
        <v>19</v>
      </c>
      <c r="C1745" t="s">
        <v>20</v>
      </c>
      <c r="D1745" t="s">
        <v>12</v>
      </c>
      <c r="E1745">
        <v>59</v>
      </c>
      <c r="F1745" s="3">
        <v>3628659.97</v>
      </c>
      <c r="G1745">
        <v>1188959.28</v>
      </c>
      <c r="H1745">
        <v>2439700.69</v>
      </c>
      <c r="I1745">
        <v>4.7699999999999996</v>
      </c>
      <c r="J1745">
        <v>4.45</v>
      </c>
      <c r="K1745" t="str">
        <f t="shared" si="27"/>
        <v>May 2020</v>
      </c>
    </row>
    <row r="1746" spans="1:11" x14ac:dyDescent="0.25">
      <c r="A1746" s="6">
        <v>45035</v>
      </c>
      <c r="B1746" t="s">
        <v>19</v>
      </c>
      <c r="C1746" t="s">
        <v>24</v>
      </c>
      <c r="D1746" t="s">
        <v>12</v>
      </c>
      <c r="E1746">
        <v>172</v>
      </c>
      <c r="F1746" s="3">
        <v>13200189.970000001</v>
      </c>
      <c r="G1746">
        <v>5009429.95</v>
      </c>
      <c r="H1746">
        <v>8190760.0199999996</v>
      </c>
      <c r="I1746">
        <v>2.81</v>
      </c>
      <c r="J1746">
        <v>4.26</v>
      </c>
      <c r="K1746" t="str">
        <f t="shared" si="27"/>
        <v>Apr 2023</v>
      </c>
    </row>
    <row r="1747" spans="1:11" x14ac:dyDescent="0.25">
      <c r="A1747" s="6">
        <v>44768</v>
      </c>
      <c r="B1747" t="s">
        <v>19</v>
      </c>
      <c r="C1747" t="s">
        <v>24</v>
      </c>
      <c r="D1747" t="s">
        <v>17</v>
      </c>
      <c r="E1747">
        <v>341</v>
      </c>
      <c r="F1747" s="3">
        <v>30172737.079999998</v>
      </c>
      <c r="G1747">
        <v>9360707.6099999994</v>
      </c>
      <c r="H1747">
        <v>20812029.48</v>
      </c>
      <c r="I1747">
        <v>1.22</v>
      </c>
      <c r="J1747">
        <v>3.77</v>
      </c>
      <c r="K1747" t="str">
        <f t="shared" si="27"/>
        <v>Jul 2022</v>
      </c>
    </row>
    <row r="1748" spans="1:11" x14ac:dyDescent="0.25">
      <c r="A1748" s="6">
        <v>44716</v>
      </c>
      <c r="B1748" t="s">
        <v>19</v>
      </c>
      <c r="C1748" t="s">
        <v>24</v>
      </c>
      <c r="D1748" t="s">
        <v>14</v>
      </c>
      <c r="E1748">
        <v>472</v>
      </c>
      <c r="F1748" s="3">
        <v>28506151.09</v>
      </c>
      <c r="G1748">
        <v>6151658.6399999997</v>
      </c>
      <c r="H1748">
        <v>22354492.449999999</v>
      </c>
      <c r="I1748">
        <v>3.63</v>
      </c>
      <c r="J1748">
        <v>4.59</v>
      </c>
      <c r="K1748" t="str">
        <f t="shared" si="27"/>
        <v>Jun 2022</v>
      </c>
    </row>
    <row r="1749" spans="1:11" x14ac:dyDescent="0.25">
      <c r="A1749" s="6">
        <v>43831</v>
      </c>
      <c r="B1749" t="s">
        <v>19</v>
      </c>
      <c r="C1749" t="s">
        <v>22</v>
      </c>
      <c r="D1749" t="s">
        <v>17</v>
      </c>
      <c r="E1749">
        <v>175</v>
      </c>
      <c r="F1749" s="3">
        <v>9441814.3100000005</v>
      </c>
      <c r="G1749">
        <v>3718454.8</v>
      </c>
      <c r="H1749">
        <v>5723359.5099999998</v>
      </c>
      <c r="I1749">
        <v>0.73</v>
      </c>
      <c r="J1749">
        <v>3.71</v>
      </c>
      <c r="K1749" t="str">
        <f t="shared" si="27"/>
        <v>Jan 2020</v>
      </c>
    </row>
    <row r="1750" spans="1:11" x14ac:dyDescent="0.25">
      <c r="A1750" s="6">
        <v>45399</v>
      </c>
      <c r="B1750" t="s">
        <v>19</v>
      </c>
      <c r="C1750" t="s">
        <v>20</v>
      </c>
      <c r="D1750" t="s">
        <v>14</v>
      </c>
      <c r="E1750">
        <v>119</v>
      </c>
      <c r="F1750" s="3">
        <v>6361570.4199999999</v>
      </c>
      <c r="G1750">
        <v>1299636.43</v>
      </c>
      <c r="H1750">
        <v>5061933.99</v>
      </c>
      <c r="I1750">
        <v>4.3499999999999996</v>
      </c>
      <c r="J1750">
        <v>4.55</v>
      </c>
      <c r="K1750" t="str">
        <f t="shared" si="27"/>
        <v>Apr 2024</v>
      </c>
    </row>
    <row r="1751" spans="1:11" x14ac:dyDescent="0.25">
      <c r="A1751" s="6">
        <v>45235</v>
      </c>
      <c r="B1751" t="s">
        <v>19</v>
      </c>
      <c r="C1751" t="s">
        <v>20</v>
      </c>
      <c r="D1751" t="s">
        <v>12</v>
      </c>
      <c r="E1751">
        <v>125</v>
      </c>
      <c r="F1751" s="3">
        <v>8988505.0800000001</v>
      </c>
      <c r="G1751">
        <v>2812819.24</v>
      </c>
      <c r="H1751">
        <v>6175685.8399999999</v>
      </c>
      <c r="I1751">
        <v>2.97</v>
      </c>
      <c r="J1751">
        <v>3.97</v>
      </c>
      <c r="K1751" t="str">
        <f t="shared" si="27"/>
        <v>Nov 2023</v>
      </c>
    </row>
    <row r="1752" spans="1:11" x14ac:dyDescent="0.25">
      <c r="A1752" s="6">
        <v>44330</v>
      </c>
      <c r="B1752" t="s">
        <v>19</v>
      </c>
      <c r="C1752" t="s">
        <v>21</v>
      </c>
      <c r="D1752" t="s">
        <v>12</v>
      </c>
      <c r="E1752">
        <v>320</v>
      </c>
      <c r="F1752" s="3">
        <v>20117438.620000001</v>
      </c>
      <c r="G1752">
        <v>6488931.04</v>
      </c>
      <c r="H1752">
        <v>13628507.58</v>
      </c>
      <c r="I1752">
        <v>4.58</v>
      </c>
      <c r="J1752">
        <v>3.52</v>
      </c>
      <c r="K1752" t="str">
        <f t="shared" si="27"/>
        <v>May 2021</v>
      </c>
    </row>
    <row r="1753" spans="1:11" x14ac:dyDescent="0.25">
      <c r="A1753" s="6">
        <v>44519</v>
      </c>
      <c r="B1753" t="s">
        <v>19</v>
      </c>
      <c r="C1753" t="s">
        <v>21</v>
      </c>
      <c r="D1753" t="s">
        <v>12</v>
      </c>
      <c r="E1753">
        <v>92</v>
      </c>
      <c r="F1753" s="3">
        <v>7465326.4800000004</v>
      </c>
      <c r="G1753">
        <v>2969082.8</v>
      </c>
      <c r="H1753">
        <v>4496243.68</v>
      </c>
      <c r="I1753">
        <v>3.67</v>
      </c>
      <c r="J1753">
        <v>4.96</v>
      </c>
      <c r="K1753" t="str">
        <f t="shared" si="27"/>
        <v>Nov 2021</v>
      </c>
    </row>
    <row r="1754" spans="1:11" x14ac:dyDescent="0.25">
      <c r="A1754" s="6">
        <v>44546</v>
      </c>
      <c r="B1754" t="s">
        <v>19</v>
      </c>
      <c r="C1754" t="s">
        <v>21</v>
      </c>
      <c r="D1754" t="s">
        <v>12</v>
      </c>
      <c r="E1754">
        <v>238</v>
      </c>
      <c r="F1754" s="3">
        <v>9606462.5199999996</v>
      </c>
      <c r="G1754">
        <v>2768619.71</v>
      </c>
      <c r="H1754">
        <v>6837842.8200000003</v>
      </c>
      <c r="I1754">
        <v>2.75</v>
      </c>
      <c r="J1754">
        <v>4.5599999999999996</v>
      </c>
      <c r="K1754" t="str">
        <f t="shared" si="27"/>
        <v>Dec 2021</v>
      </c>
    </row>
    <row r="1755" spans="1:11" x14ac:dyDescent="0.25">
      <c r="A1755" s="6">
        <v>45266</v>
      </c>
      <c r="B1755" t="s">
        <v>19</v>
      </c>
      <c r="C1755" t="s">
        <v>20</v>
      </c>
      <c r="D1755" t="s">
        <v>14</v>
      </c>
      <c r="E1755">
        <v>482</v>
      </c>
      <c r="F1755" s="3">
        <v>31204873.370000001</v>
      </c>
      <c r="G1755">
        <v>9800851.9499999993</v>
      </c>
      <c r="H1755">
        <v>21404021.43</v>
      </c>
      <c r="I1755">
        <v>1.89</v>
      </c>
      <c r="J1755">
        <v>4.22</v>
      </c>
      <c r="K1755" t="str">
        <f t="shared" si="27"/>
        <v>Dec 2023</v>
      </c>
    </row>
    <row r="1756" spans="1:11" x14ac:dyDescent="0.25">
      <c r="A1756" s="6">
        <v>44993</v>
      </c>
      <c r="B1756" t="s">
        <v>19</v>
      </c>
      <c r="C1756" t="s">
        <v>24</v>
      </c>
      <c r="D1756" t="s">
        <v>14</v>
      </c>
      <c r="E1756">
        <v>62</v>
      </c>
      <c r="F1756" s="3">
        <v>5448760.4900000002</v>
      </c>
      <c r="G1756">
        <v>1400973.57</v>
      </c>
      <c r="H1756">
        <v>4047786.92</v>
      </c>
      <c r="I1756">
        <v>4.79</v>
      </c>
      <c r="J1756">
        <v>3.84</v>
      </c>
      <c r="K1756" t="str">
        <f t="shared" si="27"/>
        <v>Mar 2023</v>
      </c>
    </row>
    <row r="1757" spans="1:11" x14ac:dyDescent="0.25">
      <c r="A1757" s="6">
        <v>44379</v>
      </c>
      <c r="B1757" t="s">
        <v>19</v>
      </c>
      <c r="C1757" t="s">
        <v>22</v>
      </c>
      <c r="D1757" t="s">
        <v>14</v>
      </c>
      <c r="E1757">
        <v>92</v>
      </c>
      <c r="F1757" s="3">
        <v>7598396.54</v>
      </c>
      <c r="G1757">
        <v>2800353.78</v>
      </c>
      <c r="H1757">
        <v>4798042.76</v>
      </c>
      <c r="I1757">
        <v>1.89</v>
      </c>
      <c r="J1757">
        <v>3.94</v>
      </c>
      <c r="K1757" t="str">
        <f t="shared" si="27"/>
        <v>Jul 2021</v>
      </c>
    </row>
    <row r="1758" spans="1:11" x14ac:dyDescent="0.25">
      <c r="A1758" s="6">
        <v>45477</v>
      </c>
      <c r="B1758" t="s">
        <v>19</v>
      </c>
      <c r="C1758" t="s">
        <v>20</v>
      </c>
      <c r="D1758" t="s">
        <v>12</v>
      </c>
      <c r="E1758">
        <v>425</v>
      </c>
      <c r="F1758" s="3">
        <v>33958602.100000001</v>
      </c>
      <c r="G1758">
        <v>10177288.039999999</v>
      </c>
      <c r="H1758">
        <v>23781314.059999999</v>
      </c>
      <c r="I1758">
        <v>0.82</v>
      </c>
      <c r="J1758">
        <v>3.97</v>
      </c>
      <c r="K1758" t="str">
        <f t="shared" si="27"/>
        <v>Jul 2024</v>
      </c>
    </row>
    <row r="1759" spans="1:11" x14ac:dyDescent="0.25">
      <c r="A1759" s="6">
        <v>45417</v>
      </c>
      <c r="B1759" t="s">
        <v>19</v>
      </c>
      <c r="C1759" t="s">
        <v>23</v>
      </c>
      <c r="D1759" t="s">
        <v>17</v>
      </c>
      <c r="E1759">
        <v>424</v>
      </c>
      <c r="F1759" s="3">
        <v>28173116.329999998</v>
      </c>
      <c r="G1759">
        <v>6576561.1100000003</v>
      </c>
      <c r="H1759">
        <v>21596555.210000001</v>
      </c>
      <c r="I1759">
        <v>4.58</v>
      </c>
      <c r="J1759">
        <v>3.52</v>
      </c>
      <c r="K1759" t="str">
        <f t="shared" si="27"/>
        <v>May 2024</v>
      </c>
    </row>
    <row r="1760" spans="1:11" x14ac:dyDescent="0.25">
      <c r="A1760" s="6">
        <v>44786</v>
      </c>
      <c r="B1760" t="s">
        <v>19</v>
      </c>
      <c r="C1760" t="s">
        <v>22</v>
      </c>
      <c r="D1760" t="s">
        <v>12</v>
      </c>
      <c r="E1760">
        <v>377</v>
      </c>
      <c r="F1760" s="3">
        <v>14269815.289999999</v>
      </c>
      <c r="G1760">
        <v>4141503.76</v>
      </c>
      <c r="H1760">
        <v>10128311.529999999</v>
      </c>
      <c r="I1760">
        <v>1.79</v>
      </c>
      <c r="J1760">
        <v>3.96</v>
      </c>
      <c r="K1760" t="str">
        <f t="shared" si="27"/>
        <v>Aug 2022</v>
      </c>
    </row>
    <row r="1761" spans="1:11" x14ac:dyDescent="0.25">
      <c r="A1761" s="6">
        <v>45543</v>
      </c>
      <c r="B1761" t="s">
        <v>19</v>
      </c>
      <c r="C1761" t="s">
        <v>21</v>
      </c>
      <c r="D1761" t="s">
        <v>17</v>
      </c>
      <c r="E1761">
        <v>332</v>
      </c>
      <c r="F1761" s="3">
        <v>19136828.710000001</v>
      </c>
      <c r="G1761">
        <v>4076165.83</v>
      </c>
      <c r="H1761">
        <v>15060662.880000001</v>
      </c>
      <c r="I1761">
        <v>2.44</v>
      </c>
      <c r="J1761">
        <v>4.82</v>
      </c>
      <c r="K1761" t="str">
        <f t="shared" si="27"/>
        <v>Sep 2024</v>
      </c>
    </row>
    <row r="1762" spans="1:11" x14ac:dyDescent="0.25">
      <c r="A1762" s="6">
        <v>44616</v>
      </c>
      <c r="B1762" t="s">
        <v>19</v>
      </c>
      <c r="C1762" t="s">
        <v>23</v>
      </c>
      <c r="D1762" t="s">
        <v>12</v>
      </c>
      <c r="E1762">
        <v>118</v>
      </c>
      <c r="F1762" s="3">
        <v>4573612.2699999996</v>
      </c>
      <c r="G1762">
        <v>1112522.18</v>
      </c>
      <c r="H1762">
        <v>3461090.09</v>
      </c>
      <c r="I1762">
        <v>1.79</v>
      </c>
      <c r="J1762">
        <v>4.1500000000000004</v>
      </c>
      <c r="K1762" t="str">
        <f t="shared" si="27"/>
        <v>Feb 2022</v>
      </c>
    </row>
    <row r="1763" spans="1:11" x14ac:dyDescent="0.25">
      <c r="A1763" s="6">
        <v>44838</v>
      </c>
      <c r="B1763" t="s">
        <v>19</v>
      </c>
      <c r="C1763" t="s">
        <v>20</v>
      </c>
      <c r="D1763" t="s">
        <v>17</v>
      </c>
      <c r="E1763">
        <v>68</v>
      </c>
      <c r="F1763" s="3">
        <v>4914003.1399999997</v>
      </c>
      <c r="G1763">
        <v>1894730.43</v>
      </c>
      <c r="H1763">
        <v>3019272.71</v>
      </c>
      <c r="I1763">
        <v>1.42</v>
      </c>
      <c r="J1763">
        <v>4.07</v>
      </c>
      <c r="K1763" t="str">
        <f t="shared" si="27"/>
        <v>Oct 2022</v>
      </c>
    </row>
    <row r="1764" spans="1:11" x14ac:dyDescent="0.25">
      <c r="A1764" s="6">
        <v>44160</v>
      </c>
      <c r="B1764" t="s">
        <v>19</v>
      </c>
      <c r="C1764" t="s">
        <v>24</v>
      </c>
      <c r="D1764" t="s">
        <v>12</v>
      </c>
      <c r="E1764">
        <v>338</v>
      </c>
      <c r="F1764" s="3">
        <v>23759842.449999999</v>
      </c>
      <c r="G1764">
        <v>6313089.2199999997</v>
      </c>
      <c r="H1764">
        <v>17446753.219999999</v>
      </c>
      <c r="I1764">
        <v>3.35</v>
      </c>
      <c r="J1764">
        <v>3.8</v>
      </c>
      <c r="K1764" t="str">
        <f t="shared" si="27"/>
        <v>Nov 2020</v>
      </c>
    </row>
    <row r="1765" spans="1:11" x14ac:dyDescent="0.25">
      <c r="A1765" s="6">
        <v>44292</v>
      </c>
      <c r="B1765" t="s">
        <v>19</v>
      </c>
      <c r="C1765" t="s">
        <v>21</v>
      </c>
      <c r="D1765" t="s">
        <v>14</v>
      </c>
      <c r="E1765">
        <v>452</v>
      </c>
      <c r="F1765" s="3">
        <v>35341782.649999999</v>
      </c>
      <c r="G1765">
        <v>9887904.9000000004</v>
      </c>
      <c r="H1765">
        <v>25453877.760000002</v>
      </c>
      <c r="I1765">
        <v>4.96</v>
      </c>
      <c r="J1765">
        <v>3.99</v>
      </c>
      <c r="K1765" t="str">
        <f t="shared" si="27"/>
        <v>Apr 2021</v>
      </c>
    </row>
    <row r="1766" spans="1:11" x14ac:dyDescent="0.25">
      <c r="A1766" s="6">
        <v>44658</v>
      </c>
      <c r="B1766" t="s">
        <v>19</v>
      </c>
      <c r="C1766" t="s">
        <v>20</v>
      </c>
      <c r="D1766" t="s">
        <v>12</v>
      </c>
      <c r="E1766">
        <v>368</v>
      </c>
      <c r="F1766" s="3">
        <v>21624063.09</v>
      </c>
      <c r="G1766">
        <v>4409714.1399999997</v>
      </c>
      <c r="H1766">
        <v>17214348.960000001</v>
      </c>
      <c r="I1766">
        <v>0.8</v>
      </c>
      <c r="J1766">
        <v>4.28</v>
      </c>
      <c r="K1766" t="str">
        <f t="shared" si="27"/>
        <v>Apr 2022</v>
      </c>
    </row>
    <row r="1767" spans="1:11" x14ac:dyDescent="0.25">
      <c r="A1767" s="6">
        <v>45132</v>
      </c>
      <c r="B1767" t="s">
        <v>19</v>
      </c>
      <c r="C1767" t="s">
        <v>21</v>
      </c>
      <c r="D1767" t="s">
        <v>12</v>
      </c>
      <c r="E1767">
        <v>66</v>
      </c>
      <c r="F1767" s="3">
        <v>2684330.5499999998</v>
      </c>
      <c r="G1767">
        <v>779645.18</v>
      </c>
      <c r="H1767">
        <v>1904685.36</v>
      </c>
      <c r="I1767">
        <v>4.91</v>
      </c>
      <c r="J1767">
        <v>4.33</v>
      </c>
      <c r="K1767" t="str">
        <f t="shared" si="27"/>
        <v>Jul 2023</v>
      </c>
    </row>
    <row r="1768" spans="1:11" x14ac:dyDescent="0.25">
      <c r="A1768" s="6">
        <v>45460</v>
      </c>
      <c r="B1768" t="s">
        <v>19</v>
      </c>
      <c r="C1768" t="s">
        <v>24</v>
      </c>
      <c r="D1768" t="s">
        <v>14</v>
      </c>
      <c r="E1768">
        <v>131</v>
      </c>
      <c r="F1768" s="3">
        <v>9661314.6500000004</v>
      </c>
      <c r="G1768">
        <v>3047702.99</v>
      </c>
      <c r="H1768">
        <v>6613611.6699999999</v>
      </c>
      <c r="I1768">
        <v>2.06</v>
      </c>
      <c r="J1768">
        <v>4.0999999999999996</v>
      </c>
      <c r="K1768" t="str">
        <f t="shared" si="27"/>
        <v>Jun 2024</v>
      </c>
    </row>
    <row r="1769" spans="1:11" x14ac:dyDescent="0.25">
      <c r="A1769" s="6">
        <v>43896</v>
      </c>
      <c r="B1769" t="s">
        <v>19</v>
      </c>
      <c r="C1769" t="s">
        <v>23</v>
      </c>
      <c r="D1769" t="s">
        <v>12</v>
      </c>
      <c r="E1769">
        <v>436</v>
      </c>
      <c r="F1769" s="3">
        <v>20183883.870000001</v>
      </c>
      <c r="G1769">
        <v>6123630.1200000001</v>
      </c>
      <c r="H1769">
        <v>14060253.75</v>
      </c>
      <c r="I1769">
        <v>1.71</v>
      </c>
      <c r="J1769">
        <v>3.93</v>
      </c>
      <c r="K1769" t="str">
        <f t="shared" si="27"/>
        <v>Mar 2020</v>
      </c>
    </row>
    <row r="1770" spans="1:11" x14ac:dyDescent="0.25">
      <c r="A1770" s="6">
        <v>44725</v>
      </c>
      <c r="B1770" t="s">
        <v>19</v>
      </c>
      <c r="C1770" t="s">
        <v>23</v>
      </c>
      <c r="D1770" t="s">
        <v>12</v>
      </c>
      <c r="E1770">
        <v>123</v>
      </c>
      <c r="F1770" s="3">
        <v>8971353.9199999999</v>
      </c>
      <c r="G1770">
        <v>3330270.8</v>
      </c>
      <c r="H1770">
        <v>5641083.1200000001</v>
      </c>
      <c r="I1770">
        <v>3.18</v>
      </c>
      <c r="J1770">
        <v>3.76</v>
      </c>
      <c r="K1770" t="str">
        <f t="shared" si="27"/>
        <v>Jun 2022</v>
      </c>
    </row>
    <row r="1771" spans="1:11" x14ac:dyDescent="0.25">
      <c r="A1771" s="6">
        <v>44562</v>
      </c>
      <c r="B1771" t="s">
        <v>19</v>
      </c>
      <c r="C1771" t="s">
        <v>21</v>
      </c>
      <c r="D1771" t="s">
        <v>17</v>
      </c>
      <c r="E1771">
        <v>279</v>
      </c>
      <c r="F1771" s="3">
        <v>10813586.84</v>
      </c>
      <c r="G1771">
        <v>3394655.79</v>
      </c>
      <c r="H1771">
        <v>7418931.0499999998</v>
      </c>
      <c r="I1771">
        <v>3.63</v>
      </c>
      <c r="J1771">
        <v>4.1900000000000004</v>
      </c>
      <c r="K1771" t="str">
        <f t="shared" si="27"/>
        <v>Jan 2022</v>
      </c>
    </row>
    <row r="1772" spans="1:11" x14ac:dyDescent="0.25">
      <c r="A1772" s="6">
        <v>44558</v>
      </c>
      <c r="B1772" t="s">
        <v>19</v>
      </c>
      <c r="C1772" t="s">
        <v>23</v>
      </c>
      <c r="D1772" t="s">
        <v>17</v>
      </c>
      <c r="E1772">
        <v>416</v>
      </c>
      <c r="F1772" s="3">
        <v>27221311.890000001</v>
      </c>
      <c r="G1772">
        <v>7395312.29</v>
      </c>
      <c r="H1772">
        <v>19825999.600000001</v>
      </c>
      <c r="I1772">
        <v>3.67</v>
      </c>
      <c r="J1772">
        <v>4.0599999999999996</v>
      </c>
      <c r="K1772" t="str">
        <f t="shared" si="27"/>
        <v>Dec 2021</v>
      </c>
    </row>
    <row r="1773" spans="1:11" x14ac:dyDescent="0.25">
      <c r="A1773" s="6">
        <v>44344</v>
      </c>
      <c r="B1773" t="s">
        <v>19</v>
      </c>
      <c r="C1773" t="s">
        <v>24</v>
      </c>
      <c r="D1773" t="s">
        <v>17</v>
      </c>
      <c r="E1773">
        <v>332</v>
      </c>
      <c r="F1773" s="3">
        <v>23964240.02</v>
      </c>
      <c r="G1773">
        <v>6198926.4500000002</v>
      </c>
      <c r="H1773">
        <v>17765313.57</v>
      </c>
      <c r="I1773">
        <v>3.25</v>
      </c>
      <c r="J1773">
        <v>3.97</v>
      </c>
      <c r="K1773" t="str">
        <f t="shared" si="27"/>
        <v>May 2021</v>
      </c>
    </row>
    <row r="1774" spans="1:11" x14ac:dyDescent="0.25">
      <c r="A1774" s="6">
        <v>44348</v>
      </c>
      <c r="B1774" t="s">
        <v>19</v>
      </c>
      <c r="C1774" t="s">
        <v>20</v>
      </c>
      <c r="D1774" t="s">
        <v>12</v>
      </c>
      <c r="E1774">
        <v>149</v>
      </c>
      <c r="F1774" s="3">
        <v>7259852.1900000004</v>
      </c>
      <c r="G1774">
        <v>2901010.05</v>
      </c>
      <c r="H1774">
        <v>4358842.1399999997</v>
      </c>
      <c r="I1774">
        <v>1.28</v>
      </c>
      <c r="J1774">
        <v>3.68</v>
      </c>
      <c r="K1774" t="str">
        <f t="shared" si="27"/>
        <v>Jun 2021</v>
      </c>
    </row>
    <row r="1775" spans="1:11" x14ac:dyDescent="0.25">
      <c r="A1775" s="6">
        <v>44732</v>
      </c>
      <c r="B1775" t="s">
        <v>19</v>
      </c>
      <c r="C1775" t="s">
        <v>21</v>
      </c>
      <c r="D1775" t="s">
        <v>14</v>
      </c>
      <c r="E1775">
        <v>315</v>
      </c>
      <c r="F1775" s="3">
        <v>21632372.460000001</v>
      </c>
      <c r="G1775">
        <v>7731042.1299999999</v>
      </c>
      <c r="H1775">
        <v>13901330.33</v>
      </c>
      <c r="I1775">
        <v>4.7300000000000004</v>
      </c>
      <c r="J1775">
        <v>3.51</v>
      </c>
      <c r="K1775" t="str">
        <f t="shared" si="27"/>
        <v>Jun 2022</v>
      </c>
    </row>
    <row r="1776" spans="1:11" x14ac:dyDescent="0.25">
      <c r="A1776" s="6">
        <v>44674</v>
      </c>
      <c r="B1776" t="s">
        <v>19</v>
      </c>
      <c r="C1776" t="s">
        <v>21</v>
      </c>
      <c r="D1776" t="s">
        <v>12</v>
      </c>
      <c r="E1776">
        <v>297</v>
      </c>
      <c r="F1776" s="3">
        <v>19993215.199999999</v>
      </c>
      <c r="G1776">
        <v>5193679.12</v>
      </c>
      <c r="H1776">
        <v>14799536.08</v>
      </c>
      <c r="I1776">
        <v>3.56</v>
      </c>
      <c r="J1776">
        <v>4.1100000000000003</v>
      </c>
      <c r="K1776" t="str">
        <f t="shared" si="27"/>
        <v>Apr 2022</v>
      </c>
    </row>
    <row r="1777" spans="1:11" x14ac:dyDescent="0.25">
      <c r="A1777" s="6">
        <v>44166</v>
      </c>
      <c r="B1777" t="s">
        <v>19</v>
      </c>
      <c r="C1777" t="s">
        <v>20</v>
      </c>
      <c r="D1777" t="s">
        <v>12</v>
      </c>
      <c r="E1777">
        <v>418</v>
      </c>
      <c r="F1777" s="3">
        <v>23495254.66</v>
      </c>
      <c r="G1777">
        <v>4998534.8899999997</v>
      </c>
      <c r="H1777">
        <v>18496719.77</v>
      </c>
      <c r="I1777">
        <v>2.94</v>
      </c>
      <c r="J1777">
        <v>4.91</v>
      </c>
      <c r="K1777" t="str">
        <f t="shared" si="27"/>
        <v>Dec 2020</v>
      </c>
    </row>
    <row r="1778" spans="1:11" x14ac:dyDescent="0.25">
      <c r="A1778" s="6">
        <v>44527</v>
      </c>
      <c r="B1778" t="s">
        <v>19</v>
      </c>
      <c r="C1778" t="s">
        <v>22</v>
      </c>
      <c r="D1778" t="s">
        <v>12</v>
      </c>
      <c r="E1778">
        <v>187</v>
      </c>
      <c r="F1778" s="3">
        <v>10649078.24</v>
      </c>
      <c r="G1778">
        <v>2471008.69</v>
      </c>
      <c r="H1778">
        <v>8178069.5499999998</v>
      </c>
      <c r="I1778">
        <v>1.35</v>
      </c>
      <c r="J1778">
        <v>4.51</v>
      </c>
      <c r="K1778" t="str">
        <f t="shared" si="27"/>
        <v>Nov 2021</v>
      </c>
    </row>
    <row r="1779" spans="1:11" x14ac:dyDescent="0.25">
      <c r="A1779" s="6">
        <v>45053</v>
      </c>
      <c r="B1779" t="s">
        <v>19</v>
      </c>
      <c r="C1779" t="s">
        <v>23</v>
      </c>
      <c r="D1779" t="s">
        <v>12</v>
      </c>
      <c r="E1779">
        <v>225</v>
      </c>
      <c r="F1779" s="3">
        <v>16104307.140000001</v>
      </c>
      <c r="G1779">
        <v>4837603.76</v>
      </c>
      <c r="H1779">
        <v>11266703.369999999</v>
      </c>
      <c r="I1779">
        <v>3.84</v>
      </c>
      <c r="J1779">
        <v>3.99</v>
      </c>
      <c r="K1779" t="str">
        <f t="shared" si="27"/>
        <v>May 2023</v>
      </c>
    </row>
    <row r="1780" spans="1:11" x14ac:dyDescent="0.25">
      <c r="A1780" s="6">
        <v>45623</v>
      </c>
      <c r="B1780" t="s">
        <v>19</v>
      </c>
      <c r="C1780" t="s">
        <v>24</v>
      </c>
      <c r="D1780" t="s">
        <v>14</v>
      </c>
      <c r="E1780">
        <v>293</v>
      </c>
      <c r="F1780" s="3">
        <v>22315213.800000001</v>
      </c>
      <c r="G1780">
        <v>4844415.7300000004</v>
      </c>
      <c r="H1780">
        <v>17470798.07</v>
      </c>
      <c r="I1780">
        <v>2.4500000000000002</v>
      </c>
      <c r="J1780">
        <v>3.89</v>
      </c>
      <c r="K1780" t="str">
        <f t="shared" si="27"/>
        <v>Nov 2024</v>
      </c>
    </row>
    <row r="1781" spans="1:11" x14ac:dyDescent="0.25">
      <c r="A1781" s="6">
        <v>45597</v>
      </c>
      <c r="B1781" t="s">
        <v>19</v>
      </c>
      <c r="C1781" t="s">
        <v>20</v>
      </c>
      <c r="D1781" t="s">
        <v>14</v>
      </c>
      <c r="E1781">
        <v>142</v>
      </c>
      <c r="F1781" s="3">
        <v>8974393.1400000006</v>
      </c>
      <c r="G1781">
        <v>2802909.42</v>
      </c>
      <c r="H1781">
        <v>6171483.71</v>
      </c>
      <c r="I1781">
        <v>4.9800000000000004</v>
      </c>
      <c r="J1781">
        <v>3.84</v>
      </c>
      <c r="K1781" t="str">
        <f t="shared" si="27"/>
        <v>Nov 2024</v>
      </c>
    </row>
    <row r="1782" spans="1:11" x14ac:dyDescent="0.25">
      <c r="A1782" s="6">
        <v>44875</v>
      </c>
      <c r="B1782" t="s">
        <v>19</v>
      </c>
      <c r="C1782" t="s">
        <v>24</v>
      </c>
      <c r="D1782" t="s">
        <v>14</v>
      </c>
      <c r="E1782">
        <v>92</v>
      </c>
      <c r="F1782" s="3">
        <v>6446702.5300000003</v>
      </c>
      <c r="G1782">
        <v>2266632.14</v>
      </c>
      <c r="H1782">
        <v>4180070.39</v>
      </c>
      <c r="I1782">
        <v>3.71</v>
      </c>
      <c r="J1782">
        <v>3.64</v>
      </c>
      <c r="K1782" t="str">
        <f t="shared" si="27"/>
        <v>Nov 2022</v>
      </c>
    </row>
    <row r="1783" spans="1:11" x14ac:dyDescent="0.25">
      <c r="A1783" s="6">
        <v>45047</v>
      </c>
      <c r="B1783" t="s">
        <v>19</v>
      </c>
      <c r="C1783" t="s">
        <v>20</v>
      </c>
      <c r="D1783" t="s">
        <v>12</v>
      </c>
      <c r="E1783">
        <v>418</v>
      </c>
      <c r="F1783" s="3">
        <v>33444316.329999998</v>
      </c>
      <c r="G1783">
        <v>13043159.109999999</v>
      </c>
      <c r="H1783">
        <v>20401157.219999999</v>
      </c>
      <c r="I1783">
        <v>4.5999999999999996</v>
      </c>
      <c r="J1783">
        <v>3.54</v>
      </c>
      <c r="K1783" t="str">
        <f t="shared" si="27"/>
        <v>May 2023</v>
      </c>
    </row>
    <row r="1784" spans="1:11" x14ac:dyDescent="0.25">
      <c r="A1784" s="6">
        <v>45629</v>
      </c>
      <c r="B1784" t="s">
        <v>19</v>
      </c>
      <c r="C1784" t="s">
        <v>22</v>
      </c>
      <c r="D1784" t="s">
        <v>17</v>
      </c>
      <c r="E1784">
        <v>274</v>
      </c>
      <c r="F1784" s="3">
        <v>12821105.699999999</v>
      </c>
      <c r="G1784">
        <v>4434034.97</v>
      </c>
      <c r="H1784">
        <v>8387070.7300000004</v>
      </c>
      <c r="I1784">
        <v>1.61</v>
      </c>
      <c r="J1784">
        <v>3.59</v>
      </c>
      <c r="K1784" t="str">
        <f t="shared" si="27"/>
        <v>Dec 2024</v>
      </c>
    </row>
    <row r="1785" spans="1:11" x14ac:dyDescent="0.25">
      <c r="A1785" s="6">
        <v>45330</v>
      </c>
      <c r="B1785" t="s">
        <v>19</v>
      </c>
      <c r="C1785" t="s">
        <v>21</v>
      </c>
      <c r="D1785" t="s">
        <v>17</v>
      </c>
      <c r="E1785">
        <v>110</v>
      </c>
      <c r="F1785" s="3">
        <v>6419867.7599999998</v>
      </c>
      <c r="G1785">
        <v>2291450.61</v>
      </c>
      <c r="H1785">
        <v>4128417.15</v>
      </c>
      <c r="I1785">
        <v>3.19</v>
      </c>
      <c r="J1785">
        <v>4.3899999999999997</v>
      </c>
      <c r="K1785" t="str">
        <f t="shared" si="27"/>
        <v>Feb 2024</v>
      </c>
    </row>
    <row r="1786" spans="1:11" x14ac:dyDescent="0.25">
      <c r="A1786" s="6">
        <v>44089</v>
      </c>
      <c r="B1786" t="s">
        <v>19</v>
      </c>
      <c r="C1786" t="s">
        <v>20</v>
      </c>
      <c r="D1786" t="s">
        <v>12</v>
      </c>
      <c r="E1786">
        <v>143</v>
      </c>
      <c r="F1786" s="3">
        <v>12488474.439999999</v>
      </c>
      <c r="G1786">
        <v>2901093.01</v>
      </c>
      <c r="H1786">
        <v>9587381.4299999997</v>
      </c>
      <c r="I1786">
        <v>4.12</v>
      </c>
      <c r="J1786">
        <v>4.7300000000000004</v>
      </c>
      <c r="K1786" t="str">
        <f t="shared" si="27"/>
        <v>Sep 2020</v>
      </c>
    </row>
    <row r="1787" spans="1:11" x14ac:dyDescent="0.25">
      <c r="A1787" s="6">
        <v>44979</v>
      </c>
      <c r="B1787" t="s">
        <v>19</v>
      </c>
      <c r="C1787" t="s">
        <v>22</v>
      </c>
      <c r="D1787" t="s">
        <v>17</v>
      </c>
      <c r="E1787">
        <v>492</v>
      </c>
      <c r="F1787" s="3">
        <v>24886226.870000001</v>
      </c>
      <c r="G1787">
        <v>6038545.8799999999</v>
      </c>
      <c r="H1787">
        <v>18847680.989999998</v>
      </c>
      <c r="I1787">
        <v>2.29</v>
      </c>
      <c r="J1787">
        <v>4.2699999999999996</v>
      </c>
      <c r="K1787" t="str">
        <f t="shared" si="27"/>
        <v>Feb 2023</v>
      </c>
    </row>
    <row r="1788" spans="1:11" x14ac:dyDescent="0.25">
      <c r="A1788" s="6">
        <v>44336</v>
      </c>
      <c r="B1788" t="s">
        <v>19</v>
      </c>
      <c r="C1788" t="s">
        <v>24</v>
      </c>
      <c r="D1788" t="s">
        <v>14</v>
      </c>
      <c r="E1788">
        <v>425</v>
      </c>
      <c r="F1788" s="3">
        <v>37961542.969999999</v>
      </c>
      <c r="G1788">
        <v>12971491.57</v>
      </c>
      <c r="H1788">
        <v>24990051.399999999</v>
      </c>
      <c r="I1788">
        <v>3.97</v>
      </c>
      <c r="J1788">
        <v>4.1399999999999997</v>
      </c>
      <c r="K1788" t="str">
        <f t="shared" si="27"/>
        <v>May 2021</v>
      </c>
    </row>
    <row r="1789" spans="1:11" x14ac:dyDescent="0.25">
      <c r="A1789" s="6">
        <v>44214</v>
      </c>
      <c r="B1789" t="s">
        <v>19</v>
      </c>
      <c r="C1789" t="s">
        <v>22</v>
      </c>
      <c r="D1789" t="s">
        <v>12</v>
      </c>
      <c r="E1789">
        <v>439</v>
      </c>
      <c r="F1789" s="3">
        <v>34674209.560000002</v>
      </c>
      <c r="G1789">
        <v>11556173.48</v>
      </c>
      <c r="H1789">
        <v>23118036.079999998</v>
      </c>
      <c r="I1789">
        <v>4.3899999999999997</v>
      </c>
      <c r="J1789">
        <v>4.87</v>
      </c>
      <c r="K1789" t="str">
        <f t="shared" si="27"/>
        <v>Jan 2021</v>
      </c>
    </row>
    <row r="1790" spans="1:11" x14ac:dyDescent="0.25">
      <c r="A1790" s="6">
        <v>44729</v>
      </c>
      <c r="B1790" t="s">
        <v>19</v>
      </c>
      <c r="C1790" t="s">
        <v>23</v>
      </c>
      <c r="D1790" t="s">
        <v>14</v>
      </c>
      <c r="E1790">
        <v>86</v>
      </c>
      <c r="F1790" s="3">
        <v>6162370.21</v>
      </c>
      <c r="G1790">
        <v>1494514.01</v>
      </c>
      <c r="H1790">
        <v>4667856.2</v>
      </c>
      <c r="I1790">
        <v>2.54</v>
      </c>
      <c r="J1790">
        <v>4.45</v>
      </c>
      <c r="K1790" t="str">
        <f t="shared" si="27"/>
        <v>Jun 2022</v>
      </c>
    </row>
    <row r="1791" spans="1:11" x14ac:dyDescent="0.25">
      <c r="A1791" s="6">
        <v>44589</v>
      </c>
      <c r="B1791" t="s">
        <v>19</v>
      </c>
      <c r="C1791" t="s">
        <v>20</v>
      </c>
      <c r="D1791" t="s">
        <v>17</v>
      </c>
      <c r="E1791">
        <v>412</v>
      </c>
      <c r="F1791" s="3">
        <v>28876043.59</v>
      </c>
      <c r="G1791">
        <v>6735954.3399999999</v>
      </c>
      <c r="H1791">
        <v>22140089.25</v>
      </c>
      <c r="I1791">
        <v>2.75</v>
      </c>
      <c r="J1791">
        <v>4.3</v>
      </c>
      <c r="K1791" t="str">
        <f t="shared" si="27"/>
        <v>Jan 2022</v>
      </c>
    </row>
    <row r="1792" spans="1:11" x14ac:dyDescent="0.25">
      <c r="A1792" s="6">
        <v>45379</v>
      </c>
      <c r="B1792" t="s">
        <v>19</v>
      </c>
      <c r="C1792" t="s">
        <v>21</v>
      </c>
      <c r="D1792" t="s">
        <v>14</v>
      </c>
      <c r="E1792">
        <v>156</v>
      </c>
      <c r="F1792" s="3">
        <v>13493287.73</v>
      </c>
      <c r="G1792">
        <v>5224583.88</v>
      </c>
      <c r="H1792">
        <v>8268703.8499999996</v>
      </c>
      <c r="I1792">
        <v>4.21</v>
      </c>
      <c r="J1792">
        <v>3.94</v>
      </c>
      <c r="K1792" t="str">
        <f t="shared" si="27"/>
        <v>Mar 2024</v>
      </c>
    </row>
    <row r="1793" spans="1:11" x14ac:dyDescent="0.25">
      <c r="A1793" s="6">
        <v>45516</v>
      </c>
      <c r="B1793" t="s">
        <v>19</v>
      </c>
      <c r="C1793" t="s">
        <v>22</v>
      </c>
      <c r="D1793" t="s">
        <v>14</v>
      </c>
      <c r="E1793">
        <v>188</v>
      </c>
      <c r="F1793" s="3">
        <v>12772061.439999999</v>
      </c>
      <c r="G1793">
        <v>4595135.51</v>
      </c>
      <c r="H1793">
        <v>8176925.9199999999</v>
      </c>
      <c r="I1793">
        <v>3.16</v>
      </c>
      <c r="J1793">
        <v>4.1100000000000003</v>
      </c>
      <c r="K1793" t="str">
        <f t="shared" si="27"/>
        <v>Aug 2024</v>
      </c>
    </row>
    <row r="1794" spans="1:11" x14ac:dyDescent="0.25">
      <c r="A1794" s="6">
        <v>44735</v>
      </c>
      <c r="B1794" t="s">
        <v>19</v>
      </c>
      <c r="C1794" t="s">
        <v>22</v>
      </c>
      <c r="D1794" t="s">
        <v>12</v>
      </c>
      <c r="E1794">
        <v>412</v>
      </c>
      <c r="F1794" s="3">
        <v>25548229.23</v>
      </c>
      <c r="G1794">
        <v>5482084.7199999997</v>
      </c>
      <c r="H1794">
        <v>20066144.510000002</v>
      </c>
      <c r="I1794">
        <v>0.97</v>
      </c>
      <c r="J1794">
        <v>4.6500000000000004</v>
      </c>
      <c r="K1794" t="str">
        <f t="shared" ref="K1794:K1857" si="28">TEXT(A1794,"mmm yyyy")</f>
        <v>Jun 2022</v>
      </c>
    </row>
    <row r="1795" spans="1:11" x14ac:dyDescent="0.25">
      <c r="A1795" s="6">
        <v>45484</v>
      </c>
      <c r="B1795" t="s">
        <v>19</v>
      </c>
      <c r="C1795" t="s">
        <v>23</v>
      </c>
      <c r="D1795" t="s">
        <v>12</v>
      </c>
      <c r="E1795">
        <v>471</v>
      </c>
      <c r="F1795" s="3">
        <v>33457275.07</v>
      </c>
      <c r="G1795">
        <v>11641548.539999999</v>
      </c>
      <c r="H1795">
        <v>21815726.530000001</v>
      </c>
      <c r="I1795">
        <v>1.22</v>
      </c>
      <c r="J1795">
        <v>3.74</v>
      </c>
      <c r="K1795" t="str">
        <f t="shared" si="28"/>
        <v>Jul 2024</v>
      </c>
    </row>
    <row r="1796" spans="1:11" x14ac:dyDescent="0.25">
      <c r="A1796" s="6">
        <v>44478</v>
      </c>
      <c r="B1796" t="s">
        <v>19</v>
      </c>
      <c r="C1796" t="s">
        <v>23</v>
      </c>
      <c r="D1796" t="s">
        <v>12</v>
      </c>
      <c r="E1796">
        <v>182</v>
      </c>
      <c r="F1796" s="3">
        <v>14243089.050000001</v>
      </c>
      <c r="G1796">
        <v>3012324.15</v>
      </c>
      <c r="H1796">
        <v>11230764.9</v>
      </c>
      <c r="I1796">
        <v>3.86</v>
      </c>
      <c r="J1796">
        <v>4.58</v>
      </c>
      <c r="K1796" t="str">
        <f t="shared" si="28"/>
        <v>Oct 2021</v>
      </c>
    </row>
    <row r="1797" spans="1:11" x14ac:dyDescent="0.25">
      <c r="A1797" s="6">
        <v>44979</v>
      </c>
      <c r="B1797" t="s">
        <v>19</v>
      </c>
      <c r="C1797" t="s">
        <v>24</v>
      </c>
      <c r="D1797" t="s">
        <v>17</v>
      </c>
      <c r="E1797">
        <v>352</v>
      </c>
      <c r="F1797" s="3">
        <v>25584200.239999998</v>
      </c>
      <c r="G1797">
        <v>9668617.9100000001</v>
      </c>
      <c r="H1797">
        <v>15915582.32</v>
      </c>
      <c r="I1797">
        <v>1.8</v>
      </c>
      <c r="J1797">
        <v>3.96</v>
      </c>
      <c r="K1797" t="str">
        <f t="shared" si="28"/>
        <v>Feb 2023</v>
      </c>
    </row>
    <row r="1798" spans="1:11" x14ac:dyDescent="0.25">
      <c r="A1798" s="6">
        <v>44558</v>
      </c>
      <c r="B1798" t="s">
        <v>19</v>
      </c>
      <c r="C1798" t="s">
        <v>22</v>
      </c>
      <c r="D1798" t="s">
        <v>14</v>
      </c>
      <c r="E1798">
        <v>493</v>
      </c>
      <c r="F1798" s="3">
        <v>29275256.010000002</v>
      </c>
      <c r="G1798">
        <v>8470033.0700000003</v>
      </c>
      <c r="H1798">
        <v>20805222.940000001</v>
      </c>
      <c r="I1798">
        <v>1.65</v>
      </c>
      <c r="J1798">
        <v>4.6100000000000003</v>
      </c>
      <c r="K1798" t="str">
        <f t="shared" si="28"/>
        <v>Dec 2021</v>
      </c>
    </row>
    <row r="1799" spans="1:11" x14ac:dyDescent="0.25">
      <c r="A1799" s="6">
        <v>45407</v>
      </c>
      <c r="B1799" t="s">
        <v>19</v>
      </c>
      <c r="C1799" t="s">
        <v>24</v>
      </c>
      <c r="D1799" t="s">
        <v>14</v>
      </c>
      <c r="E1799">
        <v>427</v>
      </c>
      <c r="F1799" s="3">
        <v>34403628.219999999</v>
      </c>
      <c r="G1799">
        <v>8330543.75</v>
      </c>
      <c r="H1799">
        <v>26073084.469999999</v>
      </c>
      <c r="I1799">
        <v>1.89</v>
      </c>
      <c r="J1799">
        <v>4.87</v>
      </c>
      <c r="K1799" t="str">
        <f t="shared" si="28"/>
        <v>Apr 2024</v>
      </c>
    </row>
    <row r="1800" spans="1:11" x14ac:dyDescent="0.25">
      <c r="A1800" s="6">
        <v>44029</v>
      </c>
      <c r="B1800" t="s">
        <v>19</v>
      </c>
      <c r="C1800" t="s">
        <v>22</v>
      </c>
      <c r="D1800" t="s">
        <v>17</v>
      </c>
      <c r="E1800">
        <v>401</v>
      </c>
      <c r="F1800" s="3">
        <v>31378119.800000001</v>
      </c>
      <c r="G1800">
        <v>8583694.2899999991</v>
      </c>
      <c r="H1800">
        <v>22794425.510000002</v>
      </c>
      <c r="I1800">
        <v>2.1800000000000002</v>
      </c>
      <c r="J1800">
        <v>3.91</v>
      </c>
      <c r="K1800" t="str">
        <f t="shared" si="28"/>
        <v>Jul 2020</v>
      </c>
    </row>
    <row r="1801" spans="1:11" x14ac:dyDescent="0.25">
      <c r="A1801" s="6">
        <v>45135</v>
      </c>
      <c r="B1801" t="s">
        <v>19</v>
      </c>
      <c r="C1801" t="s">
        <v>20</v>
      </c>
      <c r="D1801" t="s">
        <v>14</v>
      </c>
      <c r="E1801">
        <v>385</v>
      </c>
      <c r="F1801" s="3">
        <v>32031064</v>
      </c>
      <c r="G1801">
        <v>12155353.4</v>
      </c>
      <c r="H1801">
        <v>19875710.59</v>
      </c>
      <c r="I1801">
        <v>2.27</v>
      </c>
      <c r="J1801">
        <v>4.33</v>
      </c>
      <c r="K1801" t="str">
        <f t="shared" si="28"/>
        <v>Jul 2023</v>
      </c>
    </row>
    <row r="1802" spans="1:11" x14ac:dyDescent="0.25">
      <c r="A1802" s="6">
        <v>44165</v>
      </c>
      <c r="B1802" t="s">
        <v>19</v>
      </c>
      <c r="C1802" t="s">
        <v>21</v>
      </c>
      <c r="D1802" t="s">
        <v>14</v>
      </c>
      <c r="E1802">
        <v>84</v>
      </c>
      <c r="F1802" s="3">
        <v>4551872.1500000004</v>
      </c>
      <c r="G1802">
        <v>1345898.11</v>
      </c>
      <c r="H1802">
        <v>3205974.04</v>
      </c>
      <c r="I1802">
        <v>4.08</v>
      </c>
      <c r="J1802">
        <v>4.83</v>
      </c>
      <c r="K1802" t="str">
        <f t="shared" si="28"/>
        <v>Nov 2020</v>
      </c>
    </row>
    <row r="1803" spans="1:11" x14ac:dyDescent="0.25">
      <c r="A1803" s="6">
        <v>44176</v>
      </c>
      <c r="B1803" t="s">
        <v>19</v>
      </c>
      <c r="C1803" t="s">
        <v>22</v>
      </c>
      <c r="D1803" t="s">
        <v>12</v>
      </c>
      <c r="E1803">
        <v>125</v>
      </c>
      <c r="F1803" s="3">
        <v>10279004.42</v>
      </c>
      <c r="G1803">
        <v>2573131.14</v>
      </c>
      <c r="H1803">
        <v>7705873.2800000003</v>
      </c>
      <c r="I1803">
        <v>2.48</v>
      </c>
      <c r="J1803">
        <v>4.42</v>
      </c>
      <c r="K1803" t="str">
        <f t="shared" si="28"/>
        <v>Dec 2020</v>
      </c>
    </row>
    <row r="1804" spans="1:11" x14ac:dyDescent="0.25">
      <c r="A1804" s="6">
        <v>44736</v>
      </c>
      <c r="B1804" t="s">
        <v>19</v>
      </c>
      <c r="C1804" t="s">
        <v>23</v>
      </c>
      <c r="D1804" t="s">
        <v>14</v>
      </c>
      <c r="E1804">
        <v>334</v>
      </c>
      <c r="F1804" s="3">
        <v>20125306.219999999</v>
      </c>
      <c r="G1804">
        <v>6395445.54</v>
      </c>
      <c r="H1804">
        <v>13729860.689999999</v>
      </c>
      <c r="I1804">
        <v>3.75</v>
      </c>
      <c r="J1804">
        <v>4.08</v>
      </c>
      <c r="K1804" t="str">
        <f t="shared" si="28"/>
        <v>Jun 2022</v>
      </c>
    </row>
    <row r="1805" spans="1:11" x14ac:dyDescent="0.25">
      <c r="A1805" s="6">
        <v>44768</v>
      </c>
      <c r="B1805" t="s">
        <v>19</v>
      </c>
      <c r="C1805" t="s">
        <v>22</v>
      </c>
      <c r="D1805" t="s">
        <v>17</v>
      </c>
      <c r="E1805">
        <v>161</v>
      </c>
      <c r="F1805" s="3">
        <v>6675916.7599999998</v>
      </c>
      <c r="G1805">
        <v>2449681.61</v>
      </c>
      <c r="H1805">
        <v>4226235.16</v>
      </c>
      <c r="I1805">
        <v>0.51</v>
      </c>
      <c r="J1805">
        <v>4.58</v>
      </c>
      <c r="K1805" t="str">
        <f t="shared" si="28"/>
        <v>Jul 2022</v>
      </c>
    </row>
    <row r="1806" spans="1:11" x14ac:dyDescent="0.25">
      <c r="A1806" s="6">
        <v>44270</v>
      </c>
      <c r="B1806" t="s">
        <v>19</v>
      </c>
      <c r="C1806" t="s">
        <v>22</v>
      </c>
      <c r="D1806" t="s">
        <v>14</v>
      </c>
      <c r="E1806">
        <v>183</v>
      </c>
      <c r="F1806" s="3">
        <v>14350635.029999999</v>
      </c>
      <c r="G1806">
        <v>4888438.54</v>
      </c>
      <c r="H1806">
        <v>9462196.4900000002</v>
      </c>
      <c r="I1806">
        <v>2.94</v>
      </c>
      <c r="J1806">
        <v>4.0199999999999996</v>
      </c>
      <c r="K1806" t="str">
        <f t="shared" si="28"/>
        <v>Mar 2021</v>
      </c>
    </row>
    <row r="1807" spans="1:11" x14ac:dyDescent="0.25">
      <c r="A1807" s="6">
        <v>44030</v>
      </c>
      <c r="B1807" t="s">
        <v>19</v>
      </c>
      <c r="C1807" t="s">
        <v>20</v>
      </c>
      <c r="D1807" t="s">
        <v>12</v>
      </c>
      <c r="E1807">
        <v>175</v>
      </c>
      <c r="F1807" s="3">
        <v>7720326.2000000002</v>
      </c>
      <c r="G1807">
        <v>1712591.42</v>
      </c>
      <c r="H1807">
        <v>6007734.79</v>
      </c>
      <c r="I1807">
        <v>1.59</v>
      </c>
      <c r="J1807">
        <v>4.03</v>
      </c>
      <c r="K1807" t="str">
        <f t="shared" si="28"/>
        <v>Jul 2020</v>
      </c>
    </row>
    <row r="1808" spans="1:11" x14ac:dyDescent="0.25">
      <c r="A1808" s="6">
        <v>44278</v>
      </c>
      <c r="B1808" t="s">
        <v>19</v>
      </c>
      <c r="C1808" t="s">
        <v>21</v>
      </c>
      <c r="D1808" t="s">
        <v>12</v>
      </c>
      <c r="E1808">
        <v>164</v>
      </c>
      <c r="F1808" s="3">
        <v>7745698.9699999997</v>
      </c>
      <c r="G1808">
        <v>2293928.14</v>
      </c>
      <c r="H1808">
        <v>5451770.8300000001</v>
      </c>
      <c r="I1808">
        <v>3.23</v>
      </c>
      <c r="J1808">
        <v>3.87</v>
      </c>
      <c r="K1808" t="str">
        <f t="shared" si="28"/>
        <v>Mar 2021</v>
      </c>
    </row>
    <row r="1809" spans="1:11" x14ac:dyDescent="0.25">
      <c r="A1809" s="6">
        <v>43965</v>
      </c>
      <c r="B1809" t="s">
        <v>19</v>
      </c>
      <c r="C1809" t="s">
        <v>20</v>
      </c>
      <c r="D1809" t="s">
        <v>14</v>
      </c>
      <c r="E1809">
        <v>296</v>
      </c>
      <c r="F1809" s="3">
        <v>14327915.98</v>
      </c>
      <c r="G1809">
        <v>4964334.04</v>
      </c>
      <c r="H1809">
        <v>9363581.9399999995</v>
      </c>
      <c r="I1809">
        <v>2.0099999999999998</v>
      </c>
      <c r="J1809">
        <v>4.62</v>
      </c>
      <c r="K1809" t="str">
        <f t="shared" si="28"/>
        <v>May 2020</v>
      </c>
    </row>
    <row r="1810" spans="1:11" x14ac:dyDescent="0.25">
      <c r="A1810" s="6">
        <v>44347</v>
      </c>
      <c r="B1810" t="s">
        <v>19</v>
      </c>
      <c r="C1810" t="s">
        <v>21</v>
      </c>
      <c r="D1810" t="s">
        <v>14</v>
      </c>
      <c r="E1810">
        <v>201</v>
      </c>
      <c r="F1810" s="3">
        <v>13848201.869999999</v>
      </c>
      <c r="G1810">
        <v>3996927.73</v>
      </c>
      <c r="H1810">
        <v>9851274.1400000006</v>
      </c>
      <c r="I1810">
        <v>2.37</v>
      </c>
      <c r="J1810">
        <v>4.1399999999999997</v>
      </c>
      <c r="K1810" t="str">
        <f t="shared" si="28"/>
        <v>May 2021</v>
      </c>
    </row>
    <row r="1811" spans="1:11" x14ac:dyDescent="0.25">
      <c r="A1811" s="6">
        <v>44412</v>
      </c>
      <c r="B1811" t="s">
        <v>19</v>
      </c>
      <c r="C1811" t="s">
        <v>20</v>
      </c>
      <c r="D1811" t="s">
        <v>14</v>
      </c>
      <c r="E1811">
        <v>68</v>
      </c>
      <c r="F1811" s="3">
        <v>4919379.5599999996</v>
      </c>
      <c r="G1811">
        <v>1562528.03</v>
      </c>
      <c r="H1811">
        <v>3356851.54</v>
      </c>
      <c r="I1811">
        <v>3.89</v>
      </c>
      <c r="J1811">
        <v>3.81</v>
      </c>
      <c r="K1811" t="str">
        <f t="shared" si="28"/>
        <v>Aug 2021</v>
      </c>
    </row>
    <row r="1812" spans="1:11" x14ac:dyDescent="0.25">
      <c r="A1812" s="6">
        <v>44634</v>
      </c>
      <c r="B1812" t="s">
        <v>19</v>
      </c>
      <c r="C1812" t="s">
        <v>23</v>
      </c>
      <c r="D1812" t="s">
        <v>14</v>
      </c>
      <c r="E1812">
        <v>403</v>
      </c>
      <c r="F1812" s="3">
        <v>23236051.18</v>
      </c>
      <c r="G1812">
        <v>5248898.6399999997</v>
      </c>
      <c r="H1812">
        <v>17987152.530000001</v>
      </c>
      <c r="I1812">
        <v>3.34</v>
      </c>
      <c r="J1812">
        <v>4.3</v>
      </c>
      <c r="K1812" t="str">
        <f t="shared" si="28"/>
        <v>Mar 2022</v>
      </c>
    </row>
    <row r="1813" spans="1:11" x14ac:dyDescent="0.25">
      <c r="A1813" s="6">
        <v>44963</v>
      </c>
      <c r="B1813" t="s">
        <v>19</v>
      </c>
      <c r="C1813" t="s">
        <v>21</v>
      </c>
      <c r="D1813" t="s">
        <v>17</v>
      </c>
      <c r="E1813">
        <v>254</v>
      </c>
      <c r="F1813" s="3">
        <v>18621882.98</v>
      </c>
      <c r="G1813">
        <v>5602565.75</v>
      </c>
      <c r="H1813">
        <v>13019317.23</v>
      </c>
      <c r="I1813">
        <v>4.7</v>
      </c>
      <c r="J1813">
        <v>4.16</v>
      </c>
      <c r="K1813" t="str">
        <f t="shared" si="28"/>
        <v>Feb 2023</v>
      </c>
    </row>
    <row r="1814" spans="1:11" x14ac:dyDescent="0.25">
      <c r="A1814" s="6">
        <v>43951</v>
      </c>
      <c r="B1814" t="s">
        <v>19</v>
      </c>
      <c r="C1814" t="s">
        <v>24</v>
      </c>
      <c r="D1814" t="s">
        <v>17</v>
      </c>
      <c r="E1814">
        <v>393</v>
      </c>
      <c r="F1814" s="3">
        <v>28714171.879999999</v>
      </c>
      <c r="G1814">
        <v>10301197.02</v>
      </c>
      <c r="H1814">
        <v>18412974.859999999</v>
      </c>
      <c r="I1814">
        <v>2.2599999999999998</v>
      </c>
      <c r="J1814">
        <v>4.84</v>
      </c>
      <c r="K1814" t="str">
        <f t="shared" si="28"/>
        <v>Apr 2020</v>
      </c>
    </row>
    <row r="1815" spans="1:11" x14ac:dyDescent="0.25">
      <c r="A1815" s="6">
        <v>45586</v>
      </c>
      <c r="B1815" t="s">
        <v>19</v>
      </c>
      <c r="C1815" t="s">
        <v>24</v>
      </c>
      <c r="D1815" t="s">
        <v>14</v>
      </c>
      <c r="E1815">
        <v>56</v>
      </c>
      <c r="F1815" s="3">
        <v>4340799.0999999996</v>
      </c>
      <c r="G1815">
        <v>910315.9</v>
      </c>
      <c r="H1815">
        <v>3430483.2</v>
      </c>
      <c r="I1815">
        <v>3.99</v>
      </c>
      <c r="J1815">
        <v>4.42</v>
      </c>
      <c r="K1815" t="str">
        <f t="shared" si="28"/>
        <v>Oct 2024</v>
      </c>
    </row>
    <row r="1816" spans="1:11" x14ac:dyDescent="0.25">
      <c r="A1816" s="6">
        <v>44453</v>
      </c>
      <c r="B1816" t="s">
        <v>19</v>
      </c>
      <c r="C1816" t="s">
        <v>21</v>
      </c>
      <c r="D1816" t="s">
        <v>14</v>
      </c>
      <c r="E1816">
        <v>220</v>
      </c>
      <c r="F1816" s="3">
        <v>8535455.4700000007</v>
      </c>
      <c r="G1816">
        <v>2604585.66</v>
      </c>
      <c r="H1816">
        <v>5930869.7999999998</v>
      </c>
      <c r="I1816">
        <v>3.02</v>
      </c>
      <c r="J1816">
        <v>4.4400000000000004</v>
      </c>
      <c r="K1816" t="str">
        <f t="shared" si="28"/>
        <v>Sep 2021</v>
      </c>
    </row>
    <row r="1817" spans="1:11" x14ac:dyDescent="0.25">
      <c r="A1817" s="6">
        <v>44744</v>
      </c>
      <c r="B1817" t="s">
        <v>19</v>
      </c>
      <c r="C1817" t="s">
        <v>24</v>
      </c>
      <c r="D1817" t="s">
        <v>17</v>
      </c>
      <c r="E1817">
        <v>465</v>
      </c>
      <c r="F1817" s="3">
        <v>34551950.609999999</v>
      </c>
      <c r="G1817">
        <v>7728832.8499999996</v>
      </c>
      <c r="H1817">
        <v>26823117.75</v>
      </c>
      <c r="I1817">
        <v>3.79</v>
      </c>
      <c r="J1817">
        <v>4.55</v>
      </c>
      <c r="K1817" t="str">
        <f t="shared" si="28"/>
        <v>Jul 2022</v>
      </c>
    </row>
    <row r="1818" spans="1:11" x14ac:dyDescent="0.25">
      <c r="A1818" s="6">
        <v>44868</v>
      </c>
      <c r="B1818" t="s">
        <v>19</v>
      </c>
      <c r="C1818" t="s">
        <v>20</v>
      </c>
      <c r="D1818" t="s">
        <v>12</v>
      </c>
      <c r="E1818">
        <v>361</v>
      </c>
      <c r="F1818" s="3">
        <v>29236117</v>
      </c>
      <c r="G1818">
        <v>6891605.54</v>
      </c>
      <c r="H1818">
        <v>22344511.449999999</v>
      </c>
      <c r="I1818">
        <v>4.29</v>
      </c>
      <c r="J1818">
        <v>4.2300000000000004</v>
      </c>
      <c r="K1818" t="str">
        <f t="shared" si="28"/>
        <v>Nov 2022</v>
      </c>
    </row>
    <row r="1819" spans="1:11" x14ac:dyDescent="0.25">
      <c r="A1819" s="6">
        <v>43844</v>
      </c>
      <c r="B1819" t="s">
        <v>19</v>
      </c>
      <c r="C1819" t="s">
        <v>20</v>
      </c>
      <c r="D1819" t="s">
        <v>14</v>
      </c>
      <c r="E1819">
        <v>484</v>
      </c>
      <c r="F1819" s="3">
        <v>24540243.73</v>
      </c>
      <c r="G1819">
        <v>7207089.7199999997</v>
      </c>
      <c r="H1819">
        <v>17333154.010000002</v>
      </c>
      <c r="I1819">
        <v>2.8</v>
      </c>
      <c r="J1819">
        <v>4.7300000000000004</v>
      </c>
      <c r="K1819" t="str">
        <f t="shared" si="28"/>
        <v>Jan 2020</v>
      </c>
    </row>
    <row r="1820" spans="1:11" x14ac:dyDescent="0.25">
      <c r="A1820" s="6">
        <v>45426</v>
      </c>
      <c r="B1820" t="s">
        <v>19</v>
      </c>
      <c r="C1820" t="s">
        <v>22</v>
      </c>
      <c r="D1820" t="s">
        <v>14</v>
      </c>
      <c r="E1820">
        <v>474</v>
      </c>
      <c r="F1820" s="3">
        <v>39598335.990000002</v>
      </c>
      <c r="G1820">
        <v>12146316.32</v>
      </c>
      <c r="H1820">
        <v>27452019.670000002</v>
      </c>
      <c r="I1820">
        <v>0.84</v>
      </c>
      <c r="J1820">
        <v>4.08</v>
      </c>
      <c r="K1820" t="str">
        <f t="shared" si="28"/>
        <v>May 2024</v>
      </c>
    </row>
    <row r="1821" spans="1:11" x14ac:dyDescent="0.25">
      <c r="A1821" s="6">
        <v>45479</v>
      </c>
      <c r="B1821" t="s">
        <v>19</v>
      </c>
      <c r="C1821" t="s">
        <v>21</v>
      </c>
      <c r="D1821" t="s">
        <v>12</v>
      </c>
      <c r="E1821">
        <v>281</v>
      </c>
      <c r="F1821" s="3">
        <v>10074681.25</v>
      </c>
      <c r="G1821">
        <v>3463913.25</v>
      </c>
      <c r="H1821">
        <v>6610768</v>
      </c>
      <c r="I1821">
        <v>1.44</v>
      </c>
      <c r="J1821">
        <v>3.56</v>
      </c>
      <c r="K1821" t="str">
        <f t="shared" si="28"/>
        <v>Jul 2024</v>
      </c>
    </row>
    <row r="1822" spans="1:11" x14ac:dyDescent="0.25">
      <c r="A1822" s="6">
        <v>45651</v>
      </c>
      <c r="B1822" t="s">
        <v>19</v>
      </c>
      <c r="C1822" t="s">
        <v>24</v>
      </c>
      <c r="D1822" t="s">
        <v>17</v>
      </c>
      <c r="E1822">
        <v>55</v>
      </c>
      <c r="F1822" s="3">
        <v>3102949.94</v>
      </c>
      <c r="G1822">
        <v>904968.55</v>
      </c>
      <c r="H1822">
        <v>2197981.39</v>
      </c>
      <c r="I1822">
        <v>4.8600000000000003</v>
      </c>
      <c r="J1822">
        <v>3.6</v>
      </c>
      <c r="K1822" t="str">
        <f t="shared" si="28"/>
        <v>Dec 2024</v>
      </c>
    </row>
    <row r="1823" spans="1:11" x14ac:dyDescent="0.25">
      <c r="A1823" s="6">
        <v>43967</v>
      </c>
      <c r="B1823" t="s">
        <v>19</v>
      </c>
      <c r="C1823" t="s">
        <v>20</v>
      </c>
      <c r="D1823" t="s">
        <v>17</v>
      </c>
      <c r="E1823">
        <v>362</v>
      </c>
      <c r="F1823" s="3">
        <v>32215793.190000001</v>
      </c>
      <c r="G1823">
        <v>9983812.3800000008</v>
      </c>
      <c r="H1823">
        <v>22231980.809999999</v>
      </c>
      <c r="I1823">
        <v>2.81</v>
      </c>
      <c r="J1823">
        <v>4.9800000000000004</v>
      </c>
      <c r="K1823" t="str">
        <f t="shared" si="28"/>
        <v>May 2020</v>
      </c>
    </row>
    <row r="1824" spans="1:11" x14ac:dyDescent="0.25">
      <c r="A1824" s="6">
        <v>44661</v>
      </c>
      <c r="B1824" t="s">
        <v>19</v>
      </c>
      <c r="C1824" t="s">
        <v>24</v>
      </c>
      <c r="D1824" t="s">
        <v>14</v>
      </c>
      <c r="E1824">
        <v>69</v>
      </c>
      <c r="F1824" s="3">
        <v>6199307.0300000003</v>
      </c>
      <c r="G1824">
        <v>1786566.78</v>
      </c>
      <c r="H1824">
        <v>4412740.25</v>
      </c>
      <c r="I1824">
        <v>1.95</v>
      </c>
      <c r="J1824">
        <v>3.83</v>
      </c>
      <c r="K1824" t="str">
        <f t="shared" si="28"/>
        <v>Apr 2022</v>
      </c>
    </row>
    <row r="1825" spans="1:11" x14ac:dyDescent="0.25">
      <c r="A1825" s="6">
        <v>44452</v>
      </c>
      <c r="B1825" t="s">
        <v>19</v>
      </c>
      <c r="C1825" t="s">
        <v>21</v>
      </c>
      <c r="D1825" t="s">
        <v>12</v>
      </c>
      <c r="E1825">
        <v>231</v>
      </c>
      <c r="F1825" s="3">
        <v>17349927.41</v>
      </c>
      <c r="G1825">
        <v>4828800.79</v>
      </c>
      <c r="H1825">
        <v>12521126.619999999</v>
      </c>
      <c r="I1825">
        <v>3.68</v>
      </c>
      <c r="J1825">
        <v>4.0599999999999996</v>
      </c>
      <c r="K1825" t="str">
        <f t="shared" si="28"/>
        <v>Sep 2021</v>
      </c>
    </row>
    <row r="1826" spans="1:11" x14ac:dyDescent="0.25">
      <c r="A1826" s="6">
        <v>43985</v>
      </c>
      <c r="B1826" t="s">
        <v>19</v>
      </c>
      <c r="C1826" t="s">
        <v>24</v>
      </c>
      <c r="D1826" t="s">
        <v>12</v>
      </c>
      <c r="E1826">
        <v>109</v>
      </c>
      <c r="F1826" s="3">
        <v>8147812.8200000003</v>
      </c>
      <c r="G1826">
        <v>2188943.35</v>
      </c>
      <c r="H1826">
        <v>5958869.4800000004</v>
      </c>
      <c r="I1826">
        <v>3.69</v>
      </c>
      <c r="J1826">
        <v>3.51</v>
      </c>
      <c r="K1826" t="str">
        <f t="shared" si="28"/>
        <v>Jun 2020</v>
      </c>
    </row>
    <row r="1827" spans="1:11" x14ac:dyDescent="0.25">
      <c r="A1827" s="6">
        <v>45323</v>
      </c>
      <c r="B1827" t="s">
        <v>19</v>
      </c>
      <c r="C1827" t="s">
        <v>22</v>
      </c>
      <c r="D1827" t="s">
        <v>17</v>
      </c>
      <c r="E1827">
        <v>284</v>
      </c>
      <c r="F1827" s="3">
        <v>22925963.57</v>
      </c>
      <c r="G1827">
        <v>5308160.66</v>
      </c>
      <c r="H1827">
        <v>17617802.91</v>
      </c>
      <c r="I1827">
        <v>2.1800000000000002</v>
      </c>
      <c r="J1827">
        <v>4.45</v>
      </c>
      <c r="K1827" t="str">
        <f t="shared" si="28"/>
        <v>Feb 2024</v>
      </c>
    </row>
    <row r="1828" spans="1:11" x14ac:dyDescent="0.25">
      <c r="A1828" s="6">
        <v>44528</v>
      </c>
      <c r="B1828" t="s">
        <v>19</v>
      </c>
      <c r="C1828" t="s">
        <v>24</v>
      </c>
      <c r="D1828" t="s">
        <v>14</v>
      </c>
      <c r="E1828">
        <v>366</v>
      </c>
      <c r="F1828" s="3">
        <v>14897049.83</v>
      </c>
      <c r="G1828">
        <v>5813848.7999999998</v>
      </c>
      <c r="H1828">
        <v>9083201.0299999993</v>
      </c>
      <c r="I1828">
        <v>3.11</v>
      </c>
      <c r="J1828">
        <v>4.1399999999999997</v>
      </c>
      <c r="K1828" t="str">
        <f t="shared" si="28"/>
        <v>Nov 2021</v>
      </c>
    </row>
    <row r="1829" spans="1:11" x14ac:dyDescent="0.25">
      <c r="A1829" s="6">
        <v>45638</v>
      </c>
      <c r="B1829" t="s">
        <v>19</v>
      </c>
      <c r="C1829" t="s">
        <v>20</v>
      </c>
      <c r="D1829" t="s">
        <v>12</v>
      </c>
      <c r="E1829">
        <v>363</v>
      </c>
      <c r="F1829" s="3">
        <v>28316830.940000001</v>
      </c>
      <c r="G1829">
        <v>7069313.8799999999</v>
      </c>
      <c r="H1829">
        <v>21247517.07</v>
      </c>
      <c r="I1829">
        <v>4.1100000000000003</v>
      </c>
      <c r="J1829">
        <v>4.28</v>
      </c>
      <c r="K1829" t="str">
        <f t="shared" si="28"/>
        <v>Dec 2024</v>
      </c>
    </row>
    <row r="1830" spans="1:11" x14ac:dyDescent="0.25">
      <c r="A1830" s="6">
        <v>44557</v>
      </c>
      <c r="B1830" t="s">
        <v>19</v>
      </c>
      <c r="C1830" t="s">
        <v>21</v>
      </c>
      <c r="D1830" t="s">
        <v>14</v>
      </c>
      <c r="E1830">
        <v>258</v>
      </c>
      <c r="F1830" s="3">
        <v>9237574.9900000002</v>
      </c>
      <c r="G1830">
        <v>3312146.74</v>
      </c>
      <c r="H1830">
        <v>5925428.25</v>
      </c>
      <c r="I1830">
        <v>3.71</v>
      </c>
      <c r="J1830">
        <v>4.08</v>
      </c>
      <c r="K1830" t="str">
        <f t="shared" si="28"/>
        <v>Dec 2021</v>
      </c>
    </row>
    <row r="1831" spans="1:11" x14ac:dyDescent="0.25">
      <c r="A1831" s="6">
        <v>44033</v>
      </c>
      <c r="B1831" t="s">
        <v>19</v>
      </c>
      <c r="C1831" t="s">
        <v>23</v>
      </c>
      <c r="D1831" t="s">
        <v>12</v>
      </c>
      <c r="E1831">
        <v>141</v>
      </c>
      <c r="F1831" s="3">
        <v>6447032.6799999997</v>
      </c>
      <c r="G1831">
        <v>1430713.22</v>
      </c>
      <c r="H1831">
        <v>5016319.46</v>
      </c>
      <c r="I1831">
        <v>3.87</v>
      </c>
      <c r="J1831">
        <v>4.8600000000000003</v>
      </c>
      <c r="K1831" t="str">
        <f t="shared" si="28"/>
        <v>Jul 2020</v>
      </c>
    </row>
    <row r="1832" spans="1:11" x14ac:dyDescent="0.25">
      <c r="A1832" s="6">
        <v>44612</v>
      </c>
      <c r="B1832" t="s">
        <v>19</v>
      </c>
      <c r="C1832" t="s">
        <v>21</v>
      </c>
      <c r="D1832" t="s">
        <v>12</v>
      </c>
      <c r="E1832">
        <v>264</v>
      </c>
      <c r="F1832" s="3">
        <v>18030578.719999999</v>
      </c>
      <c r="G1832">
        <v>5650195.1699999999</v>
      </c>
      <c r="H1832">
        <v>12380383.550000001</v>
      </c>
      <c r="I1832">
        <v>3.98</v>
      </c>
      <c r="J1832">
        <v>4.78</v>
      </c>
      <c r="K1832" t="str">
        <f t="shared" si="28"/>
        <v>Feb 2022</v>
      </c>
    </row>
    <row r="1833" spans="1:11" x14ac:dyDescent="0.25">
      <c r="A1833" s="6">
        <v>44010</v>
      </c>
      <c r="B1833" t="s">
        <v>19</v>
      </c>
      <c r="C1833" t="s">
        <v>24</v>
      </c>
      <c r="D1833" t="s">
        <v>14</v>
      </c>
      <c r="E1833">
        <v>294</v>
      </c>
      <c r="F1833" s="3">
        <v>20515767.710000001</v>
      </c>
      <c r="G1833">
        <v>7564259.0899999999</v>
      </c>
      <c r="H1833">
        <v>12951508.619999999</v>
      </c>
      <c r="I1833">
        <v>2.63</v>
      </c>
      <c r="J1833">
        <v>4.57</v>
      </c>
      <c r="K1833" t="str">
        <f t="shared" si="28"/>
        <v>Jun 2020</v>
      </c>
    </row>
    <row r="1834" spans="1:11" x14ac:dyDescent="0.25">
      <c r="A1834" s="6">
        <v>44917</v>
      </c>
      <c r="B1834" t="s">
        <v>19</v>
      </c>
      <c r="C1834" t="s">
        <v>22</v>
      </c>
      <c r="D1834" t="s">
        <v>12</v>
      </c>
      <c r="E1834">
        <v>103</v>
      </c>
      <c r="F1834" s="3">
        <v>5792890.9400000004</v>
      </c>
      <c r="G1834">
        <v>1635327.39</v>
      </c>
      <c r="H1834">
        <v>4157563.54</v>
      </c>
      <c r="I1834">
        <v>1.33</v>
      </c>
      <c r="J1834">
        <v>4.4000000000000004</v>
      </c>
      <c r="K1834" t="str">
        <f t="shared" si="28"/>
        <v>Dec 2022</v>
      </c>
    </row>
    <row r="1835" spans="1:11" x14ac:dyDescent="0.25">
      <c r="A1835" s="6">
        <v>45004</v>
      </c>
      <c r="B1835" t="s">
        <v>19</v>
      </c>
      <c r="C1835" t="s">
        <v>24</v>
      </c>
      <c r="D1835" t="s">
        <v>12</v>
      </c>
      <c r="E1835">
        <v>435</v>
      </c>
      <c r="F1835" s="3">
        <v>25389556.420000002</v>
      </c>
      <c r="G1835">
        <v>5545899.1299999999</v>
      </c>
      <c r="H1835">
        <v>19843657.280000001</v>
      </c>
      <c r="I1835">
        <v>2.78</v>
      </c>
      <c r="J1835">
        <v>3.78</v>
      </c>
      <c r="K1835" t="str">
        <f t="shared" si="28"/>
        <v>Mar 2023</v>
      </c>
    </row>
    <row r="1836" spans="1:11" x14ac:dyDescent="0.25">
      <c r="A1836" s="6">
        <v>44171</v>
      </c>
      <c r="B1836" t="s">
        <v>19</v>
      </c>
      <c r="C1836" t="s">
        <v>23</v>
      </c>
      <c r="D1836" t="s">
        <v>17</v>
      </c>
      <c r="E1836">
        <v>130</v>
      </c>
      <c r="F1836" s="3">
        <v>8730376.8399999999</v>
      </c>
      <c r="G1836">
        <v>3258786.75</v>
      </c>
      <c r="H1836">
        <v>5471590.0999999996</v>
      </c>
      <c r="I1836">
        <v>2.5</v>
      </c>
      <c r="J1836">
        <v>4.18</v>
      </c>
      <c r="K1836" t="str">
        <f t="shared" si="28"/>
        <v>Dec 2020</v>
      </c>
    </row>
    <row r="1837" spans="1:11" x14ac:dyDescent="0.25">
      <c r="A1837" s="6">
        <v>44291</v>
      </c>
      <c r="B1837" t="s">
        <v>19</v>
      </c>
      <c r="C1837" t="s">
        <v>23</v>
      </c>
      <c r="D1837" t="s">
        <v>14</v>
      </c>
      <c r="E1837">
        <v>367</v>
      </c>
      <c r="F1837" s="3">
        <v>28917133.68</v>
      </c>
      <c r="G1837">
        <v>9994073.4800000004</v>
      </c>
      <c r="H1837">
        <v>18923060.199999999</v>
      </c>
      <c r="I1837">
        <v>3.62</v>
      </c>
      <c r="J1837">
        <v>3.9</v>
      </c>
      <c r="K1837" t="str">
        <f t="shared" si="28"/>
        <v>Apr 2021</v>
      </c>
    </row>
    <row r="1838" spans="1:11" x14ac:dyDescent="0.25">
      <c r="A1838" s="6">
        <v>45584</v>
      </c>
      <c r="B1838" t="s">
        <v>19</v>
      </c>
      <c r="C1838" t="s">
        <v>22</v>
      </c>
      <c r="D1838" t="s">
        <v>17</v>
      </c>
      <c r="E1838">
        <v>215</v>
      </c>
      <c r="F1838" s="3">
        <v>16372853.23</v>
      </c>
      <c r="G1838">
        <v>5812225.7699999996</v>
      </c>
      <c r="H1838">
        <v>10560627.460000001</v>
      </c>
      <c r="I1838">
        <v>2.88</v>
      </c>
      <c r="J1838">
        <v>4.74</v>
      </c>
      <c r="K1838" t="str">
        <f t="shared" si="28"/>
        <v>Oct 2024</v>
      </c>
    </row>
    <row r="1839" spans="1:11" x14ac:dyDescent="0.25">
      <c r="A1839" s="6">
        <v>44437</v>
      </c>
      <c r="B1839" t="s">
        <v>19</v>
      </c>
      <c r="C1839" t="s">
        <v>21</v>
      </c>
      <c r="D1839" t="s">
        <v>12</v>
      </c>
      <c r="E1839">
        <v>454</v>
      </c>
      <c r="F1839" s="3">
        <v>33235184.739999998</v>
      </c>
      <c r="G1839">
        <v>11840263.140000001</v>
      </c>
      <c r="H1839">
        <v>21394921.609999999</v>
      </c>
      <c r="I1839">
        <v>3.18</v>
      </c>
      <c r="J1839">
        <v>3.9</v>
      </c>
      <c r="K1839" t="str">
        <f t="shared" si="28"/>
        <v>Aug 2021</v>
      </c>
    </row>
    <row r="1840" spans="1:11" x14ac:dyDescent="0.25">
      <c r="A1840" s="6">
        <v>44371</v>
      </c>
      <c r="B1840" t="s">
        <v>19</v>
      </c>
      <c r="C1840" t="s">
        <v>23</v>
      </c>
      <c r="D1840" t="s">
        <v>14</v>
      </c>
      <c r="E1840">
        <v>486</v>
      </c>
      <c r="F1840" s="3">
        <v>38793338.939999998</v>
      </c>
      <c r="G1840">
        <v>9480896.1799999997</v>
      </c>
      <c r="H1840">
        <v>29312442.760000002</v>
      </c>
      <c r="I1840">
        <v>3.92</v>
      </c>
      <c r="J1840">
        <v>3.78</v>
      </c>
      <c r="K1840" t="str">
        <f t="shared" si="28"/>
        <v>Jun 2021</v>
      </c>
    </row>
    <row r="1841" spans="1:11" x14ac:dyDescent="0.25">
      <c r="A1841" s="6">
        <v>44813</v>
      </c>
      <c r="B1841" t="s">
        <v>19</v>
      </c>
      <c r="C1841" t="s">
        <v>21</v>
      </c>
      <c r="D1841" t="s">
        <v>17</v>
      </c>
      <c r="E1841">
        <v>389</v>
      </c>
      <c r="F1841" s="3">
        <v>30167510.579999998</v>
      </c>
      <c r="G1841">
        <v>7554918.6100000003</v>
      </c>
      <c r="H1841">
        <v>22612591.969999999</v>
      </c>
      <c r="I1841">
        <v>1.18</v>
      </c>
      <c r="J1841">
        <v>3.83</v>
      </c>
      <c r="K1841" t="str">
        <f t="shared" si="28"/>
        <v>Sep 2022</v>
      </c>
    </row>
    <row r="1842" spans="1:11" x14ac:dyDescent="0.25">
      <c r="A1842" s="6">
        <v>44939</v>
      </c>
      <c r="B1842" t="s">
        <v>19</v>
      </c>
      <c r="C1842" t="s">
        <v>21</v>
      </c>
      <c r="D1842" t="s">
        <v>12</v>
      </c>
      <c r="E1842">
        <v>214</v>
      </c>
      <c r="F1842" s="3">
        <v>10545214.810000001</v>
      </c>
      <c r="G1842">
        <v>4147060.94</v>
      </c>
      <c r="H1842">
        <v>6398153.8700000001</v>
      </c>
      <c r="I1842">
        <v>4.46</v>
      </c>
      <c r="J1842">
        <v>3.87</v>
      </c>
      <c r="K1842" t="str">
        <f t="shared" si="28"/>
        <v>Jan 2023</v>
      </c>
    </row>
    <row r="1843" spans="1:11" x14ac:dyDescent="0.25">
      <c r="A1843" s="6">
        <v>44247</v>
      </c>
      <c r="B1843" t="s">
        <v>19</v>
      </c>
      <c r="C1843" t="s">
        <v>24</v>
      </c>
      <c r="D1843" t="s">
        <v>12</v>
      </c>
      <c r="E1843">
        <v>54</v>
      </c>
      <c r="F1843" s="3">
        <v>3761218.44</v>
      </c>
      <c r="G1843">
        <v>858971.73</v>
      </c>
      <c r="H1843">
        <v>2902246.71</v>
      </c>
      <c r="I1843">
        <v>4.03</v>
      </c>
      <c r="J1843">
        <v>4.1399999999999997</v>
      </c>
      <c r="K1843" t="str">
        <f t="shared" si="28"/>
        <v>Feb 2021</v>
      </c>
    </row>
    <row r="1844" spans="1:11" x14ac:dyDescent="0.25">
      <c r="A1844" s="6">
        <v>45317</v>
      </c>
      <c r="B1844" t="s">
        <v>19</v>
      </c>
      <c r="C1844" t="s">
        <v>21</v>
      </c>
      <c r="D1844" t="s">
        <v>12</v>
      </c>
      <c r="E1844">
        <v>415</v>
      </c>
      <c r="F1844" s="3">
        <v>34796297.659999996</v>
      </c>
      <c r="G1844">
        <v>11654737.23</v>
      </c>
      <c r="H1844">
        <v>23141560.43</v>
      </c>
      <c r="I1844">
        <v>4.55</v>
      </c>
      <c r="J1844">
        <v>4.99</v>
      </c>
      <c r="K1844" t="str">
        <f t="shared" si="28"/>
        <v>Jan 2024</v>
      </c>
    </row>
    <row r="1845" spans="1:11" x14ac:dyDescent="0.25">
      <c r="A1845" s="6">
        <v>44031</v>
      </c>
      <c r="B1845" t="s">
        <v>19</v>
      </c>
      <c r="C1845" t="s">
        <v>20</v>
      </c>
      <c r="D1845" t="s">
        <v>17</v>
      </c>
      <c r="E1845">
        <v>279</v>
      </c>
      <c r="F1845" s="3">
        <v>11212454.359999999</v>
      </c>
      <c r="G1845">
        <v>2807587.95</v>
      </c>
      <c r="H1845">
        <v>8404866.4100000001</v>
      </c>
      <c r="I1845">
        <v>4.16</v>
      </c>
      <c r="J1845">
        <v>4.5599999999999996</v>
      </c>
      <c r="K1845" t="str">
        <f t="shared" si="28"/>
        <v>Jul 2020</v>
      </c>
    </row>
    <row r="1846" spans="1:11" x14ac:dyDescent="0.25">
      <c r="A1846" s="6">
        <v>45363</v>
      </c>
      <c r="B1846" t="s">
        <v>19</v>
      </c>
      <c r="C1846" t="s">
        <v>20</v>
      </c>
      <c r="D1846" t="s">
        <v>12</v>
      </c>
      <c r="E1846">
        <v>87</v>
      </c>
      <c r="F1846" s="3">
        <v>3499182.33</v>
      </c>
      <c r="G1846">
        <v>700611.46</v>
      </c>
      <c r="H1846">
        <v>2798570.87</v>
      </c>
      <c r="I1846">
        <v>1.97</v>
      </c>
      <c r="J1846">
        <v>4.62</v>
      </c>
      <c r="K1846" t="str">
        <f t="shared" si="28"/>
        <v>Mar 2024</v>
      </c>
    </row>
    <row r="1847" spans="1:11" x14ac:dyDescent="0.25">
      <c r="A1847" s="6">
        <v>44951</v>
      </c>
      <c r="B1847" t="s">
        <v>19</v>
      </c>
      <c r="C1847" t="s">
        <v>20</v>
      </c>
      <c r="D1847" t="s">
        <v>12</v>
      </c>
      <c r="E1847">
        <v>110</v>
      </c>
      <c r="F1847" s="3">
        <v>9041040.7899999991</v>
      </c>
      <c r="G1847">
        <v>1812496.69</v>
      </c>
      <c r="H1847">
        <v>7228544.0999999996</v>
      </c>
      <c r="I1847">
        <v>1.59</v>
      </c>
      <c r="J1847">
        <v>3.56</v>
      </c>
      <c r="K1847" t="str">
        <f t="shared" si="28"/>
        <v>Jan 2023</v>
      </c>
    </row>
    <row r="1848" spans="1:11" x14ac:dyDescent="0.25">
      <c r="A1848" s="6">
        <v>45652</v>
      </c>
      <c r="B1848" t="s">
        <v>19</v>
      </c>
      <c r="C1848" t="s">
        <v>21</v>
      </c>
      <c r="D1848" t="s">
        <v>12</v>
      </c>
      <c r="E1848">
        <v>302</v>
      </c>
      <c r="F1848" s="3">
        <v>15853714.859999999</v>
      </c>
      <c r="G1848">
        <v>3293896.48</v>
      </c>
      <c r="H1848">
        <v>12559818.380000001</v>
      </c>
      <c r="I1848">
        <v>4.51</v>
      </c>
      <c r="J1848">
        <v>4.7699999999999996</v>
      </c>
      <c r="K1848" t="str">
        <f t="shared" si="28"/>
        <v>Dec 2024</v>
      </c>
    </row>
    <row r="1849" spans="1:11" x14ac:dyDescent="0.25">
      <c r="A1849" s="6">
        <v>44033</v>
      </c>
      <c r="B1849" t="s">
        <v>19</v>
      </c>
      <c r="C1849" t="s">
        <v>21</v>
      </c>
      <c r="D1849" t="s">
        <v>17</v>
      </c>
      <c r="E1849">
        <v>487</v>
      </c>
      <c r="F1849" s="3">
        <v>32210149.809999999</v>
      </c>
      <c r="G1849">
        <v>10869134.75</v>
      </c>
      <c r="H1849">
        <v>21341015.07</v>
      </c>
      <c r="I1849">
        <v>3.44</v>
      </c>
      <c r="J1849">
        <v>3.85</v>
      </c>
      <c r="K1849" t="str">
        <f t="shared" si="28"/>
        <v>Jul 2020</v>
      </c>
    </row>
    <row r="1850" spans="1:11" x14ac:dyDescent="0.25">
      <c r="A1850" s="6">
        <v>45454</v>
      </c>
      <c r="B1850" t="s">
        <v>19</v>
      </c>
      <c r="C1850" t="s">
        <v>21</v>
      </c>
      <c r="D1850" t="s">
        <v>12</v>
      </c>
      <c r="E1850">
        <v>215</v>
      </c>
      <c r="F1850" s="3">
        <v>7727796.1699999999</v>
      </c>
      <c r="G1850">
        <v>1674453.77</v>
      </c>
      <c r="H1850">
        <v>6053342.4000000004</v>
      </c>
      <c r="I1850">
        <v>3.68</v>
      </c>
      <c r="J1850">
        <v>3.96</v>
      </c>
      <c r="K1850" t="str">
        <f t="shared" si="28"/>
        <v>Jun 2024</v>
      </c>
    </row>
    <row r="1851" spans="1:11" x14ac:dyDescent="0.25">
      <c r="A1851" s="6">
        <v>45532</v>
      </c>
      <c r="B1851" t="s">
        <v>19</v>
      </c>
      <c r="C1851" t="s">
        <v>22</v>
      </c>
      <c r="D1851" t="s">
        <v>14</v>
      </c>
      <c r="E1851">
        <v>232</v>
      </c>
      <c r="F1851" s="3">
        <v>18801646.449999999</v>
      </c>
      <c r="G1851">
        <v>5191036.0599999996</v>
      </c>
      <c r="H1851">
        <v>13610610.390000001</v>
      </c>
      <c r="I1851">
        <v>3.04</v>
      </c>
      <c r="J1851">
        <v>4.4400000000000004</v>
      </c>
      <c r="K1851" t="str">
        <f t="shared" si="28"/>
        <v>Aug 2024</v>
      </c>
    </row>
    <row r="1852" spans="1:11" x14ac:dyDescent="0.25">
      <c r="A1852" s="6">
        <v>45629</v>
      </c>
      <c r="B1852" t="s">
        <v>19</v>
      </c>
      <c r="C1852" t="s">
        <v>21</v>
      </c>
      <c r="D1852" t="s">
        <v>14</v>
      </c>
      <c r="E1852">
        <v>390</v>
      </c>
      <c r="F1852" s="3">
        <v>22280084.789999999</v>
      </c>
      <c r="G1852">
        <v>7171542.1799999997</v>
      </c>
      <c r="H1852">
        <v>15108542.609999999</v>
      </c>
      <c r="I1852">
        <v>0.81</v>
      </c>
      <c r="J1852">
        <v>4.46</v>
      </c>
      <c r="K1852" t="str">
        <f t="shared" si="28"/>
        <v>Dec 2024</v>
      </c>
    </row>
    <row r="1853" spans="1:11" x14ac:dyDescent="0.25">
      <c r="A1853" s="6">
        <v>44772</v>
      </c>
      <c r="B1853" t="s">
        <v>19</v>
      </c>
      <c r="C1853" t="s">
        <v>21</v>
      </c>
      <c r="D1853" t="s">
        <v>17</v>
      </c>
      <c r="E1853">
        <v>68</v>
      </c>
      <c r="F1853" s="3">
        <v>4034178.83</v>
      </c>
      <c r="G1853">
        <v>1042918.33</v>
      </c>
      <c r="H1853">
        <v>2991260.5</v>
      </c>
      <c r="I1853">
        <v>2.25</v>
      </c>
      <c r="J1853">
        <v>3.84</v>
      </c>
      <c r="K1853" t="str">
        <f t="shared" si="28"/>
        <v>Jul 2022</v>
      </c>
    </row>
    <row r="1854" spans="1:11" x14ac:dyDescent="0.25">
      <c r="A1854" s="6">
        <v>45553</v>
      </c>
      <c r="B1854" t="s">
        <v>19</v>
      </c>
      <c r="C1854" t="s">
        <v>21</v>
      </c>
      <c r="D1854" t="s">
        <v>17</v>
      </c>
      <c r="E1854">
        <v>260</v>
      </c>
      <c r="F1854" s="3">
        <v>21518274.27</v>
      </c>
      <c r="G1854">
        <v>6975675.1200000001</v>
      </c>
      <c r="H1854">
        <v>14542599.15</v>
      </c>
      <c r="I1854">
        <v>2.17</v>
      </c>
      <c r="J1854">
        <v>4.43</v>
      </c>
      <c r="K1854" t="str">
        <f t="shared" si="28"/>
        <v>Sep 2024</v>
      </c>
    </row>
    <row r="1855" spans="1:11" x14ac:dyDescent="0.25">
      <c r="A1855" s="6">
        <v>45169</v>
      </c>
      <c r="B1855" t="s">
        <v>19</v>
      </c>
      <c r="C1855" t="s">
        <v>24</v>
      </c>
      <c r="D1855" t="s">
        <v>17</v>
      </c>
      <c r="E1855">
        <v>240</v>
      </c>
      <c r="F1855" s="3">
        <v>11193593.859999999</v>
      </c>
      <c r="G1855">
        <v>2248499.4900000002</v>
      </c>
      <c r="H1855">
        <v>8945094.3699999992</v>
      </c>
      <c r="I1855">
        <v>4.92</v>
      </c>
      <c r="J1855">
        <v>4.47</v>
      </c>
      <c r="K1855" t="str">
        <f t="shared" si="28"/>
        <v>Aug 2023</v>
      </c>
    </row>
    <row r="1856" spans="1:11" x14ac:dyDescent="0.25">
      <c r="A1856" s="6">
        <v>44646</v>
      </c>
      <c r="B1856" t="s">
        <v>19</v>
      </c>
      <c r="C1856" t="s">
        <v>23</v>
      </c>
      <c r="D1856" t="s">
        <v>14</v>
      </c>
      <c r="E1856">
        <v>162</v>
      </c>
      <c r="F1856" s="3">
        <v>9778997.0899999999</v>
      </c>
      <c r="G1856">
        <v>2073280.78</v>
      </c>
      <c r="H1856">
        <v>7705716.3099999996</v>
      </c>
      <c r="I1856">
        <v>2.77</v>
      </c>
      <c r="J1856">
        <v>4.92</v>
      </c>
      <c r="K1856" t="str">
        <f t="shared" si="28"/>
        <v>Mar 2022</v>
      </c>
    </row>
    <row r="1857" spans="1:11" x14ac:dyDescent="0.25">
      <c r="A1857" s="6">
        <v>44286</v>
      </c>
      <c r="B1857" t="s">
        <v>19</v>
      </c>
      <c r="C1857" t="s">
        <v>22</v>
      </c>
      <c r="D1857" t="s">
        <v>14</v>
      </c>
      <c r="E1857">
        <v>238</v>
      </c>
      <c r="F1857" s="3">
        <v>17162952.699999999</v>
      </c>
      <c r="G1857">
        <v>4539492.47</v>
      </c>
      <c r="H1857">
        <v>12623460.220000001</v>
      </c>
      <c r="I1857">
        <v>2.1800000000000002</v>
      </c>
      <c r="J1857">
        <v>4.91</v>
      </c>
      <c r="K1857" t="str">
        <f t="shared" si="28"/>
        <v>Mar 2021</v>
      </c>
    </row>
    <row r="1858" spans="1:11" x14ac:dyDescent="0.25">
      <c r="A1858" s="6">
        <v>44233</v>
      </c>
      <c r="B1858" t="s">
        <v>19</v>
      </c>
      <c r="C1858" t="s">
        <v>22</v>
      </c>
      <c r="D1858" t="s">
        <v>14</v>
      </c>
      <c r="E1858">
        <v>326</v>
      </c>
      <c r="F1858" s="3">
        <v>22735368.23</v>
      </c>
      <c r="G1858">
        <v>8846828.5500000007</v>
      </c>
      <c r="H1858">
        <v>13888539.67</v>
      </c>
      <c r="I1858">
        <v>3.4</v>
      </c>
      <c r="J1858">
        <v>4.96</v>
      </c>
      <c r="K1858" t="str">
        <f t="shared" ref="K1858:K1921" si="29">TEXT(A1858,"mmm yyyy")</f>
        <v>Feb 2021</v>
      </c>
    </row>
    <row r="1859" spans="1:11" x14ac:dyDescent="0.25">
      <c r="A1859" s="6">
        <v>45293</v>
      </c>
      <c r="B1859" t="s">
        <v>19</v>
      </c>
      <c r="C1859" t="s">
        <v>20</v>
      </c>
      <c r="D1859" t="s">
        <v>12</v>
      </c>
      <c r="E1859">
        <v>231</v>
      </c>
      <c r="F1859" s="3">
        <v>11582536.75</v>
      </c>
      <c r="G1859">
        <v>4271161.04</v>
      </c>
      <c r="H1859">
        <v>7311375.7199999997</v>
      </c>
      <c r="I1859">
        <v>3.36</v>
      </c>
      <c r="J1859">
        <v>4.4000000000000004</v>
      </c>
      <c r="K1859" t="str">
        <f t="shared" si="29"/>
        <v>Jan 2024</v>
      </c>
    </row>
    <row r="1860" spans="1:11" x14ac:dyDescent="0.25">
      <c r="A1860" s="6">
        <v>44041</v>
      </c>
      <c r="B1860" t="s">
        <v>19</v>
      </c>
      <c r="C1860" t="s">
        <v>20</v>
      </c>
      <c r="D1860" t="s">
        <v>17</v>
      </c>
      <c r="E1860">
        <v>192</v>
      </c>
      <c r="F1860" s="3">
        <v>8875998.8599999994</v>
      </c>
      <c r="G1860">
        <v>3475233.54</v>
      </c>
      <c r="H1860">
        <v>5400765.3200000003</v>
      </c>
      <c r="I1860">
        <v>3.11</v>
      </c>
      <c r="J1860">
        <v>4.18</v>
      </c>
      <c r="K1860" t="str">
        <f t="shared" si="29"/>
        <v>Jul 2020</v>
      </c>
    </row>
    <row r="1861" spans="1:11" x14ac:dyDescent="0.25">
      <c r="A1861" s="6">
        <v>45515</v>
      </c>
      <c r="B1861" t="s">
        <v>19</v>
      </c>
      <c r="C1861" t="s">
        <v>24</v>
      </c>
      <c r="D1861" t="s">
        <v>12</v>
      </c>
      <c r="E1861">
        <v>479</v>
      </c>
      <c r="F1861" s="3">
        <v>21236495.449999999</v>
      </c>
      <c r="G1861">
        <v>8413284.1999999993</v>
      </c>
      <c r="H1861">
        <v>12823211.25</v>
      </c>
      <c r="I1861">
        <v>4.01</v>
      </c>
      <c r="J1861">
        <v>4.41</v>
      </c>
      <c r="K1861" t="str">
        <f t="shared" si="29"/>
        <v>Aug 2024</v>
      </c>
    </row>
    <row r="1862" spans="1:11" x14ac:dyDescent="0.25">
      <c r="A1862" s="6">
        <v>44841</v>
      </c>
      <c r="B1862" t="s">
        <v>19</v>
      </c>
      <c r="C1862" t="s">
        <v>23</v>
      </c>
      <c r="D1862" t="s">
        <v>12</v>
      </c>
      <c r="E1862">
        <v>92</v>
      </c>
      <c r="F1862" s="3">
        <v>5515109.7400000002</v>
      </c>
      <c r="G1862">
        <v>1704309.61</v>
      </c>
      <c r="H1862">
        <v>3810800.13</v>
      </c>
      <c r="I1862">
        <v>3.59</v>
      </c>
      <c r="J1862">
        <v>4.87</v>
      </c>
      <c r="K1862" t="str">
        <f t="shared" si="29"/>
        <v>Oct 2022</v>
      </c>
    </row>
    <row r="1863" spans="1:11" x14ac:dyDescent="0.25">
      <c r="A1863" s="6">
        <v>44329</v>
      </c>
      <c r="B1863" t="s">
        <v>19</v>
      </c>
      <c r="C1863" t="s">
        <v>23</v>
      </c>
      <c r="D1863" t="s">
        <v>17</v>
      </c>
      <c r="E1863">
        <v>205</v>
      </c>
      <c r="F1863" s="3">
        <v>12682788.26</v>
      </c>
      <c r="G1863">
        <v>4053705.25</v>
      </c>
      <c r="H1863">
        <v>8629083.0099999998</v>
      </c>
      <c r="I1863">
        <v>1.19</v>
      </c>
      <c r="J1863">
        <v>4.3600000000000003</v>
      </c>
      <c r="K1863" t="str">
        <f t="shared" si="29"/>
        <v>May 2021</v>
      </c>
    </row>
    <row r="1864" spans="1:11" x14ac:dyDescent="0.25">
      <c r="A1864" s="6">
        <v>44454</v>
      </c>
      <c r="B1864" t="s">
        <v>19</v>
      </c>
      <c r="C1864" t="s">
        <v>20</v>
      </c>
      <c r="D1864" t="s">
        <v>12</v>
      </c>
      <c r="E1864">
        <v>279</v>
      </c>
      <c r="F1864" s="3">
        <v>19625353.43</v>
      </c>
      <c r="G1864">
        <v>7541796.3300000001</v>
      </c>
      <c r="H1864">
        <v>12083557.1</v>
      </c>
      <c r="I1864">
        <v>3.83</v>
      </c>
      <c r="J1864">
        <v>3.64</v>
      </c>
      <c r="K1864" t="str">
        <f t="shared" si="29"/>
        <v>Sep 2021</v>
      </c>
    </row>
    <row r="1865" spans="1:11" x14ac:dyDescent="0.25">
      <c r="A1865" s="6">
        <v>45103</v>
      </c>
      <c r="B1865" t="s">
        <v>19</v>
      </c>
      <c r="C1865" t="s">
        <v>24</v>
      </c>
      <c r="D1865" t="s">
        <v>14</v>
      </c>
      <c r="E1865">
        <v>348</v>
      </c>
      <c r="F1865" s="3">
        <v>13175076.199999999</v>
      </c>
      <c r="G1865">
        <v>5186385.17</v>
      </c>
      <c r="H1865">
        <v>7988691.0199999996</v>
      </c>
      <c r="I1865">
        <v>2.41</v>
      </c>
      <c r="J1865">
        <v>3.63</v>
      </c>
      <c r="K1865" t="str">
        <f t="shared" si="29"/>
        <v>Jun 2023</v>
      </c>
    </row>
    <row r="1866" spans="1:11" x14ac:dyDescent="0.25">
      <c r="A1866" s="6">
        <v>44790</v>
      </c>
      <c r="B1866" t="s">
        <v>19</v>
      </c>
      <c r="C1866" t="s">
        <v>20</v>
      </c>
      <c r="D1866" t="s">
        <v>17</v>
      </c>
      <c r="E1866">
        <v>177</v>
      </c>
      <c r="F1866" s="3">
        <v>12194821.58</v>
      </c>
      <c r="G1866">
        <v>4277245.82</v>
      </c>
      <c r="H1866">
        <v>7917575.7599999998</v>
      </c>
      <c r="I1866">
        <v>3.61</v>
      </c>
      <c r="J1866">
        <v>4.4000000000000004</v>
      </c>
      <c r="K1866" t="str">
        <f t="shared" si="29"/>
        <v>Aug 2022</v>
      </c>
    </row>
    <row r="1867" spans="1:11" x14ac:dyDescent="0.25">
      <c r="A1867" s="6">
        <v>44914</v>
      </c>
      <c r="B1867" t="s">
        <v>19</v>
      </c>
      <c r="C1867" t="s">
        <v>22</v>
      </c>
      <c r="D1867" t="s">
        <v>12</v>
      </c>
      <c r="E1867">
        <v>94</v>
      </c>
      <c r="F1867" s="3">
        <v>8336886.6600000001</v>
      </c>
      <c r="G1867">
        <v>2195179.33</v>
      </c>
      <c r="H1867">
        <v>6141707.3300000001</v>
      </c>
      <c r="I1867">
        <v>2.19</v>
      </c>
      <c r="J1867">
        <v>4.7</v>
      </c>
      <c r="K1867" t="str">
        <f t="shared" si="29"/>
        <v>Dec 2022</v>
      </c>
    </row>
    <row r="1868" spans="1:11" x14ac:dyDescent="0.25">
      <c r="A1868" s="6">
        <v>44069</v>
      </c>
      <c r="B1868" t="s">
        <v>19</v>
      </c>
      <c r="C1868" t="s">
        <v>21</v>
      </c>
      <c r="D1868" t="s">
        <v>17</v>
      </c>
      <c r="E1868">
        <v>305</v>
      </c>
      <c r="F1868" s="3">
        <v>24139291.239999998</v>
      </c>
      <c r="G1868">
        <v>4841193.28</v>
      </c>
      <c r="H1868">
        <v>19298097.960000001</v>
      </c>
      <c r="I1868">
        <v>0.64</v>
      </c>
      <c r="J1868">
        <v>4.8499999999999996</v>
      </c>
      <c r="K1868" t="str">
        <f t="shared" si="29"/>
        <v>Aug 2020</v>
      </c>
    </row>
    <row r="1869" spans="1:11" x14ac:dyDescent="0.25">
      <c r="A1869" s="6">
        <v>45011</v>
      </c>
      <c r="B1869" t="s">
        <v>19</v>
      </c>
      <c r="C1869" t="s">
        <v>24</v>
      </c>
      <c r="D1869" t="s">
        <v>12</v>
      </c>
      <c r="E1869">
        <v>288</v>
      </c>
      <c r="F1869" s="3">
        <v>19632146.550000001</v>
      </c>
      <c r="G1869">
        <v>5422432</v>
      </c>
      <c r="H1869">
        <v>14209714.550000001</v>
      </c>
      <c r="I1869">
        <v>4.7300000000000004</v>
      </c>
      <c r="J1869">
        <v>4.66</v>
      </c>
      <c r="K1869" t="str">
        <f t="shared" si="29"/>
        <v>Mar 2023</v>
      </c>
    </row>
    <row r="1870" spans="1:11" x14ac:dyDescent="0.25">
      <c r="A1870" s="6">
        <v>45394</v>
      </c>
      <c r="B1870" t="s">
        <v>19</v>
      </c>
      <c r="C1870" t="s">
        <v>23</v>
      </c>
      <c r="D1870" t="s">
        <v>14</v>
      </c>
      <c r="E1870">
        <v>415</v>
      </c>
      <c r="F1870" s="3">
        <v>22177744.32</v>
      </c>
      <c r="G1870">
        <v>8573842.5999999996</v>
      </c>
      <c r="H1870">
        <v>13603901.720000001</v>
      </c>
      <c r="I1870">
        <v>4.8899999999999997</v>
      </c>
      <c r="J1870">
        <v>4.7300000000000004</v>
      </c>
      <c r="K1870" t="str">
        <f t="shared" si="29"/>
        <v>Apr 2024</v>
      </c>
    </row>
    <row r="1871" spans="1:11" x14ac:dyDescent="0.25">
      <c r="A1871" s="6">
        <v>44742</v>
      </c>
      <c r="B1871" t="s">
        <v>19</v>
      </c>
      <c r="C1871" t="s">
        <v>24</v>
      </c>
      <c r="D1871" t="s">
        <v>14</v>
      </c>
      <c r="E1871">
        <v>113</v>
      </c>
      <c r="F1871" s="3">
        <v>9498115.6400000006</v>
      </c>
      <c r="G1871">
        <v>3217863.82</v>
      </c>
      <c r="H1871">
        <v>6280251.8200000003</v>
      </c>
      <c r="I1871">
        <v>2.98</v>
      </c>
      <c r="J1871">
        <v>4.68</v>
      </c>
      <c r="K1871" t="str">
        <f t="shared" si="29"/>
        <v>Jun 2022</v>
      </c>
    </row>
    <row r="1872" spans="1:11" x14ac:dyDescent="0.25">
      <c r="A1872" s="6">
        <v>45643</v>
      </c>
      <c r="B1872" t="s">
        <v>19</v>
      </c>
      <c r="C1872" t="s">
        <v>22</v>
      </c>
      <c r="D1872" t="s">
        <v>12</v>
      </c>
      <c r="E1872">
        <v>120</v>
      </c>
      <c r="F1872" s="3">
        <v>5591234.4699999997</v>
      </c>
      <c r="G1872">
        <v>1980006.22</v>
      </c>
      <c r="H1872">
        <v>3611228.25</v>
      </c>
      <c r="I1872">
        <v>2.61</v>
      </c>
      <c r="J1872">
        <v>3.9</v>
      </c>
      <c r="K1872" t="str">
        <f t="shared" si="29"/>
        <v>Dec 2024</v>
      </c>
    </row>
    <row r="1873" spans="1:11" x14ac:dyDescent="0.25">
      <c r="A1873" s="6">
        <v>45549</v>
      </c>
      <c r="B1873" t="s">
        <v>19</v>
      </c>
      <c r="C1873" t="s">
        <v>22</v>
      </c>
      <c r="D1873" t="s">
        <v>14</v>
      </c>
      <c r="E1873">
        <v>443</v>
      </c>
      <c r="F1873" s="3">
        <v>17328018.66</v>
      </c>
      <c r="G1873">
        <v>5411690.2400000002</v>
      </c>
      <c r="H1873">
        <v>11916328.43</v>
      </c>
      <c r="I1873">
        <v>2.88</v>
      </c>
      <c r="J1873">
        <v>4.9800000000000004</v>
      </c>
      <c r="K1873" t="str">
        <f t="shared" si="29"/>
        <v>Sep 2024</v>
      </c>
    </row>
    <row r="1874" spans="1:11" x14ac:dyDescent="0.25">
      <c r="A1874" s="6">
        <v>44283</v>
      </c>
      <c r="B1874" t="s">
        <v>19</v>
      </c>
      <c r="C1874" t="s">
        <v>23</v>
      </c>
      <c r="D1874" t="s">
        <v>14</v>
      </c>
      <c r="E1874">
        <v>345</v>
      </c>
      <c r="F1874" s="3">
        <v>14246338.07</v>
      </c>
      <c r="G1874">
        <v>5673729.0800000001</v>
      </c>
      <c r="H1874">
        <v>8572608.9800000004</v>
      </c>
      <c r="I1874">
        <v>1.2</v>
      </c>
      <c r="J1874">
        <v>3.81</v>
      </c>
      <c r="K1874" t="str">
        <f t="shared" si="29"/>
        <v>Mar 2021</v>
      </c>
    </row>
    <row r="1875" spans="1:11" x14ac:dyDescent="0.25">
      <c r="A1875" s="6">
        <v>45583</v>
      </c>
      <c r="B1875" t="s">
        <v>19</v>
      </c>
      <c r="C1875" t="s">
        <v>20</v>
      </c>
      <c r="D1875" t="s">
        <v>14</v>
      </c>
      <c r="E1875">
        <v>241</v>
      </c>
      <c r="F1875" s="3">
        <v>12403326.619999999</v>
      </c>
      <c r="G1875">
        <v>4384561.09</v>
      </c>
      <c r="H1875">
        <v>8018765.5199999996</v>
      </c>
      <c r="I1875">
        <v>1.08</v>
      </c>
      <c r="J1875">
        <v>3.88</v>
      </c>
      <c r="K1875" t="str">
        <f t="shared" si="29"/>
        <v>Oct 2024</v>
      </c>
    </row>
    <row r="1876" spans="1:11" x14ac:dyDescent="0.25">
      <c r="A1876" s="6">
        <v>44377</v>
      </c>
      <c r="B1876" t="s">
        <v>19</v>
      </c>
      <c r="C1876" t="s">
        <v>23</v>
      </c>
      <c r="D1876" t="s">
        <v>17</v>
      </c>
      <c r="E1876">
        <v>98</v>
      </c>
      <c r="F1876" s="3">
        <v>5336425.1399999997</v>
      </c>
      <c r="G1876">
        <v>1811738.72</v>
      </c>
      <c r="H1876">
        <v>3524686.42</v>
      </c>
      <c r="I1876">
        <v>4.8899999999999997</v>
      </c>
      <c r="J1876">
        <v>3.76</v>
      </c>
      <c r="K1876" t="str">
        <f t="shared" si="29"/>
        <v>Jun 2021</v>
      </c>
    </row>
    <row r="1877" spans="1:11" x14ac:dyDescent="0.25">
      <c r="A1877" s="6">
        <v>44175</v>
      </c>
      <c r="B1877" t="s">
        <v>19</v>
      </c>
      <c r="C1877" t="s">
        <v>22</v>
      </c>
      <c r="D1877" t="s">
        <v>12</v>
      </c>
      <c r="E1877">
        <v>53</v>
      </c>
      <c r="F1877" s="3">
        <v>2283277.41</v>
      </c>
      <c r="G1877">
        <v>756840.18</v>
      </c>
      <c r="H1877">
        <v>1526437.23</v>
      </c>
      <c r="I1877">
        <v>4.3899999999999997</v>
      </c>
      <c r="J1877">
        <v>3.73</v>
      </c>
      <c r="K1877" t="str">
        <f t="shared" si="29"/>
        <v>Dec 2020</v>
      </c>
    </row>
    <row r="1878" spans="1:11" x14ac:dyDescent="0.25">
      <c r="A1878" s="6">
        <v>43870</v>
      </c>
      <c r="B1878" t="s">
        <v>19</v>
      </c>
      <c r="C1878" t="s">
        <v>21</v>
      </c>
      <c r="D1878" t="s">
        <v>17</v>
      </c>
      <c r="E1878">
        <v>327</v>
      </c>
      <c r="F1878" s="3">
        <v>20159415.84</v>
      </c>
      <c r="G1878">
        <v>6844446.2000000002</v>
      </c>
      <c r="H1878">
        <v>13314969.640000001</v>
      </c>
      <c r="I1878">
        <v>3.04</v>
      </c>
      <c r="J1878">
        <v>4.71</v>
      </c>
      <c r="K1878" t="str">
        <f t="shared" si="29"/>
        <v>Feb 2020</v>
      </c>
    </row>
    <row r="1879" spans="1:11" x14ac:dyDescent="0.25">
      <c r="A1879" s="6">
        <v>44407</v>
      </c>
      <c r="B1879" t="s">
        <v>19</v>
      </c>
      <c r="C1879" t="s">
        <v>21</v>
      </c>
      <c r="D1879" t="s">
        <v>14</v>
      </c>
      <c r="E1879">
        <v>241</v>
      </c>
      <c r="F1879" s="3">
        <v>16132166.369999999</v>
      </c>
      <c r="G1879">
        <v>4821876.26</v>
      </c>
      <c r="H1879">
        <v>11310290.1</v>
      </c>
      <c r="I1879">
        <v>1.1499999999999999</v>
      </c>
      <c r="J1879">
        <v>4.4400000000000004</v>
      </c>
      <c r="K1879" t="str">
        <f t="shared" si="29"/>
        <v>Jul 2021</v>
      </c>
    </row>
    <row r="1880" spans="1:11" x14ac:dyDescent="0.25">
      <c r="A1880" s="6">
        <v>44370</v>
      </c>
      <c r="B1880" t="s">
        <v>19</v>
      </c>
      <c r="C1880" t="s">
        <v>20</v>
      </c>
      <c r="D1880" t="s">
        <v>17</v>
      </c>
      <c r="E1880">
        <v>161</v>
      </c>
      <c r="F1880" s="3">
        <v>7177925.3200000003</v>
      </c>
      <c r="G1880">
        <v>1614450.89</v>
      </c>
      <c r="H1880">
        <v>5563474.4299999997</v>
      </c>
      <c r="I1880">
        <v>2.4900000000000002</v>
      </c>
      <c r="J1880">
        <v>4.9800000000000004</v>
      </c>
      <c r="K1880" t="str">
        <f t="shared" si="29"/>
        <v>Jun 2021</v>
      </c>
    </row>
    <row r="1881" spans="1:11" x14ac:dyDescent="0.25">
      <c r="A1881" s="6">
        <v>44737</v>
      </c>
      <c r="B1881" t="s">
        <v>19</v>
      </c>
      <c r="C1881" t="s">
        <v>24</v>
      </c>
      <c r="D1881" t="s">
        <v>12</v>
      </c>
      <c r="E1881">
        <v>362</v>
      </c>
      <c r="F1881" s="3">
        <v>26909362.309999999</v>
      </c>
      <c r="G1881">
        <v>9246492.5899999999</v>
      </c>
      <c r="H1881">
        <v>17662869.719999999</v>
      </c>
      <c r="I1881">
        <v>2.14</v>
      </c>
      <c r="J1881">
        <v>3.79</v>
      </c>
      <c r="K1881" t="str">
        <f t="shared" si="29"/>
        <v>Jun 2022</v>
      </c>
    </row>
    <row r="1882" spans="1:11" x14ac:dyDescent="0.25">
      <c r="A1882" s="6">
        <v>44314</v>
      </c>
      <c r="B1882" t="s">
        <v>19</v>
      </c>
      <c r="C1882" t="s">
        <v>22</v>
      </c>
      <c r="D1882" t="s">
        <v>12</v>
      </c>
      <c r="E1882">
        <v>138</v>
      </c>
      <c r="F1882" s="3">
        <v>9188842.6899999995</v>
      </c>
      <c r="G1882">
        <v>2449355.2400000002</v>
      </c>
      <c r="H1882">
        <v>6739487.46</v>
      </c>
      <c r="I1882">
        <v>4</v>
      </c>
      <c r="J1882">
        <v>4.79</v>
      </c>
      <c r="K1882" t="str">
        <f t="shared" si="29"/>
        <v>Apr 2021</v>
      </c>
    </row>
    <row r="1883" spans="1:11" x14ac:dyDescent="0.25">
      <c r="A1883" s="6">
        <v>45273</v>
      </c>
      <c r="B1883" t="s">
        <v>19</v>
      </c>
      <c r="C1883" t="s">
        <v>22</v>
      </c>
      <c r="D1883" t="s">
        <v>12</v>
      </c>
      <c r="E1883">
        <v>320</v>
      </c>
      <c r="F1883" s="3">
        <v>11991321.369999999</v>
      </c>
      <c r="G1883">
        <v>4493492.3099999996</v>
      </c>
      <c r="H1883">
        <v>7497829.0599999996</v>
      </c>
      <c r="I1883">
        <v>3.03</v>
      </c>
      <c r="J1883">
        <v>4.6500000000000004</v>
      </c>
      <c r="K1883" t="str">
        <f t="shared" si="29"/>
        <v>Dec 2023</v>
      </c>
    </row>
    <row r="1884" spans="1:11" x14ac:dyDescent="0.25">
      <c r="A1884" s="6">
        <v>45548</v>
      </c>
      <c r="B1884" t="s">
        <v>19</v>
      </c>
      <c r="C1884" t="s">
        <v>24</v>
      </c>
      <c r="D1884" t="s">
        <v>12</v>
      </c>
      <c r="E1884">
        <v>89</v>
      </c>
      <c r="F1884" s="3">
        <v>4933332.25</v>
      </c>
      <c r="G1884">
        <v>1780768.65</v>
      </c>
      <c r="H1884">
        <v>3152563.61</v>
      </c>
      <c r="I1884">
        <v>2.7</v>
      </c>
      <c r="J1884">
        <v>4.6100000000000003</v>
      </c>
      <c r="K1884" t="str">
        <f t="shared" si="29"/>
        <v>Sep 2024</v>
      </c>
    </row>
    <row r="1885" spans="1:11" x14ac:dyDescent="0.25">
      <c r="A1885" s="6">
        <v>44194</v>
      </c>
      <c r="B1885" t="s">
        <v>19</v>
      </c>
      <c r="C1885" t="s">
        <v>23</v>
      </c>
      <c r="D1885" t="s">
        <v>12</v>
      </c>
      <c r="E1885">
        <v>496</v>
      </c>
      <c r="F1885" s="3">
        <v>32625311.149999999</v>
      </c>
      <c r="G1885">
        <v>8567151.25</v>
      </c>
      <c r="H1885">
        <v>24058159.899999999</v>
      </c>
      <c r="I1885">
        <v>3.46</v>
      </c>
      <c r="J1885">
        <v>3.68</v>
      </c>
      <c r="K1885" t="str">
        <f t="shared" si="29"/>
        <v>Dec 2020</v>
      </c>
    </row>
    <row r="1886" spans="1:11" x14ac:dyDescent="0.25">
      <c r="A1886" s="6">
        <v>44429</v>
      </c>
      <c r="B1886" t="s">
        <v>19</v>
      </c>
      <c r="C1886" t="s">
        <v>23</v>
      </c>
      <c r="D1886" t="s">
        <v>12</v>
      </c>
      <c r="E1886">
        <v>97</v>
      </c>
      <c r="F1886" s="3">
        <v>5565303.6100000003</v>
      </c>
      <c r="G1886">
        <v>1860778.07</v>
      </c>
      <c r="H1886">
        <v>3704525.55</v>
      </c>
      <c r="I1886">
        <v>2.54</v>
      </c>
      <c r="J1886">
        <v>4.6399999999999997</v>
      </c>
      <c r="K1886" t="str">
        <f t="shared" si="29"/>
        <v>Aug 2021</v>
      </c>
    </row>
    <row r="1887" spans="1:11" x14ac:dyDescent="0.25">
      <c r="A1887" s="6">
        <v>44535</v>
      </c>
      <c r="B1887" t="s">
        <v>19</v>
      </c>
      <c r="C1887" t="s">
        <v>23</v>
      </c>
      <c r="D1887" t="s">
        <v>12</v>
      </c>
      <c r="E1887">
        <v>367</v>
      </c>
      <c r="F1887" s="3">
        <v>31078070.420000002</v>
      </c>
      <c r="G1887">
        <v>6900054.3399999999</v>
      </c>
      <c r="H1887">
        <v>24178016.079999998</v>
      </c>
      <c r="I1887">
        <v>4.18</v>
      </c>
      <c r="J1887">
        <v>4.2699999999999996</v>
      </c>
      <c r="K1887" t="str">
        <f t="shared" si="29"/>
        <v>Dec 2021</v>
      </c>
    </row>
    <row r="1888" spans="1:11" x14ac:dyDescent="0.25">
      <c r="A1888" s="6">
        <v>44106</v>
      </c>
      <c r="B1888" t="s">
        <v>19</v>
      </c>
      <c r="C1888" t="s">
        <v>22</v>
      </c>
      <c r="D1888" t="s">
        <v>14</v>
      </c>
      <c r="E1888">
        <v>126</v>
      </c>
      <c r="F1888" s="3">
        <v>8424649.25</v>
      </c>
      <c r="G1888">
        <v>2544876.83</v>
      </c>
      <c r="H1888">
        <v>5879772.4199999999</v>
      </c>
      <c r="I1888">
        <v>3.4</v>
      </c>
      <c r="J1888">
        <v>3.84</v>
      </c>
      <c r="K1888" t="str">
        <f t="shared" si="29"/>
        <v>Oct 2020</v>
      </c>
    </row>
    <row r="1889" spans="1:11" x14ac:dyDescent="0.25">
      <c r="A1889" s="6">
        <v>44048</v>
      </c>
      <c r="B1889" t="s">
        <v>19</v>
      </c>
      <c r="C1889" t="s">
        <v>23</v>
      </c>
      <c r="D1889" t="s">
        <v>17</v>
      </c>
      <c r="E1889">
        <v>88</v>
      </c>
      <c r="F1889" s="3">
        <v>7592442.1500000004</v>
      </c>
      <c r="G1889">
        <v>1910861.86</v>
      </c>
      <c r="H1889">
        <v>5681580.29</v>
      </c>
      <c r="I1889">
        <v>1.76</v>
      </c>
      <c r="J1889">
        <v>3.7</v>
      </c>
      <c r="K1889" t="str">
        <f t="shared" si="29"/>
        <v>Aug 2020</v>
      </c>
    </row>
    <row r="1890" spans="1:11" x14ac:dyDescent="0.25">
      <c r="A1890" s="6">
        <v>43927</v>
      </c>
      <c r="B1890" t="s">
        <v>19</v>
      </c>
      <c r="C1890" t="s">
        <v>21</v>
      </c>
      <c r="D1890" t="s">
        <v>14</v>
      </c>
      <c r="E1890">
        <v>169</v>
      </c>
      <c r="F1890" s="3">
        <v>7637087.9500000002</v>
      </c>
      <c r="G1890">
        <v>2629230.87</v>
      </c>
      <c r="H1890">
        <v>5007857.09</v>
      </c>
      <c r="I1890">
        <v>1.48</v>
      </c>
      <c r="J1890">
        <v>3.77</v>
      </c>
      <c r="K1890" t="str">
        <f t="shared" si="29"/>
        <v>Apr 2020</v>
      </c>
    </row>
    <row r="1891" spans="1:11" x14ac:dyDescent="0.25">
      <c r="A1891" s="6">
        <v>44327</v>
      </c>
      <c r="B1891" t="s">
        <v>19</v>
      </c>
      <c r="C1891" t="s">
        <v>20</v>
      </c>
      <c r="D1891" t="s">
        <v>12</v>
      </c>
      <c r="E1891">
        <v>275</v>
      </c>
      <c r="F1891" s="3">
        <v>23285760.530000001</v>
      </c>
      <c r="G1891">
        <v>6502078.3399999999</v>
      </c>
      <c r="H1891">
        <v>16783682.190000001</v>
      </c>
      <c r="I1891">
        <v>3.09</v>
      </c>
      <c r="J1891">
        <v>4.34</v>
      </c>
      <c r="K1891" t="str">
        <f t="shared" si="29"/>
        <v>May 2021</v>
      </c>
    </row>
    <row r="1892" spans="1:11" x14ac:dyDescent="0.25">
      <c r="A1892" s="6">
        <v>44169</v>
      </c>
      <c r="B1892" t="s">
        <v>19</v>
      </c>
      <c r="C1892" t="s">
        <v>22</v>
      </c>
      <c r="D1892" t="s">
        <v>17</v>
      </c>
      <c r="E1892">
        <v>367</v>
      </c>
      <c r="F1892" s="3">
        <v>15731477.66</v>
      </c>
      <c r="G1892">
        <v>5114151.5999999996</v>
      </c>
      <c r="H1892">
        <v>10617326.060000001</v>
      </c>
      <c r="I1892">
        <v>4.09</v>
      </c>
      <c r="J1892">
        <v>4.05</v>
      </c>
      <c r="K1892" t="str">
        <f t="shared" si="29"/>
        <v>Dec 2020</v>
      </c>
    </row>
    <row r="1893" spans="1:11" x14ac:dyDescent="0.25">
      <c r="A1893" s="6">
        <v>45523</v>
      </c>
      <c r="B1893" t="s">
        <v>19</v>
      </c>
      <c r="C1893" t="s">
        <v>22</v>
      </c>
      <c r="D1893" t="s">
        <v>17</v>
      </c>
      <c r="E1893">
        <v>236</v>
      </c>
      <c r="F1893" s="3">
        <v>12640494.630000001</v>
      </c>
      <c r="G1893">
        <v>3212041.28</v>
      </c>
      <c r="H1893">
        <v>9428453.3499999996</v>
      </c>
      <c r="I1893">
        <v>3.08</v>
      </c>
      <c r="J1893">
        <v>4.01</v>
      </c>
      <c r="K1893" t="str">
        <f t="shared" si="29"/>
        <v>Aug 2024</v>
      </c>
    </row>
    <row r="1894" spans="1:11" x14ac:dyDescent="0.25">
      <c r="A1894" s="6">
        <v>44019</v>
      </c>
      <c r="B1894" t="s">
        <v>19</v>
      </c>
      <c r="C1894" t="s">
        <v>20</v>
      </c>
      <c r="D1894" t="s">
        <v>14</v>
      </c>
      <c r="E1894">
        <v>357</v>
      </c>
      <c r="F1894" s="3">
        <v>25704733.199999999</v>
      </c>
      <c r="G1894">
        <v>9148292.6300000008</v>
      </c>
      <c r="H1894">
        <v>16556440.57</v>
      </c>
      <c r="I1894">
        <v>1.48</v>
      </c>
      <c r="J1894">
        <v>4.8099999999999996</v>
      </c>
      <c r="K1894" t="str">
        <f t="shared" si="29"/>
        <v>Jul 2020</v>
      </c>
    </row>
    <row r="1895" spans="1:11" x14ac:dyDescent="0.25">
      <c r="A1895" s="6">
        <v>45327</v>
      </c>
      <c r="B1895" t="s">
        <v>19</v>
      </c>
      <c r="C1895" t="s">
        <v>20</v>
      </c>
      <c r="D1895" t="s">
        <v>14</v>
      </c>
      <c r="E1895">
        <v>432</v>
      </c>
      <c r="F1895" s="3">
        <v>21374756.949999999</v>
      </c>
      <c r="G1895">
        <v>8547109.5700000003</v>
      </c>
      <c r="H1895">
        <v>12827647.390000001</v>
      </c>
      <c r="I1895">
        <v>4.42</v>
      </c>
      <c r="J1895">
        <v>4.6900000000000004</v>
      </c>
      <c r="K1895" t="str">
        <f t="shared" si="29"/>
        <v>Feb 2024</v>
      </c>
    </row>
    <row r="1896" spans="1:11" x14ac:dyDescent="0.25">
      <c r="A1896" s="6">
        <v>45168</v>
      </c>
      <c r="B1896" t="s">
        <v>19</v>
      </c>
      <c r="C1896" t="s">
        <v>20</v>
      </c>
      <c r="D1896" t="s">
        <v>12</v>
      </c>
      <c r="E1896">
        <v>325</v>
      </c>
      <c r="F1896" s="3">
        <v>18105478.890000001</v>
      </c>
      <c r="G1896">
        <v>6401895.5</v>
      </c>
      <c r="H1896">
        <v>11703583.4</v>
      </c>
      <c r="I1896">
        <v>1.69</v>
      </c>
      <c r="J1896">
        <v>4.33</v>
      </c>
      <c r="K1896" t="str">
        <f t="shared" si="29"/>
        <v>Aug 2023</v>
      </c>
    </row>
    <row r="1897" spans="1:11" x14ac:dyDescent="0.25">
      <c r="A1897" s="6">
        <v>45187</v>
      </c>
      <c r="B1897" t="s">
        <v>19</v>
      </c>
      <c r="C1897" t="s">
        <v>21</v>
      </c>
      <c r="D1897" t="s">
        <v>17</v>
      </c>
      <c r="E1897">
        <v>322</v>
      </c>
      <c r="F1897" s="3">
        <v>16475838.58</v>
      </c>
      <c r="G1897">
        <v>5809101.5499999998</v>
      </c>
      <c r="H1897">
        <v>10666737.02</v>
      </c>
      <c r="I1897">
        <v>4.7699999999999996</v>
      </c>
      <c r="J1897">
        <v>4.92</v>
      </c>
      <c r="K1897" t="str">
        <f t="shared" si="29"/>
        <v>Sep 2023</v>
      </c>
    </row>
    <row r="1898" spans="1:11" x14ac:dyDescent="0.25">
      <c r="A1898" s="6">
        <v>44688</v>
      </c>
      <c r="B1898" t="s">
        <v>19</v>
      </c>
      <c r="C1898" t="s">
        <v>22</v>
      </c>
      <c r="D1898" t="s">
        <v>12</v>
      </c>
      <c r="E1898">
        <v>377</v>
      </c>
      <c r="F1898" s="3">
        <v>17498361.309999999</v>
      </c>
      <c r="G1898">
        <v>6165909.29</v>
      </c>
      <c r="H1898">
        <v>11332452.029999999</v>
      </c>
      <c r="I1898">
        <v>4.59</v>
      </c>
      <c r="J1898">
        <v>4.2</v>
      </c>
      <c r="K1898" t="str">
        <f t="shared" si="29"/>
        <v>May 2022</v>
      </c>
    </row>
    <row r="1899" spans="1:11" x14ac:dyDescent="0.25">
      <c r="A1899" s="6">
        <v>45562</v>
      </c>
      <c r="B1899" t="s">
        <v>19</v>
      </c>
      <c r="C1899" t="s">
        <v>21</v>
      </c>
      <c r="D1899" t="s">
        <v>14</v>
      </c>
      <c r="E1899">
        <v>205</v>
      </c>
      <c r="F1899" s="3">
        <v>15750490.369999999</v>
      </c>
      <c r="G1899">
        <v>5813530.5499999998</v>
      </c>
      <c r="H1899">
        <v>9936959.8200000003</v>
      </c>
      <c r="I1899">
        <v>2.69</v>
      </c>
      <c r="J1899">
        <v>4.1399999999999997</v>
      </c>
      <c r="K1899" t="str">
        <f t="shared" si="29"/>
        <v>Sep 2024</v>
      </c>
    </row>
    <row r="1900" spans="1:11" x14ac:dyDescent="0.25">
      <c r="A1900" s="6">
        <v>44107</v>
      </c>
      <c r="B1900" t="s">
        <v>19</v>
      </c>
      <c r="C1900" t="s">
        <v>20</v>
      </c>
      <c r="D1900" t="s">
        <v>14</v>
      </c>
      <c r="E1900">
        <v>450</v>
      </c>
      <c r="F1900" s="3">
        <v>33176060.969999999</v>
      </c>
      <c r="G1900">
        <v>7065359.1500000004</v>
      </c>
      <c r="H1900">
        <v>26110701.809999999</v>
      </c>
      <c r="I1900">
        <v>2.19</v>
      </c>
      <c r="J1900">
        <v>4.5599999999999996</v>
      </c>
      <c r="K1900" t="str">
        <f t="shared" si="29"/>
        <v>Oct 2020</v>
      </c>
    </row>
    <row r="1901" spans="1:11" x14ac:dyDescent="0.25">
      <c r="A1901" s="6">
        <v>44963</v>
      </c>
      <c r="B1901" t="s">
        <v>19</v>
      </c>
      <c r="C1901" t="s">
        <v>23</v>
      </c>
      <c r="D1901" t="s">
        <v>12</v>
      </c>
      <c r="E1901">
        <v>387</v>
      </c>
      <c r="F1901" s="3">
        <v>17178527.510000002</v>
      </c>
      <c r="G1901">
        <v>6766746.75</v>
      </c>
      <c r="H1901">
        <v>10411780.76</v>
      </c>
      <c r="I1901">
        <v>1.42</v>
      </c>
      <c r="J1901">
        <v>4.01</v>
      </c>
      <c r="K1901" t="str">
        <f t="shared" si="29"/>
        <v>Feb 2023</v>
      </c>
    </row>
    <row r="1902" spans="1:11" x14ac:dyDescent="0.25">
      <c r="A1902" s="6">
        <v>44200</v>
      </c>
      <c r="B1902" t="s">
        <v>19</v>
      </c>
      <c r="C1902" t="s">
        <v>20</v>
      </c>
      <c r="D1902" t="s">
        <v>17</v>
      </c>
      <c r="E1902">
        <v>473</v>
      </c>
      <c r="F1902" s="3">
        <v>22453671.91</v>
      </c>
      <c r="G1902">
        <v>5972530.6100000003</v>
      </c>
      <c r="H1902">
        <v>16481141.300000001</v>
      </c>
      <c r="I1902">
        <v>2.61</v>
      </c>
      <c r="J1902">
        <v>4.66</v>
      </c>
      <c r="K1902" t="str">
        <f t="shared" si="29"/>
        <v>Jan 2021</v>
      </c>
    </row>
    <row r="1903" spans="1:11" x14ac:dyDescent="0.25">
      <c r="A1903" s="6">
        <v>44651</v>
      </c>
      <c r="B1903" t="s">
        <v>19</v>
      </c>
      <c r="C1903" t="s">
        <v>22</v>
      </c>
      <c r="D1903" t="s">
        <v>14</v>
      </c>
      <c r="E1903">
        <v>102</v>
      </c>
      <c r="F1903" s="3">
        <v>3851863.29</v>
      </c>
      <c r="G1903">
        <v>1513850.41</v>
      </c>
      <c r="H1903">
        <v>2338012.88</v>
      </c>
      <c r="I1903">
        <v>2.98</v>
      </c>
      <c r="J1903">
        <v>4.16</v>
      </c>
      <c r="K1903" t="str">
        <f t="shared" si="29"/>
        <v>Mar 2022</v>
      </c>
    </row>
    <row r="1904" spans="1:11" x14ac:dyDescent="0.25">
      <c r="A1904" s="6">
        <v>45302</v>
      </c>
      <c r="B1904" t="s">
        <v>19</v>
      </c>
      <c r="C1904" t="s">
        <v>20</v>
      </c>
      <c r="D1904" t="s">
        <v>14</v>
      </c>
      <c r="E1904">
        <v>231</v>
      </c>
      <c r="F1904" s="3">
        <v>20744240.32</v>
      </c>
      <c r="G1904">
        <v>4995182.3600000003</v>
      </c>
      <c r="H1904">
        <v>15749057.960000001</v>
      </c>
      <c r="I1904">
        <v>3.89</v>
      </c>
      <c r="J1904">
        <v>3.82</v>
      </c>
      <c r="K1904" t="str">
        <f t="shared" si="29"/>
        <v>Jan 2024</v>
      </c>
    </row>
    <row r="1905" spans="1:11" x14ac:dyDescent="0.25">
      <c r="A1905" s="6">
        <v>43953</v>
      </c>
      <c r="B1905" t="s">
        <v>19</v>
      </c>
      <c r="C1905" t="s">
        <v>24</v>
      </c>
      <c r="D1905" t="s">
        <v>14</v>
      </c>
      <c r="E1905">
        <v>337</v>
      </c>
      <c r="F1905" s="3">
        <v>12714602.41</v>
      </c>
      <c r="G1905">
        <v>3243245.14</v>
      </c>
      <c r="H1905">
        <v>9471357.2699999996</v>
      </c>
      <c r="I1905">
        <v>1</v>
      </c>
      <c r="J1905">
        <v>4.41</v>
      </c>
      <c r="K1905" t="str">
        <f t="shared" si="29"/>
        <v>May 2020</v>
      </c>
    </row>
    <row r="1906" spans="1:11" x14ac:dyDescent="0.25">
      <c r="A1906" s="6">
        <v>44039</v>
      </c>
      <c r="B1906" t="s">
        <v>19</v>
      </c>
      <c r="C1906" t="s">
        <v>24</v>
      </c>
      <c r="D1906" t="s">
        <v>14</v>
      </c>
      <c r="E1906">
        <v>121</v>
      </c>
      <c r="F1906" s="3">
        <v>10373355.609999999</v>
      </c>
      <c r="G1906">
        <v>2706149.87</v>
      </c>
      <c r="H1906">
        <v>7667205.7400000002</v>
      </c>
      <c r="I1906">
        <v>3.25</v>
      </c>
      <c r="J1906">
        <v>3.8</v>
      </c>
      <c r="K1906" t="str">
        <f t="shared" si="29"/>
        <v>Jul 2020</v>
      </c>
    </row>
    <row r="1907" spans="1:11" x14ac:dyDescent="0.25">
      <c r="A1907" s="6">
        <v>44103</v>
      </c>
      <c r="B1907" t="s">
        <v>19</v>
      </c>
      <c r="C1907" t="s">
        <v>21</v>
      </c>
      <c r="D1907" t="s">
        <v>17</v>
      </c>
      <c r="E1907">
        <v>420</v>
      </c>
      <c r="F1907" s="3">
        <v>32042778.899999999</v>
      </c>
      <c r="G1907">
        <v>12012925.630000001</v>
      </c>
      <c r="H1907">
        <v>20029853.27</v>
      </c>
      <c r="I1907">
        <v>3.98</v>
      </c>
      <c r="J1907">
        <v>3.86</v>
      </c>
      <c r="K1907" t="str">
        <f t="shared" si="29"/>
        <v>Sep 2020</v>
      </c>
    </row>
    <row r="1908" spans="1:11" x14ac:dyDescent="0.25">
      <c r="A1908" s="6">
        <v>44550</v>
      </c>
      <c r="B1908" t="s">
        <v>19</v>
      </c>
      <c r="C1908" t="s">
        <v>20</v>
      </c>
      <c r="D1908" t="s">
        <v>14</v>
      </c>
      <c r="E1908">
        <v>270</v>
      </c>
      <c r="F1908" s="3">
        <v>22168927.030000001</v>
      </c>
      <c r="G1908">
        <v>5165067.6100000003</v>
      </c>
      <c r="H1908">
        <v>17003859.420000002</v>
      </c>
      <c r="I1908">
        <v>4.67</v>
      </c>
      <c r="J1908">
        <v>4.05</v>
      </c>
      <c r="K1908" t="str">
        <f t="shared" si="29"/>
        <v>Dec 2021</v>
      </c>
    </row>
    <row r="1909" spans="1:11" x14ac:dyDescent="0.25">
      <c r="A1909" s="6">
        <v>44631</v>
      </c>
      <c r="B1909" t="s">
        <v>19</v>
      </c>
      <c r="C1909" t="s">
        <v>21</v>
      </c>
      <c r="D1909" t="s">
        <v>12</v>
      </c>
      <c r="E1909">
        <v>151</v>
      </c>
      <c r="F1909" s="3">
        <v>5444086.3099999996</v>
      </c>
      <c r="G1909">
        <v>1277336.6499999999</v>
      </c>
      <c r="H1909">
        <v>4166749.66</v>
      </c>
      <c r="I1909">
        <v>2.86</v>
      </c>
      <c r="J1909">
        <v>4.66</v>
      </c>
      <c r="K1909" t="str">
        <f t="shared" si="29"/>
        <v>Mar 2022</v>
      </c>
    </row>
    <row r="1910" spans="1:11" x14ac:dyDescent="0.25">
      <c r="A1910" s="6">
        <v>44538</v>
      </c>
      <c r="B1910" t="s">
        <v>19</v>
      </c>
      <c r="C1910" t="s">
        <v>20</v>
      </c>
      <c r="D1910" t="s">
        <v>17</v>
      </c>
      <c r="E1910">
        <v>276</v>
      </c>
      <c r="F1910" s="3">
        <v>16014079.09</v>
      </c>
      <c r="G1910">
        <v>5468755.4000000004</v>
      </c>
      <c r="H1910">
        <v>10545323.689999999</v>
      </c>
      <c r="I1910">
        <v>1.99</v>
      </c>
      <c r="J1910">
        <v>3.94</v>
      </c>
      <c r="K1910" t="str">
        <f t="shared" si="29"/>
        <v>Dec 2021</v>
      </c>
    </row>
    <row r="1911" spans="1:11" x14ac:dyDescent="0.25">
      <c r="A1911" s="6">
        <v>44111</v>
      </c>
      <c r="B1911" t="s">
        <v>19</v>
      </c>
      <c r="C1911" t="s">
        <v>23</v>
      </c>
      <c r="D1911" t="s">
        <v>17</v>
      </c>
      <c r="E1911">
        <v>153</v>
      </c>
      <c r="F1911" s="3">
        <v>13207920.810000001</v>
      </c>
      <c r="G1911">
        <v>4581837.22</v>
      </c>
      <c r="H1911">
        <v>8626083.5899999999</v>
      </c>
      <c r="I1911">
        <v>3.25</v>
      </c>
      <c r="J1911">
        <v>4.5199999999999996</v>
      </c>
      <c r="K1911" t="str">
        <f t="shared" si="29"/>
        <v>Oct 2020</v>
      </c>
    </row>
    <row r="1912" spans="1:11" x14ac:dyDescent="0.25">
      <c r="A1912" s="6">
        <v>44920</v>
      </c>
      <c r="B1912" t="s">
        <v>19</v>
      </c>
      <c r="C1912" t="s">
        <v>21</v>
      </c>
      <c r="D1912" t="s">
        <v>12</v>
      </c>
      <c r="E1912">
        <v>77</v>
      </c>
      <c r="F1912" s="3">
        <v>6286742.6100000003</v>
      </c>
      <c r="G1912">
        <v>1323784.98</v>
      </c>
      <c r="H1912">
        <v>4962957.63</v>
      </c>
      <c r="I1912">
        <v>4.4800000000000004</v>
      </c>
      <c r="J1912">
        <v>4.6100000000000003</v>
      </c>
      <c r="K1912" t="str">
        <f t="shared" si="29"/>
        <v>Dec 2022</v>
      </c>
    </row>
    <row r="1913" spans="1:11" x14ac:dyDescent="0.25">
      <c r="A1913" s="6">
        <v>43889</v>
      </c>
      <c r="B1913" t="s">
        <v>19</v>
      </c>
      <c r="C1913" t="s">
        <v>23</v>
      </c>
      <c r="D1913" t="s">
        <v>12</v>
      </c>
      <c r="E1913">
        <v>267</v>
      </c>
      <c r="F1913" s="3">
        <v>22751391.809999999</v>
      </c>
      <c r="G1913">
        <v>7554507.54</v>
      </c>
      <c r="H1913">
        <v>15196884.26</v>
      </c>
      <c r="I1913">
        <v>2.5499999999999998</v>
      </c>
      <c r="J1913">
        <v>4.5199999999999996</v>
      </c>
      <c r="K1913" t="str">
        <f t="shared" si="29"/>
        <v>Feb 2020</v>
      </c>
    </row>
    <row r="1914" spans="1:11" x14ac:dyDescent="0.25">
      <c r="A1914" s="6">
        <v>45530</v>
      </c>
      <c r="B1914" t="s">
        <v>19</v>
      </c>
      <c r="C1914" t="s">
        <v>22</v>
      </c>
      <c r="D1914" t="s">
        <v>12</v>
      </c>
      <c r="E1914">
        <v>154</v>
      </c>
      <c r="F1914" s="3">
        <v>8328124.2199999997</v>
      </c>
      <c r="G1914">
        <v>2605628.9</v>
      </c>
      <c r="H1914">
        <v>5722495.3200000003</v>
      </c>
      <c r="I1914">
        <v>4.08</v>
      </c>
      <c r="J1914">
        <v>3.92</v>
      </c>
      <c r="K1914" t="str">
        <f t="shared" si="29"/>
        <v>Aug 2024</v>
      </c>
    </row>
    <row r="1915" spans="1:11" x14ac:dyDescent="0.25">
      <c r="A1915" s="6">
        <v>44084</v>
      </c>
      <c r="B1915" t="s">
        <v>19</v>
      </c>
      <c r="C1915" t="s">
        <v>24</v>
      </c>
      <c r="D1915" t="s">
        <v>17</v>
      </c>
      <c r="E1915">
        <v>287</v>
      </c>
      <c r="F1915" s="3">
        <v>11291058.48</v>
      </c>
      <c r="G1915">
        <v>3516491.46</v>
      </c>
      <c r="H1915">
        <v>7774567.0199999996</v>
      </c>
      <c r="I1915">
        <v>1.67</v>
      </c>
      <c r="J1915">
        <v>4.0199999999999996</v>
      </c>
      <c r="K1915" t="str">
        <f t="shared" si="29"/>
        <v>Sep 2020</v>
      </c>
    </row>
    <row r="1916" spans="1:11" x14ac:dyDescent="0.25">
      <c r="A1916" s="6">
        <v>44989</v>
      </c>
      <c r="B1916" t="s">
        <v>19</v>
      </c>
      <c r="C1916" t="s">
        <v>21</v>
      </c>
      <c r="D1916" t="s">
        <v>12</v>
      </c>
      <c r="E1916">
        <v>345</v>
      </c>
      <c r="F1916" s="3">
        <v>22340530.010000002</v>
      </c>
      <c r="G1916">
        <v>4535816.82</v>
      </c>
      <c r="H1916">
        <v>17804713.18</v>
      </c>
      <c r="I1916">
        <v>4.7300000000000004</v>
      </c>
      <c r="J1916">
        <v>4.18</v>
      </c>
      <c r="K1916" t="str">
        <f t="shared" si="29"/>
        <v>Mar 2023</v>
      </c>
    </row>
    <row r="1917" spans="1:11" x14ac:dyDescent="0.25">
      <c r="A1917" s="6">
        <v>44094</v>
      </c>
      <c r="B1917" t="s">
        <v>19</v>
      </c>
      <c r="C1917" t="s">
        <v>20</v>
      </c>
      <c r="D1917" t="s">
        <v>17</v>
      </c>
      <c r="E1917">
        <v>471</v>
      </c>
      <c r="F1917" s="3">
        <v>18086148.170000002</v>
      </c>
      <c r="G1917">
        <v>6900370.0300000003</v>
      </c>
      <c r="H1917">
        <v>11185778.140000001</v>
      </c>
      <c r="I1917">
        <v>1.23</v>
      </c>
      <c r="J1917">
        <v>4.3899999999999997</v>
      </c>
      <c r="K1917" t="str">
        <f t="shared" si="29"/>
        <v>Sep 2020</v>
      </c>
    </row>
    <row r="1918" spans="1:11" x14ac:dyDescent="0.25">
      <c r="A1918" s="6">
        <v>44154</v>
      </c>
      <c r="B1918" t="s">
        <v>19</v>
      </c>
      <c r="C1918" t="s">
        <v>20</v>
      </c>
      <c r="D1918" t="s">
        <v>14</v>
      </c>
      <c r="E1918">
        <v>424</v>
      </c>
      <c r="F1918" s="3">
        <v>37415541.219999999</v>
      </c>
      <c r="G1918">
        <v>11623403.32</v>
      </c>
      <c r="H1918">
        <v>25792137.890000001</v>
      </c>
      <c r="I1918">
        <v>2.76</v>
      </c>
      <c r="J1918">
        <v>3.87</v>
      </c>
      <c r="K1918" t="str">
        <f t="shared" si="29"/>
        <v>Nov 2020</v>
      </c>
    </row>
    <row r="1919" spans="1:11" x14ac:dyDescent="0.25">
      <c r="A1919" s="6">
        <v>45216</v>
      </c>
      <c r="B1919" t="s">
        <v>19</v>
      </c>
      <c r="C1919" t="s">
        <v>23</v>
      </c>
      <c r="D1919" t="s">
        <v>17</v>
      </c>
      <c r="E1919">
        <v>167</v>
      </c>
      <c r="F1919" s="3">
        <v>11924676.720000001</v>
      </c>
      <c r="G1919">
        <v>2978361.78</v>
      </c>
      <c r="H1919">
        <v>8946314.9299999997</v>
      </c>
      <c r="I1919">
        <v>3.89</v>
      </c>
      <c r="J1919">
        <v>4.37</v>
      </c>
      <c r="K1919" t="str">
        <f t="shared" si="29"/>
        <v>Oct 2023</v>
      </c>
    </row>
    <row r="1920" spans="1:11" x14ac:dyDescent="0.25">
      <c r="A1920" s="6">
        <v>44528</v>
      </c>
      <c r="B1920" t="s">
        <v>19</v>
      </c>
      <c r="C1920" t="s">
        <v>21</v>
      </c>
      <c r="D1920" t="s">
        <v>17</v>
      </c>
      <c r="E1920">
        <v>372</v>
      </c>
      <c r="F1920" s="3">
        <v>19040697.43</v>
      </c>
      <c r="G1920">
        <v>7179116.2599999998</v>
      </c>
      <c r="H1920">
        <v>11861581.17</v>
      </c>
      <c r="I1920">
        <v>4.74</v>
      </c>
      <c r="J1920">
        <v>4.68</v>
      </c>
      <c r="K1920" t="str">
        <f t="shared" si="29"/>
        <v>Nov 2021</v>
      </c>
    </row>
    <row r="1921" spans="1:11" x14ac:dyDescent="0.25">
      <c r="A1921" s="6">
        <v>44394</v>
      </c>
      <c r="B1921" t="s">
        <v>19</v>
      </c>
      <c r="C1921" t="s">
        <v>24</v>
      </c>
      <c r="D1921" t="s">
        <v>17</v>
      </c>
      <c r="E1921">
        <v>212</v>
      </c>
      <c r="F1921" s="3">
        <v>9897135.25</v>
      </c>
      <c r="G1921">
        <v>2645457.5499999998</v>
      </c>
      <c r="H1921">
        <v>7251677.7000000002</v>
      </c>
      <c r="I1921">
        <v>2.35</v>
      </c>
      <c r="J1921">
        <v>4.0999999999999996</v>
      </c>
      <c r="K1921" t="str">
        <f t="shared" si="29"/>
        <v>Jul 2021</v>
      </c>
    </row>
    <row r="1922" spans="1:11" x14ac:dyDescent="0.25">
      <c r="A1922" s="6">
        <v>44326</v>
      </c>
      <c r="B1922" t="s">
        <v>19</v>
      </c>
      <c r="C1922" t="s">
        <v>22</v>
      </c>
      <c r="D1922" t="s">
        <v>14</v>
      </c>
      <c r="E1922">
        <v>400</v>
      </c>
      <c r="F1922" s="3">
        <v>21848911.66</v>
      </c>
      <c r="G1922">
        <v>5429609.9100000001</v>
      </c>
      <c r="H1922">
        <v>16419301.74</v>
      </c>
      <c r="I1922">
        <v>1.83</v>
      </c>
      <c r="J1922">
        <v>3.95</v>
      </c>
      <c r="K1922" t="str">
        <f t="shared" ref="K1922:K1985" si="30">TEXT(A1922,"mmm yyyy")</f>
        <v>May 2021</v>
      </c>
    </row>
    <row r="1923" spans="1:11" x14ac:dyDescent="0.25">
      <c r="A1923" s="6">
        <v>44409</v>
      </c>
      <c r="B1923" t="s">
        <v>19</v>
      </c>
      <c r="C1923" t="s">
        <v>23</v>
      </c>
      <c r="D1923" t="s">
        <v>17</v>
      </c>
      <c r="E1923">
        <v>417</v>
      </c>
      <c r="F1923" s="3">
        <v>20824907.010000002</v>
      </c>
      <c r="G1923">
        <v>7536076.4000000004</v>
      </c>
      <c r="H1923">
        <v>13288830.619999999</v>
      </c>
      <c r="I1923">
        <v>1.33</v>
      </c>
      <c r="J1923">
        <v>4.01</v>
      </c>
      <c r="K1923" t="str">
        <f t="shared" si="30"/>
        <v>Aug 2021</v>
      </c>
    </row>
    <row r="1924" spans="1:11" x14ac:dyDescent="0.25">
      <c r="A1924" s="6">
        <v>43964</v>
      </c>
      <c r="B1924" t="s">
        <v>19</v>
      </c>
      <c r="C1924" t="s">
        <v>21</v>
      </c>
      <c r="D1924" t="s">
        <v>17</v>
      </c>
      <c r="E1924">
        <v>389</v>
      </c>
      <c r="F1924" s="3">
        <v>31393157.510000002</v>
      </c>
      <c r="G1924">
        <v>11804511.01</v>
      </c>
      <c r="H1924">
        <v>19588646.510000002</v>
      </c>
      <c r="I1924">
        <v>3.81</v>
      </c>
      <c r="J1924">
        <v>4.3</v>
      </c>
      <c r="K1924" t="str">
        <f t="shared" si="30"/>
        <v>May 2020</v>
      </c>
    </row>
    <row r="1925" spans="1:11" x14ac:dyDescent="0.25">
      <c r="A1925" s="6">
        <v>45266</v>
      </c>
      <c r="B1925" t="s">
        <v>19</v>
      </c>
      <c r="C1925" t="s">
        <v>24</v>
      </c>
      <c r="D1925" t="s">
        <v>14</v>
      </c>
      <c r="E1925">
        <v>343</v>
      </c>
      <c r="F1925" s="3">
        <v>24873819.390000001</v>
      </c>
      <c r="G1925">
        <v>5224001.2</v>
      </c>
      <c r="H1925">
        <v>19649818.190000001</v>
      </c>
      <c r="I1925">
        <v>1.1200000000000001</v>
      </c>
      <c r="J1925">
        <v>4.5999999999999996</v>
      </c>
      <c r="K1925" t="str">
        <f t="shared" si="30"/>
        <v>Dec 2023</v>
      </c>
    </row>
    <row r="1926" spans="1:11" x14ac:dyDescent="0.25">
      <c r="A1926" s="6">
        <v>45268</v>
      </c>
      <c r="B1926" t="s">
        <v>19</v>
      </c>
      <c r="C1926" t="s">
        <v>20</v>
      </c>
      <c r="D1926" t="s">
        <v>17</v>
      </c>
      <c r="E1926">
        <v>74</v>
      </c>
      <c r="F1926" s="3">
        <v>3259130.5</v>
      </c>
      <c r="G1926">
        <v>1227660.31</v>
      </c>
      <c r="H1926">
        <v>2031470.19</v>
      </c>
      <c r="I1926">
        <v>2.96</v>
      </c>
      <c r="J1926">
        <v>4.8499999999999996</v>
      </c>
      <c r="K1926" t="str">
        <f t="shared" si="30"/>
        <v>Dec 2023</v>
      </c>
    </row>
    <row r="1927" spans="1:11" x14ac:dyDescent="0.25">
      <c r="A1927" s="6">
        <v>44599</v>
      </c>
      <c r="B1927" t="s">
        <v>19</v>
      </c>
      <c r="C1927" t="s">
        <v>24</v>
      </c>
      <c r="D1927" t="s">
        <v>17</v>
      </c>
      <c r="E1927">
        <v>161</v>
      </c>
      <c r="F1927" s="3">
        <v>7564581.6100000003</v>
      </c>
      <c r="G1927">
        <v>3002871.29</v>
      </c>
      <c r="H1927">
        <v>4561710.32</v>
      </c>
      <c r="I1927">
        <v>3.12</v>
      </c>
      <c r="J1927">
        <v>3.66</v>
      </c>
      <c r="K1927" t="str">
        <f t="shared" si="30"/>
        <v>Feb 2022</v>
      </c>
    </row>
    <row r="1928" spans="1:11" x14ac:dyDescent="0.25">
      <c r="A1928" s="6">
        <v>44791</v>
      </c>
      <c r="B1928" t="s">
        <v>19</v>
      </c>
      <c r="C1928" t="s">
        <v>20</v>
      </c>
      <c r="D1928" t="s">
        <v>17</v>
      </c>
      <c r="E1928">
        <v>276</v>
      </c>
      <c r="F1928" s="3">
        <v>18261067.829999998</v>
      </c>
      <c r="G1928">
        <v>4904811.43</v>
      </c>
      <c r="H1928">
        <v>13356256.4</v>
      </c>
      <c r="I1928">
        <v>4.54</v>
      </c>
      <c r="J1928">
        <v>4.0999999999999996</v>
      </c>
      <c r="K1928" t="str">
        <f t="shared" si="30"/>
        <v>Aug 2022</v>
      </c>
    </row>
    <row r="1929" spans="1:11" x14ac:dyDescent="0.25">
      <c r="A1929" s="6">
        <v>44709</v>
      </c>
      <c r="B1929" t="s">
        <v>19</v>
      </c>
      <c r="C1929" t="s">
        <v>22</v>
      </c>
      <c r="D1929" t="s">
        <v>12</v>
      </c>
      <c r="E1929">
        <v>394</v>
      </c>
      <c r="F1929" s="3">
        <v>34217424.359999999</v>
      </c>
      <c r="G1929">
        <v>13120780.6</v>
      </c>
      <c r="H1929">
        <v>21096643.77</v>
      </c>
      <c r="I1929">
        <v>1.64</v>
      </c>
      <c r="J1929">
        <v>4.67</v>
      </c>
      <c r="K1929" t="str">
        <f t="shared" si="30"/>
        <v>May 2022</v>
      </c>
    </row>
    <row r="1930" spans="1:11" x14ac:dyDescent="0.25">
      <c r="A1930" s="6">
        <v>44342</v>
      </c>
      <c r="B1930" t="s">
        <v>19</v>
      </c>
      <c r="C1930" t="s">
        <v>21</v>
      </c>
      <c r="D1930" t="s">
        <v>17</v>
      </c>
      <c r="E1930">
        <v>427</v>
      </c>
      <c r="F1930" s="3">
        <v>28492495.600000001</v>
      </c>
      <c r="G1930">
        <v>8752998.9399999995</v>
      </c>
      <c r="H1930">
        <v>19739496.66</v>
      </c>
      <c r="I1930">
        <v>1.03</v>
      </c>
      <c r="J1930">
        <v>4.97</v>
      </c>
      <c r="K1930" t="str">
        <f t="shared" si="30"/>
        <v>May 2021</v>
      </c>
    </row>
    <row r="1931" spans="1:11" x14ac:dyDescent="0.25">
      <c r="A1931" s="6">
        <v>45357</v>
      </c>
      <c r="B1931" t="s">
        <v>19</v>
      </c>
      <c r="C1931" t="s">
        <v>21</v>
      </c>
      <c r="D1931" t="s">
        <v>14</v>
      </c>
      <c r="E1931">
        <v>398</v>
      </c>
      <c r="F1931" s="3">
        <v>18883165.239999998</v>
      </c>
      <c r="G1931">
        <v>4170543.57</v>
      </c>
      <c r="H1931">
        <v>14712621.67</v>
      </c>
      <c r="I1931">
        <v>4.03</v>
      </c>
      <c r="J1931">
        <v>4.55</v>
      </c>
      <c r="K1931" t="str">
        <f t="shared" si="30"/>
        <v>Mar 2024</v>
      </c>
    </row>
    <row r="1932" spans="1:11" x14ac:dyDescent="0.25">
      <c r="A1932" s="6">
        <v>45354</v>
      </c>
      <c r="B1932" t="s">
        <v>19</v>
      </c>
      <c r="C1932" t="s">
        <v>22</v>
      </c>
      <c r="D1932" t="s">
        <v>17</v>
      </c>
      <c r="E1932">
        <v>356</v>
      </c>
      <c r="F1932" s="3">
        <v>25357691.370000001</v>
      </c>
      <c r="G1932">
        <v>7443537.9299999997</v>
      </c>
      <c r="H1932">
        <v>17914153.440000001</v>
      </c>
      <c r="I1932">
        <v>0.96</v>
      </c>
      <c r="J1932">
        <v>3.76</v>
      </c>
      <c r="K1932" t="str">
        <f t="shared" si="30"/>
        <v>Mar 2024</v>
      </c>
    </row>
    <row r="1933" spans="1:11" x14ac:dyDescent="0.25">
      <c r="A1933" s="6">
        <v>45119</v>
      </c>
      <c r="B1933" t="s">
        <v>19</v>
      </c>
      <c r="C1933" t="s">
        <v>22</v>
      </c>
      <c r="D1933" t="s">
        <v>12</v>
      </c>
      <c r="E1933">
        <v>428</v>
      </c>
      <c r="F1933" s="3">
        <v>32591705.850000001</v>
      </c>
      <c r="G1933">
        <v>9378226.3499999996</v>
      </c>
      <c r="H1933">
        <v>23213479.510000002</v>
      </c>
      <c r="I1933">
        <v>1.61</v>
      </c>
      <c r="J1933">
        <v>4.1399999999999997</v>
      </c>
      <c r="K1933" t="str">
        <f t="shared" si="30"/>
        <v>Jul 2023</v>
      </c>
    </row>
    <row r="1934" spans="1:11" x14ac:dyDescent="0.25">
      <c r="A1934" s="6">
        <v>44953</v>
      </c>
      <c r="B1934" t="s">
        <v>19</v>
      </c>
      <c r="C1934" t="s">
        <v>22</v>
      </c>
      <c r="D1934" t="s">
        <v>12</v>
      </c>
      <c r="E1934">
        <v>143</v>
      </c>
      <c r="F1934" s="3">
        <v>7047311.1500000004</v>
      </c>
      <c r="G1934">
        <v>1452135.63</v>
      </c>
      <c r="H1934">
        <v>5595175.5199999996</v>
      </c>
      <c r="I1934">
        <v>2.44</v>
      </c>
      <c r="J1934">
        <v>4.0199999999999996</v>
      </c>
      <c r="K1934" t="str">
        <f t="shared" si="30"/>
        <v>Jan 2023</v>
      </c>
    </row>
    <row r="1935" spans="1:11" x14ac:dyDescent="0.25">
      <c r="A1935" s="6">
        <v>45474</v>
      </c>
      <c r="B1935" t="s">
        <v>19</v>
      </c>
      <c r="C1935" t="s">
        <v>20</v>
      </c>
      <c r="D1935" t="s">
        <v>12</v>
      </c>
      <c r="E1935">
        <v>296</v>
      </c>
      <c r="F1935" s="3">
        <v>12243617.460000001</v>
      </c>
      <c r="G1935">
        <v>4830719.24</v>
      </c>
      <c r="H1935">
        <v>7412898.2199999997</v>
      </c>
      <c r="I1935">
        <v>2.86</v>
      </c>
      <c r="J1935">
        <v>3.83</v>
      </c>
      <c r="K1935" t="str">
        <f t="shared" si="30"/>
        <v>Jul 2024</v>
      </c>
    </row>
    <row r="1936" spans="1:11" x14ac:dyDescent="0.25">
      <c r="A1936" s="6">
        <v>45413</v>
      </c>
      <c r="B1936" t="s">
        <v>19</v>
      </c>
      <c r="C1936" t="s">
        <v>22</v>
      </c>
      <c r="D1936" t="s">
        <v>17</v>
      </c>
      <c r="E1936">
        <v>150</v>
      </c>
      <c r="F1936" s="3">
        <v>10315255.029999999</v>
      </c>
      <c r="G1936">
        <v>3604442.82</v>
      </c>
      <c r="H1936">
        <v>6710812.21</v>
      </c>
      <c r="I1936">
        <v>3.1</v>
      </c>
      <c r="J1936">
        <v>4.04</v>
      </c>
      <c r="K1936" t="str">
        <f t="shared" si="30"/>
        <v>May 2024</v>
      </c>
    </row>
    <row r="1937" spans="1:11" x14ac:dyDescent="0.25">
      <c r="A1937" s="6">
        <v>45428</v>
      </c>
      <c r="B1937" t="s">
        <v>19</v>
      </c>
      <c r="C1937" t="s">
        <v>20</v>
      </c>
      <c r="D1937" t="s">
        <v>12</v>
      </c>
      <c r="E1937">
        <v>454</v>
      </c>
      <c r="F1937" s="3">
        <v>34497132</v>
      </c>
      <c r="G1937">
        <v>13271461.6</v>
      </c>
      <c r="H1937">
        <v>21225670.390000001</v>
      </c>
      <c r="I1937">
        <v>4.53</v>
      </c>
      <c r="J1937">
        <v>4.6900000000000004</v>
      </c>
      <c r="K1937" t="str">
        <f t="shared" si="30"/>
        <v>May 2024</v>
      </c>
    </row>
    <row r="1938" spans="1:11" x14ac:dyDescent="0.25">
      <c r="A1938" s="6">
        <v>45329</v>
      </c>
      <c r="B1938" t="s">
        <v>19</v>
      </c>
      <c r="C1938" t="s">
        <v>21</v>
      </c>
      <c r="D1938" t="s">
        <v>17</v>
      </c>
      <c r="E1938">
        <v>239</v>
      </c>
      <c r="F1938" s="3">
        <v>18956117.440000001</v>
      </c>
      <c r="G1938">
        <v>6338245.21</v>
      </c>
      <c r="H1938">
        <v>12617872.23</v>
      </c>
      <c r="I1938">
        <v>1.44</v>
      </c>
      <c r="J1938">
        <v>3.63</v>
      </c>
      <c r="K1938" t="str">
        <f t="shared" si="30"/>
        <v>Feb 2024</v>
      </c>
    </row>
    <row r="1939" spans="1:11" x14ac:dyDescent="0.25">
      <c r="A1939" s="6">
        <v>45010</v>
      </c>
      <c r="B1939" t="s">
        <v>19</v>
      </c>
      <c r="C1939" t="s">
        <v>22</v>
      </c>
      <c r="D1939" t="s">
        <v>17</v>
      </c>
      <c r="E1939">
        <v>386</v>
      </c>
      <c r="F1939" s="3">
        <v>21117444.760000002</v>
      </c>
      <c r="G1939">
        <v>4591386.75</v>
      </c>
      <c r="H1939">
        <v>16526058.01</v>
      </c>
      <c r="I1939">
        <v>3.05</v>
      </c>
      <c r="J1939">
        <v>3.77</v>
      </c>
      <c r="K1939" t="str">
        <f t="shared" si="30"/>
        <v>Mar 2023</v>
      </c>
    </row>
    <row r="1940" spans="1:11" x14ac:dyDescent="0.25">
      <c r="A1940" s="6">
        <v>44243</v>
      </c>
      <c r="B1940" t="s">
        <v>19</v>
      </c>
      <c r="C1940" t="s">
        <v>20</v>
      </c>
      <c r="D1940" t="s">
        <v>12</v>
      </c>
      <c r="E1940">
        <v>121</v>
      </c>
      <c r="F1940" s="3">
        <v>9614940.1899999995</v>
      </c>
      <c r="G1940">
        <v>2262157.73</v>
      </c>
      <c r="H1940">
        <v>7352782.4699999997</v>
      </c>
      <c r="I1940">
        <v>2.23</v>
      </c>
      <c r="J1940">
        <v>4.1900000000000004</v>
      </c>
      <c r="K1940" t="str">
        <f t="shared" si="30"/>
        <v>Feb 2021</v>
      </c>
    </row>
    <row r="1941" spans="1:11" x14ac:dyDescent="0.25">
      <c r="A1941" s="6">
        <v>45488</v>
      </c>
      <c r="B1941" t="s">
        <v>19</v>
      </c>
      <c r="C1941" t="s">
        <v>24</v>
      </c>
      <c r="D1941" t="s">
        <v>14</v>
      </c>
      <c r="E1941">
        <v>294</v>
      </c>
      <c r="F1941" s="3">
        <v>13592670.09</v>
      </c>
      <c r="G1941">
        <v>5391515.4500000002</v>
      </c>
      <c r="H1941">
        <v>8201154.6399999997</v>
      </c>
      <c r="I1941">
        <v>3.56</v>
      </c>
      <c r="J1941">
        <v>3.61</v>
      </c>
      <c r="K1941" t="str">
        <f t="shared" si="30"/>
        <v>Jul 2024</v>
      </c>
    </row>
    <row r="1942" spans="1:11" x14ac:dyDescent="0.25">
      <c r="A1942" s="6">
        <v>44306</v>
      </c>
      <c r="B1942" t="s">
        <v>19</v>
      </c>
      <c r="C1942" t="s">
        <v>22</v>
      </c>
      <c r="D1942" t="s">
        <v>14</v>
      </c>
      <c r="E1942">
        <v>456</v>
      </c>
      <c r="F1942" s="3">
        <v>29291829.59</v>
      </c>
      <c r="G1942">
        <v>11525403.109999999</v>
      </c>
      <c r="H1942">
        <v>17766426.48</v>
      </c>
      <c r="I1942">
        <v>2.64</v>
      </c>
      <c r="J1942">
        <v>4.1100000000000003</v>
      </c>
      <c r="K1942" t="str">
        <f t="shared" si="30"/>
        <v>Apr 2021</v>
      </c>
    </row>
    <row r="1943" spans="1:11" x14ac:dyDescent="0.25">
      <c r="A1943" s="6">
        <v>45274</v>
      </c>
      <c r="B1943" t="s">
        <v>19</v>
      </c>
      <c r="C1943" t="s">
        <v>23</v>
      </c>
      <c r="D1943" t="s">
        <v>14</v>
      </c>
      <c r="E1943">
        <v>247</v>
      </c>
      <c r="F1943" s="3">
        <v>17531765.699999999</v>
      </c>
      <c r="G1943">
        <v>4841435.55</v>
      </c>
      <c r="H1943">
        <v>12690330.140000001</v>
      </c>
      <c r="I1943">
        <v>1.99</v>
      </c>
      <c r="J1943">
        <v>4.8899999999999997</v>
      </c>
      <c r="K1943" t="str">
        <f t="shared" si="30"/>
        <v>Dec 2023</v>
      </c>
    </row>
    <row r="1944" spans="1:11" x14ac:dyDescent="0.25">
      <c r="A1944" s="6">
        <v>45196</v>
      </c>
      <c r="B1944" t="s">
        <v>19</v>
      </c>
      <c r="C1944" t="s">
        <v>21</v>
      </c>
      <c r="D1944" t="s">
        <v>14</v>
      </c>
      <c r="E1944">
        <v>62</v>
      </c>
      <c r="F1944" s="3">
        <v>2933780.48</v>
      </c>
      <c r="G1944">
        <v>1033193.85</v>
      </c>
      <c r="H1944">
        <v>1900586.64</v>
      </c>
      <c r="I1944">
        <v>2.81</v>
      </c>
      <c r="J1944">
        <v>4.66</v>
      </c>
      <c r="K1944" t="str">
        <f t="shared" si="30"/>
        <v>Sep 2023</v>
      </c>
    </row>
    <row r="1945" spans="1:11" x14ac:dyDescent="0.25">
      <c r="A1945" s="6">
        <v>43954</v>
      </c>
      <c r="B1945" t="s">
        <v>19</v>
      </c>
      <c r="C1945" t="s">
        <v>24</v>
      </c>
      <c r="D1945" t="s">
        <v>12</v>
      </c>
      <c r="E1945">
        <v>288</v>
      </c>
      <c r="F1945" s="3">
        <v>20562559.280000001</v>
      </c>
      <c r="G1945">
        <v>7909170.2699999996</v>
      </c>
      <c r="H1945">
        <v>12653389.02</v>
      </c>
      <c r="I1945">
        <v>2.1</v>
      </c>
      <c r="J1945">
        <v>4.33</v>
      </c>
      <c r="K1945" t="str">
        <f t="shared" si="30"/>
        <v>May 2020</v>
      </c>
    </row>
    <row r="1946" spans="1:11" x14ac:dyDescent="0.25">
      <c r="A1946" s="6">
        <v>45329</v>
      </c>
      <c r="B1946" t="s">
        <v>19</v>
      </c>
      <c r="C1946" t="s">
        <v>24</v>
      </c>
      <c r="D1946" t="s">
        <v>17</v>
      </c>
      <c r="E1946">
        <v>465</v>
      </c>
      <c r="F1946" s="3">
        <v>40320185.119999997</v>
      </c>
      <c r="G1946">
        <v>15750791.26</v>
      </c>
      <c r="H1946">
        <v>24569393.859999999</v>
      </c>
      <c r="I1946">
        <v>1.94</v>
      </c>
      <c r="J1946">
        <v>4.16</v>
      </c>
      <c r="K1946" t="str">
        <f t="shared" si="30"/>
        <v>Feb 2024</v>
      </c>
    </row>
    <row r="1947" spans="1:11" x14ac:dyDescent="0.25">
      <c r="A1947" s="6">
        <v>45378</v>
      </c>
      <c r="B1947" t="s">
        <v>19</v>
      </c>
      <c r="C1947" t="s">
        <v>24</v>
      </c>
      <c r="D1947" t="s">
        <v>17</v>
      </c>
      <c r="E1947">
        <v>376</v>
      </c>
      <c r="F1947" s="3">
        <v>18440356.210000001</v>
      </c>
      <c r="G1947">
        <v>6985670.46</v>
      </c>
      <c r="H1947">
        <v>11454685.75</v>
      </c>
      <c r="I1947">
        <v>2.1</v>
      </c>
      <c r="J1947">
        <v>4.12</v>
      </c>
      <c r="K1947" t="str">
        <f t="shared" si="30"/>
        <v>Mar 2024</v>
      </c>
    </row>
    <row r="1948" spans="1:11" x14ac:dyDescent="0.25">
      <c r="A1948" s="6">
        <v>45528</v>
      </c>
      <c r="B1948" t="s">
        <v>19</v>
      </c>
      <c r="C1948" t="s">
        <v>24</v>
      </c>
      <c r="D1948" t="s">
        <v>12</v>
      </c>
      <c r="E1948">
        <v>363</v>
      </c>
      <c r="F1948" s="3">
        <v>23441836.289999999</v>
      </c>
      <c r="G1948">
        <v>8072901.8600000003</v>
      </c>
      <c r="H1948">
        <v>15368934.439999999</v>
      </c>
      <c r="I1948">
        <v>1.48</v>
      </c>
      <c r="J1948">
        <v>3.93</v>
      </c>
      <c r="K1948" t="str">
        <f t="shared" si="30"/>
        <v>Aug 2024</v>
      </c>
    </row>
    <row r="1949" spans="1:11" x14ac:dyDescent="0.25">
      <c r="A1949" s="6">
        <v>44221</v>
      </c>
      <c r="B1949" t="s">
        <v>19</v>
      </c>
      <c r="C1949" t="s">
        <v>24</v>
      </c>
      <c r="D1949" t="s">
        <v>12</v>
      </c>
      <c r="E1949">
        <v>345</v>
      </c>
      <c r="F1949" s="3">
        <v>15050521.08</v>
      </c>
      <c r="G1949">
        <v>3529942.74</v>
      </c>
      <c r="H1949">
        <v>11520578.34</v>
      </c>
      <c r="I1949">
        <v>0.69</v>
      </c>
      <c r="J1949">
        <v>4.13</v>
      </c>
      <c r="K1949" t="str">
        <f t="shared" si="30"/>
        <v>Jan 2021</v>
      </c>
    </row>
    <row r="1950" spans="1:11" x14ac:dyDescent="0.25">
      <c r="A1950" s="6">
        <v>44665</v>
      </c>
      <c r="B1950" t="s">
        <v>19</v>
      </c>
      <c r="C1950" t="s">
        <v>23</v>
      </c>
      <c r="D1950" t="s">
        <v>14</v>
      </c>
      <c r="E1950">
        <v>333</v>
      </c>
      <c r="F1950" s="3">
        <v>21147228.170000002</v>
      </c>
      <c r="G1950">
        <v>5455499.4699999997</v>
      </c>
      <c r="H1950">
        <v>15691728.699999999</v>
      </c>
      <c r="I1950">
        <v>0.93</v>
      </c>
      <c r="J1950">
        <v>3.98</v>
      </c>
      <c r="K1950" t="str">
        <f t="shared" si="30"/>
        <v>Apr 2022</v>
      </c>
    </row>
    <row r="1951" spans="1:11" x14ac:dyDescent="0.25">
      <c r="A1951" s="6">
        <v>44920</v>
      </c>
      <c r="B1951" t="s">
        <v>19</v>
      </c>
      <c r="C1951" t="s">
        <v>23</v>
      </c>
      <c r="D1951" t="s">
        <v>17</v>
      </c>
      <c r="E1951">
        <v>320</v>
      </c>
      <c r="F1951" s="3">
        <v>24074159.93</v>
      </c>
      <c r="G1951">
        <v>5016486.74</v>
      </c>
      <c r="H1951">
        <v>19057673.190000001</v>
      </c>
      <c r="I1951">
        <v>1.49</v>
      </c>
      <c r="J1951">
        <v>4.83</v>
      </c>
      <c r="K1951" t="str">
        <f t="shared" si="30"/>
        <v>Dec 2022</v>
      </c>
    </row>
    <row r="1952" spans="1:11" x14ac:dyDescent="0.25">
      <c r="A1952" s="6">
        <v>44570</v>
      </c>
      <c r="B1952" t="s">
        <v>19</v>
      </c>
      <c r="C1952" t="s">
        <v>22</v>
      </c>
      <c r="D1952" t="s">
        <v>12</v>
      </c>
      <c r="E1952">
        <v>413</v>
      </c>
      <c r="F1952" s="3">
        <v>35271492.670000002</v>
      </c>
      <c r="G1952">
        <v>9626194.5</v>
      </c>
      <c r="H1952">
        <v>25645298.170000002</v>
      </c>
      <c r="I1952">
        <v>3.33</v>
      </c>
      <c r="J1952">
        <v>4.0999999999999996</v>
      </c>
      <c r="K1952" t="str">
        <f t="shared" si="30"/>
        <v>Jan 2022</v>
      </c>
    </row>
    <row r="1953" spans="1:11" x14ac:dyDescent="0.25">
      <c r="A1953" s="6">
        <v>43875</v>
      </c>
      <c r="B1953" t="s">
        <v>19</v>
      </c>
      <c r="C1953" t="s">
        <v>23</v>
      </c>
      <c r="D1953" t="s">
        <v>12</v>
      </c>
      <c r="E1953">
        <v>279</v>
      </c>
      <c r="F1953" s="3">
        <v>17917706.710000001</v>
      </c>
      <c r="G1953">
        <v>4739455.3499999996</v>
      </c>
      <c r="H1953">
        <v>13178251.359999999</v>
      </c>
      <c r="I1953">
        <v>2.4300000000000002</v>
      </c>
      <c r="J1953">
        <v>4.5999999999999996</v>
      </c>
      <c r="K1953" t="str">
        <f t="shared" si="30"/>
        <v>Feb 2020</v>
      </c>
    </row>
    <row r="1954" spans="1:11" x14ac:dyDescent="0.25">
      <c r="A1954" s="6">
        <v>45088</v>
      </c>
      <c r="B1954" t="s">
        <v>19</v>
      </c>
      <c r="C1954" t="s">
        <v>21</v>
      </c>
      <c r="D1954" t="s">
        <v>17</v>
      </c>
      <c r="E1954">
        <v>220</v>
      </c>
      <c r="F1954" s="3">
        <v>18512494.5</v>
      </c>
      <c r="G1954">
        <v>4968549.95</v>
      </c>
      <c r="H1954">
        <v>13543944.550000001</v>
      </c>
      <c r="I1954">
        <v>0.54</v>
      </c>
      <c r="J1954">
        <v>4.91</v>
      </c>
      <c r="K1954" t="str">
        <f t="shared" si="30"/>
        <v>Jun 2023</v>
      </c>
    </row>
    <row r="1955" spans="1:11" x14ac:dyDescent="0.25">
      <c r="A1955" s="6">
        <v>45245</v>
      </c>
      <c r="B1955" t="s">
        <v>19</v>
      </c>
      <c r="C1955" t="s">
        <v>21</v>
      </c>
      <c r="D1955" t="s">
        <v>17</v>
      </c>
      <c r="E1955">
        <v>157</v>
      </c>
      <c r="F1955" s="3">
        <v>8768014.5899999999</v>
      </c>
      <c r="G1955">
        <v>1902552.67</v>
      </c>
      <c r="H1955">
        <v>6865461.9299999997</v>
      </c>
      <c r="I1955">
        <v>1.63</v>
      </c>
      <c r="J1955">
        <v>4.7699999999999996</v>
      </c>
      <c r="K1955" t="str">
        <f t="shared" si="30"/>
        <v>Nov 2023</v>
      </c>
    </row>
    <row r="1956" spans="1:11" x14ac:dyDescent="0.25">
      <c r="A1956" s="6">
        <v>44696</v>
      </c>
      <c r="B1956" t="s">
        <v>19</v>
      </c>
      <c r="C1956" t="s">
        <v>23</v>
      </c>
      <c r="D1956" t="s">
        <v>14</v>
      </c>
      <c r="E1956">
        <v>473</v>
      </c>
      <c r="F1956" s="3">
        <v>30797470.809999999</v>
      </c>
      <c r="G1956">
        <v>10628917.949999999</v>
      </c>
      <c r="H1956">
        <v>20168552.859999999</v>
      </c>
      <c r="I1956">
        <v>4.5599999999999996</v>
      </c>
      <c r="J1956">
        <v>3.82</v>
      </c>
      <c r="K1956" t="str">
        <f t="shared" si="30"/>
        <v>May 2022</v>
      </c>
    </row>
    <row r="1957" spans="1:11" x14ac:dyDescent="0.25">
      <c r="A1957" s="6">
        <v>44252</v>
      </c>
      <c r="B1957" t="s">
        <v>19</v>
      </c>
      <c r="C1957" t="s">
        <v>20</v>
      </c>
      <c r="D1957" t="s">
        <v>12</v>
      </c>
      <c r="E1957">
        <v>425</v>
      </c>
      <c r="F1957" s="3">
        <v>15792922.560000001</v>
      </c>
      <c r="G1957">
        <v>5458038.4400000004</v>
      </c>
      <c r="H1957">
        <v>10334884.119999999</v>
      </c>
      <c r="I1957">
        <v>0.53</v>
      </c>
      <c r="J1957">
        <v>4.97</v>
      </c>
      <c r="K1957" t="str">
        <f t="shared" si="30"/>
        <v>Feb 2021</v>
      </c>
    </row>
    <row r="1958" spans="1:11" x14ac:dyDescent="0.25">
      <c r="A1958" s="6">
        <v>45100</v>
      </c>
      <c r="B1958" t="s">
        <v>19</v>
      </c>
      <c r="C1958" t="s">
        <v>21</v>
      </c>
      <c r="D1958" t="s">
        <v>14</v>
      </c>
      <c r="E1958">
        <v>437</v>
      </c>
      <c r="F1958" s="3">
        <v>23090651.489999998</v>
      </c>
      <c r="G1958">
        <v>8156094.0899999999</v>
      </c>
      <c r="H1958">
        <v>14934557.4</v>
      </c>
      <c r="I1958">
        <v>1.45</v>
      </c>
      <c r="J1958">
        <v>4.79</v>
      </c>
      <c r="K1958" t="str">
        <f t="shared" si="30"/>
        <v>Jun 2023</v>
      </c>
    </row>
    <row r="1959" spans="1:11" x14ac:dyDescent="0.25">
      <c r="A1959" s="6">
        <v>44810</v>
      </c>
      <c r="B1959" t="s">
        <v>19</v>
      </c>
      <c r="C1959" t="s">
        <v>24</v>
      </c>
      <c r="D1959" t="s">
        <v>14</v>
      </c>
      <c r="E1959">
        <v>340</v>
      </c>
      <c r="F1959" s="3">
        <v>29604341.780000001</v>
      </c>
      <c r="G1959">
        <v>9472132.5099999998</v>
      </c>
      <c r="H1959">
        <v>20132209.260000002</v>
      </c>
      <c r="I1959">
        <v>4.0199999999999996</v>
      </c>
      <c r="J1959">
        <v>3.9</v>
      </c>
      <c r="K1959" t="str">
        <f t="shared" si="30"/>
        <v>Sep 2022</v>
      </c>
    </row>
    <row r="1960" spans="1:11" x14ac:dyDescent="0.25">
      <c r="A1960" s="6">
        <v>45634</v>
      </c>
      <c r="B1960" t="s">
        <v>19</v>
      </c>
      <c r="C1960" t="s">
        <v>20</v>
      </c>
      <c r="D1960" t="s">
        <v>12</v>
      </c>
      <c r="E1960">
        <v>300</v>
      </c>
      <c r="F1960" s="3">
        <v>23373122.93</v>
      </c>
      <c r="G1960">
        <v>4685737</v>
      </c>
      <c r="H1960">
        <v>18687385.93</v>
      </c>
      <c r="I1960">
        <v>1.36</v>
      </c>
      <c r="J1960">
        <v>4.1900000000000004</v>
      </c>
      <c r="K1960" t="str">
        <f t="shared" si="30"/>
        <v>Dec 2024</v>
      </c>
    </row>
    <row r="1961" spans="1:11" x14ac:dyDescent="0.25">
      <c r="A1961" s="6">
        <v>44334</v>
      </c>
      <c r="B1961" t="s">
        <v>19</v>
      </c>
      <c r="C1961" t="s">
        <v>23</v>
      </c>
      <c r="D1961" t="s">
        <v>17</v>
      </c>
      <c r="E1961">
        <v>67</v>
      </c>
      <c r="F1961" s="3">
        <v>2788628.23</v>
      </c>
      <c r="G1961">
        <v>592009.16</v>
      </c>
      <c r="H1961">
        <v>2196619.0699999998</v>
      </c>
      <c r="I1961">
        <v>1.32</v>
      </c>
      <c r="J1961">
        <v>4.43</v>
      </c>
      <c r="K1961" t="str">
        <f t="shared" si="30"/>
        <v>May 2021</v>
      </c>
    </row>
    <row r="1962" spans="1:11" x14ac:dyDescent="0.25">
      <c r="A1962" s="6">
        <v>45177</v>
      </c>
      <c r="B1962" t="s">
        <v>19</v>
      </c>
      <c r="C1962" t="s">
        <v>23</v>
      </c>
      <c r="D1962" t="s">
        <v>14</v>
      </c>
      <c r="E1962">
        <v>224</v>
      </c>
      <c r="F1962" s="3">
        <v>13012535.960000001</v>
      </c>
      <c r="G1962">
        <v>3911840.22</v>
      </c>
      <c r="H1962">
        <v>9100695.7300000004</v>
      </c>
      <c r="I1962">
        <v>4.63</v>
      </c>
      <c r="J1962">
        <v>4.66</v>
      </c>
      <c r="K1962" t="str">
        <f t="shared" si="30"/>
        <v>Sep 2023</v>
      </c>
    </row>
    <row r="1963" spans="1:11" x14ac:dyDescent="0.25">
      <c r="A1963" s="6">
        <v>45429</v>
      </c>
      <c r="B1963" t="s">
        <v>19</v>
      </c>
      <c r="C1963" t="s">
        <v>21</v>
      </c>
      <c r="D1963" t="s">
        <v>17</v>
      </c>
      <c r="E1963">
        <v>286</v>
      </c>
      <c r="F1963" s="3">
        <v>18904056.09</v>
      </c>
      <c r="G1963">
        <v>5889550.0700000003</v>
      </c>
      <c r="H1963">
        <v>13014506.02</v>
      </c>
      <c r="I1963">
        <v>4.09</v>
      </c>
      <c r="J1963">
        <v>4.59</v>
      </c>
      <c r="K1963" t="str">
        <f t="shared" si="30"/>
        <v>May 2024</v>
      </c>
    </row>
    <row r="1964" spans="1:11" x14ac:dyDescent="0.25">
      <c r="A1964" s="6">
        <v>44368</v>
      </c>
      <c r="B1964" t="s">
        <v>19</v>
      </c>
      <c r="C1964" t="s">
        <v>22</v>
      </c>
      <c r="D1964" t="s">
        <v>17</v>
      </c>
      <c r="E1964">
        <v>363</v>
      </c>
      <c r="F1964" s="3">
        <v>19503977.640000001</v>
      </c>
      <c r="G1964">
        <v>4661592.1399999997</v>
      </c>
      <c r="H1964">
        <v>14842385.5</v>
      </c>
      <c r="I1964">
        <v>0.74</v>
      </c>
      <c r="J1964">
        <v>3.74</v>
      </c>
      <c r="K1964" t="str">
        <f t="shared" si="30"/>
        <v>Jun 2021</v>
      </c>
    </row>
    <row r="1965" spans="1:11" x14ac:dyDescent="0.25">
      <c r="A1965" s="6">
        <v>45443</v>
      </c>
      <c r="B1965" t="s">
        <v>19</v>
      </c>
      <c r="C1965" t="s">
        <v>22</v>
      </c>
      <c r="D1965" t="s">
        <v>17</v>
      </c>
      <c r="E1965">
        <v>97</v>
      </c>
      <c r="F1965" s="3">
        <v>4264706.97</v>
      </c>
      <c r="G1965">
        <v>1506454.14</v>
      </c>
      <c r="H1965">
        <v>2758252.83</v>
      </c>
      <c r="I1965">
        <v>0.61</v>
      </c>
      <c r="J1965">
        <v>4.75</v>
      </c>
      <c r="K1965" t="str">
        <f t="shared" si="30"/>
        <v>May 2024</v>
      </c>
    </row>
    <row r="1966" spans="1:11" x14ac:dyDescent="0.25">
      <c r="A1966" s="6">
        <v>45033</v>
      </c>
      <c r="B1966" t="s">
        <v>19</v>
      </c>
      <c r="C1966" t="s">
        <v>20</v>
      </c>
      <c r="D1966" t="s">
        <v>17</v>
      </c>
      <c r="E1966">
        <v>222</v>
      </c>
      <c r="F1966" s="3">
        <v>11489194.76</v>
      </c>
      <c r="G1966">
        <v>3987863.19</v>
      </c>
      <c r="H1966">
        <v>7501331.5800000001</v>
      </c>
      <c r="I1966">
        <v>1.76</v>
      </c>
      <c r="J1966">
        <v>3.92</v>
      </c>
      <c r="K1966" t="str">
        <f t="shared" si="30"/>
        <v>Apr 2023</v>
      </c>
    </row>
    <row r="1967" spans="1:11" x14ac:dyDescent="0.25">
      <c r="A1967" s="6">
        <v>45325</v>
      </c>
      <c r="B1967" t="s">
        <v>19</v>
      </c>
      <c r="C1967" t="s">
        <v>23</v>
      </c>
      <c r="D1967" t="s">
        <v>14</v>
      </c>
      <c r="E1967">
        <v>170</v>
      </c>
      <c r="F1967" s="3">
        <v>9873516.0299999993</v>
      </c>
      <c r="G1967">
        <v>3849442.05</v>
      </c>
      <c r="H1967">
        <v>6024073.9800000004</v>
      </c>
      <c r="I1967">
        <v>0.68</v>
      </c>
      <c r="J1967">
        <v>4.3600000000000003</v>
      </c>
      <c r="K1967" t="str">
        <f t="shared" si="30"/>
        <v>Feb 2024</v>
      </c>
    </row>
    <row r="1968" spans="1:11" x14ac:dyDescent="0.25">
      <c r="A1968" s="6">
        <v>44029</v>
      </c>
      <c r="B1968" t="s">
        <v>19</v>
      </c>
      <c r="C1968" t="s">
        <v>20</v>
      </c>
      <c r="D1968" t="s">
        <v>14</v>
      </c>
      <c r="E1968">
        <v>67</v>
      </c>
      <c r="F1968" s="3">
        <v>5506564.5099999998</v>
      </c>
      <c r="G1968">
        <v>1397392.79</v>
      </c>
      <c r="H1968">
        <v>4109171.72</v>
      </c>
      <c r="I1968">
        <v>4.76</v>
      </c>
      <c r="J1968">
        <v>4.67</v>
      </c>
      <c r="K1968" t="str">
        <f t="shared" si="30"/>
        <v>Jul 2020</v>
      </c>
    </row>
    <row r="1969" spans="1:11" x14ac:dyDescent="0.25">
      <c r="A1969" s="6">
        <v>43925</v>
      </c>
      <c r="B1969" t="s">
        <v>19</v>
      </c>
      <c r="C1969" t="s">
        <v>24</v>
      </c>
      <c r="D1969" t="s">
        <v>14</v>
      </c>
      <c r="E1969">
        <v>480</v>
      </c>
      <c r="F1969" s="3">
        <v>23343856.670000002</v>
      </c>
      <c r="G1969">
        <v>6080064.7699999996</v>
      </c>
      <c r="H1969">
        <v>17263791.899999999</v>
      </c>
      <c r="I1969">
        <v>2.14</v>
      </c>
      <c r="J1969">
        <v>4.3499999999999996</v>
      </c>
      <c r="K1969" t="str">
        <f t="shared" si="30"/>
        <v>Apr 2020</v>
      </c>
    </row>
    <row r="1970" spans="1:11" x14ac:dyDescent="0.25">
      <c r="A1970" s="6">
        <v>44665</v>
      </c>
      <c r="B1970" t="s">
        <v>19</v>
      </c>
      <c r="C1970" t="s">
        <v>22</v>
      </c>
      <c r="D1970" t="s">
        <v>12</v>
      </c>
      <c r="E1970">
        <v>295</v>
      </c>
      <c r="F1970" s="3">
        <v>19154623.300000001</v>
      </c>
      <c r="G1970">
        <v>6607428.75</v>
      </c>
      <c r="H1970">
        <v>12547194.550000001</v>
      </c>
      <c r="I1970">
        <v>3.69</v>
      </c>
      <c r="J1970">
        <v>3.91</v>
      </c>
      <c r="K1970" t="str">
        <f t="shared" si="30"/>
        <v>Apr 2022</v>
      </c>
    </row>
    <row r="1971" spans="1:11" x14ac:dyDescent="0.25">
      <c r="A1971" s="6">
        <v>44922</v>
      </c>
      <c r="B1971" t="s">
        <v>19</v>
      </c>
      <c r="C1971" t="s">
        <v>23</v>
      </c>
      <c r="D1971" t="s">
        <v>14</v>
      </c>
      <c r="E1971">
        <v>312</v>
      </c>
      <c r="F1971" s="3">
        <v>13184524.880000001</v>
      </c>
      <c r="G1971">
        <v>3920594.93</v>
      </c>
      <c r="H1971">
        <v>9263929.9600000009</v>
      </c>
      <c r="I1971">
        <v>1.38</v>
      </c>
      <c r="J1971">
        <v>3.64</v>
      </c>
      <c r="K1971" t="str">
        <f t="shared" si="30"/>
        <v>Dec 2022</v>
      </c>
    </row>
    <row r="1972" spans="1:11" x14ac:dyDescent="0.25">
      <c r="A1972" s="6">
        <v>43853</v>
      </c>
      <c r="B1972" t="s">
        <v>19</v>
      </c>
      <c r="C1972" t="s">
        <v>23</v>
      </c>
      <c r="D1972" t="s">
        <v>12</v>
      </c>
      <c r="E1972">
        <v>190</v>
      </c>
      <c r="F1972" s="3">
        <v>15348198.99</v>
      </c>
      <c r="G1972">
        <v>3666227.96</v>
      </c>
      <c r="H1972">
        <v>11681971.029999999</v>
      </c>
      <c r="I1972">
        <v>1.51</v>
      </c>
      <c r="J1972">
        <v>3.84</v>
      </c>
      <c r="K1972" t="str">
        <f t="shared" si="30"/>
        <v>Jan 2020</v>
      </c>
    </row>
    <row r="1973" spans="1:11" x14ac:dyDescent="0.25">
      <c r="A1973" s="6">
        <v>44248</v>
      </c>
      <c r="B1973" t="s">
        <v>19</v>
      </c>
      <c r="C1973" t="s">
        <v>21</v>
      </c>
      <c r="D1973" t="s">
        <v>17</v>
      </c>
      <c r="E1973">
        <v>57</v>
      </c>
      <c r="F1973" s="3">
        <v>4911799.05</v>
      </c>
      <c r="G1973">
        <v>1871040.88</v>
      </c>
      <c r="H1973">
        <v>3040758.16</v>
      </c>
      <c r="I1973">
        <v>2.5299999999999998</v>
      </c>
      <c r="J1973">
        <v>4.01</v>
      </c>
      <c r="K1973" t="str">
        <f t="shared" si="30"/>
        <v>Feb 2021</v>
      </c>
    </row>
    <row r="1974" spans="1:11" x14ac:dyDescent="0.25">
      <c r="A1974" s="6">
        <v>44457</v>
      </c>
      <c r="B1974" t="s">
        <v>19</v>
      </c>
      <c r="C1974" t="s">
        <v>23</v>
      </c>
      <c r="D1974" t="s">
        <v>12</v>
      </c>
      <c r="E1974">
        <v>125</v>
      </c>
      <c r="F1974" s="3">
        <v>6350371.1799999997</v>
      </c>
      <c r="G1974">
        <v>2184850.3199999998</v>
      </c>
      <c r="H1974">
        <v>4165520.85</v>
      </c>
      <c r="I1974">
        <v>1.99</v>
      </c>
      <c r="J1974">
        <v>4.49</v>
      </c>
      <c r="K1974" t="str">
        <f t="shared" si="30"/>
        <v>Sep 2021</v>
      </c>
    </row>
    <row r="1975" spans="1:11" x14ac:dyDescent="0.25">
      <c r="A1975" s="6">
        <v>44714</v>
      </c>
      <c r="B1975" t="s">
        <v>19</v>
      </c>
      <c r="C1975" t="s">
        <v>22</v>
      </c>
      <c r="D1975" t="s">
        <v>14</v>
      </c>
      <c r="E1975">
        <v>229</v>
      </c>
      <c r="F1975" s="3">
        <v>14218483.119999999</v>
      </c>
      <c r="G1975">
        <v>4430174.97</v>
      </c>
      <c r="H1975">
        <v>9788308.1500000004</v>
      </c>
      <c r="I1975">
        <v>2</v>
      </c>
      <c r="J1975">
        <v>4.09</v>
      </c>
      <c r="K1975" t="str">
        <f t="shared" si="30"/>
        <v>Jun 2022</v>
      </c>
    </row>
    <row r="1976" spans="1:11" x14ac:dyDescent="0.25">
      <c r="A1976" s="6">
        <v>45065</v>
      </c>
      <c r="B1976" t="s">
        <v>19</v>
      </c>
      <c r="C1976" t="s">
        <v>21</v>
      </c>
      <c r="D1976" t="s">
        <v>17</v>
      </c>
      <c r="E1976">
        <v>479</v>
      </c>
      <c r="F1976" s="3">
        <v>31327524.59</v>
      </c>
      <c r="G1976">
        <v>11176091.09</v>
      </c>
      <c r="H1976">
        <v>20151433.5</v>
      </c>
      <c r="I1976">
        <v>1.44</v>
      </c>
      <c r="J1976">
        <v>3.94</v>
      </c>
      <c r="K1976" t="str">
        <f t="shared" si="30"/>
        <v>May 2023</v>
      </c>
    </row>
    <row r="1977" spans="1:11" x14ac:dyDescent="0.25">
      <c r="A1977" s="6">
        <v>43988</v>
      </c>
      <c r="B1977" t="s">
        <v>19</v>
      </c>
      <c r="C1977" t="s">
        <v>20</v>
      </c>
      <c r="D1977" t="s">
        <v>14</v>
      </c>
      <c r="E1977">
        <v>360</v>
      </c>
      <c r="F1977" s="3">
        <v>15647218.109999999</v>
      </c>
      <c r="G1977">
        <v>5791819.4400000004</v>
      </c>
      <c r="H1977">
        <v>9855398.6699999999</v>
      </c>
      <c r="I1977">
        <v>1.71</v>
      </c>
      <c r="J1977">
        <v>4.04</v>
      </c>
      <c r="K1977" t="str">
        <f t="shared" si="30"/>
        <v>Jun 2020</v>
      </c>
    </row>
    <row r="1978" spans="1:11" x14ac:dyDescent="0.25">
      <c r="A1978" s="6">
        <v>44093</v>
      </c>
      <c r="B1978" t="s">
        <v>19</v>
      </c>
      <c r="C1978" t="s">
        <v>24</v>
      </c>
      <c r="D1978" t="s">
        <v>12</v>
      </c>
      <c r="E1978">
        <v>455</v>
      </c>
      <c r="F1978" s="3">
        <v>19067278.609999999</v>
      </c>
      <c r="G1978">
        <v>6973685.71</v>
      </c>
      <c r="H1978">
        <v>12093592.9</v>
      </c>
      <c r="I1978">
        <v>4.22</v>
      </c>
      <c r="J1978">
        <v>4.38</v>
      </c>
      <c r="K1978" t="str">
        <f t="shared" si="30"/>
        <v>Sep 2020</v>
      </c>
    </row>
    <row r="1979" spans="1:11" x14ac:dyDescent="0.25">
      <c r="A1979" s="6">
        <v>44413</v>
      </c>
      <c r="B1979" t="s">
        <v>19</v>
      </c>
      <c r="C1979" t="s">
        <v>21</v>
      </c>
      <c r="D1979" t="s">
        <v>12</v>
      </c>
      <c r="E1979">
        <v>324</v>
      </c>
      <c r="F1979" s="3">
        <v>23763456.989999998</v>
      </c>
      <c r="G1979">
        <v>8586044.3100000005</v>
      </c>
      <c r="H1979">
        <v>15177412.689999999</v>
      </c>
      <c r="I1979">
        <v>3.39</v>
      </c>
      <c r="J1979">
        <v>3.89</v>
      </c>
      <c r="K1979" t="str">
        <f t="shared" si="30"/>
        <v>Aug 2021</v>
      </c>
    </row>
    <row r="1980" spans="1:11" x14ac:dyDescent="0.25">
      <c r="A1980" s="6">
        <v>44485</v>
      </c>
      <c r="B1980" t="s">
        <v>19</v>
      </c>
      <c r="C1980" t="s">
        <v>24</v>
      </c>
      <c r="D1980" t="s">
        <v>14</v>
      </c>
      <c r="E1980">
        <v>71</v>
      </c>
      <c r="F1980" s="3">
        <v>3802199.28</v>
      </c>
      <c r="G1980">
        <v>1283689.47</v>
      </c>
      <c r="H1980">
        <v>2518509.81</v>
      </c>
      <c r="I1980">
        <v>1.05</v>
      </c>
      <c r="J1980">
        <v>3.67</v>
      </c>
      <c r="K1980" t="str">
        <f t="shared" si="30"/>
        <v>Oct 2021</v>
      </c>
    </row>
    <row r="1981" spans="1:11" x14ac:dyDescent="0.25">
      <c r="A1981" s="6">
        <v>45563</v>
      </c>
      <c r="B1981" t="s">
        <v>19</v>
      </c>
      <c r="C1981" t="s">
        <v>21</v>
      </c>
      <c r="D1981" t="s">
        <v>14</v>
      </c>
      <c r="E1981">
        <v>87</v>
      </c>
      <c r="F1981" s="3">
        <v>4195943.6399999997</v>
      </c>
      <c r="G1981">
        <v>1114120.51</v>
      </c>
      <c r="H1981">
        <v>3081823.12</v>
      </c>
      <c r="I1981">
        <v>4.22</v>
      </c>
      <c r="J1981">
        <v>4.51</v>
      </c>
      <c r="K1981" t="str">
        <f t="shared" si="30"/>
        <v>Sep 2024</v>
      </c>
    </row>
    <row r="1982" spans="1:11" x14ac:dyDescent="0.25">
      <c r="A1982" s="6">
        <v>43945</v>
      </c>
      <c r="B1982" t="s">
        <v>19</v>
      </c>
      <c r="C1982" t="s">
        <v>20</v>
      </c>
      <c r="D1982" t="s">
        <v>14</v>
      </c>
      <c r="E1982">
        <v>437</v>
      </c>
      <c r="F1982" s="3">
        <v>17832892.809999999</v>
      </c>
      <c r="G1982">
        <v>6971610.2199999997</v>
      </c>
      <c r="H1982">
        <v>10861282.59</v>
      </c>
      <c r="I1982">
        <v>3.45</v>
      </c>
      <c r="J1982">
        <v>4.3</v>
      </c>
      <c r="K1982" t="str">
        <f t="shared" si="30"/>
        <v>Apr 2020</v>
      </c>
    </row>
    <row r="1983" spans="1:11" x14ac:dyDescent="0.25">
      <c r="A1983" s="6">
        <v>44025</v>
      </c>
      <c r="B1983" t="s">
        <v>19</v>
      </c>
      <c r="C1983" t="s">
        <v>22</v>
      </c>
      <c r="D1983" t="s">
        <v>17</v>
      </c>
      <c r="E1983">
        <v>327</v>
      </c>
      <c r="F1983" s="3">
        <v>23517805.789999999</v>
      </c>
      <c r="G1983">
        <v>8134131.9800000004</v>
      </c>
      <c r="H1983">
        <v>15383673.810000001</v>
      </c>
      <c r="I1983">
        <v>0.87</v>
      </c>
      <c r="J1983">
        <v>4.99</v>
      </c>
      <c r="K1983" t="str">
        <f t="shared" si="30"/>
        <v>Jul 2020</v>
      </c>
    </row>
    <row r="1984" spans="1:11" x14ac:dyDescent="0.25">
      <c r="A1984" s="6">
        <v>44398</v>
      </c>
      <c r="B1984" t="s">
        <v>19</v>
      </c>
      <c r="C1984" t="s">
        <v>24</v>
      </c>
      <c r="D1984" t="s">
        <v>17</v>
      </c>
      <c r="E1984">
        <v>155</v>
      </c>
      <c r="F1984" s="3">
        <v>9726877.1799999997</v>
      </c>
      <c r="G1984">
        <v>3662596.96</v>
      </c>
      <c r="H1984">
        <v>6064280.2300000004</v>
      </c>
      <c r="I1984">
        <v>1.26</v>
      </c>
      <c r="J1984">
        <v>4.03</v>
      </c>
      <c r="K1984" t="str">
        <f t="shared" si="30"/>
        <v>Jul 2021</v>
      </c>
    </row>
    <row r="1985" spans="1:11" x14ac:dyDescent="0.25">
      <c r="A1985" s="6">
        <v>45361</v>
      </c>
      <c r="B1985" t="s">
        <v>19</v>
      </c>
      <c r="C1985" t="s">
        <v>23</v>
      </c>
      <c r="D1985" t="s">
        <v>12</v>
      </c>
      <c r="E1985">
        <v>212</v>
      </c>
      <c r="F1985" s="3">
        <v>14157230.210000001</v>
      </c>
      <c r="G1985">
        <v>3210572.29</v>
      </c>
      <c r="H1985">
        <v>10946657.92</v>
      </c>
      <c r="I1985">
        <v>1.8</v>
      </c>
      <c r="J1985">
        <v>4.2</v>
      </c>
      <c r="K1985" t="str">
        <f t="shared" si="30"/>
        <v>Mar 2024</v>
      </c>
    </row>
    <row r="1986" spans="1:11" x14ac:dyDescent="0.25">
      <c r="A1986" s="6">
        <v>45460</v>
      </c>
      <c r="B1986" t="s">
        <v>19</v>
      </c>
      <c r="C1986" t="s">
        <v>23</v>
      </c>
      <c r="D1986" t="s">
        <v>12</v>
      </c>
      <c r="E1986">
        <v>371</v>
      </c>
      <c r="F1986" s="3">
        <v>21848146.370000001</v>
      </c>
      <c r="G1986">
        <v>6788472.8600000003</v>
      </c>
      <c r="H1986">
        <v>15059673.51</v>
      </c>
      <c r="I1986">
        <v>3.28</v>
      </c>
      <c r="J1986">
        <v>4.5</v>
      </c>
      <c r="K1986" t="str">
        <f t="shared" ref="K1986:K2049" si="31">TEXT(A1986,"mmm yyyy")</f>
        <v>Jun 2024</v>
      </c>
    </row>
    <row r="1987" spans="1:11" x14ac:dyDescent="0.25">
      <c r="A1987" s="6">
        <v>44592</v>
      </c>
      <c r="B1987" t="s">
        <v>19</v>
      </c>
      <c r="C1987" t="s">
        <v>22</v>
      </c>
      <c r="D1987" t="s">
        <v>12</v>
      </c>
      <c r="E1987">
        <v>401</v>
      </c>
      <c r="F1987" s="3">
        <v>32794421.219999999</v>
      </c>
      <c r="G1987">
        <v>11795967.18</v>
      </c>
      <c r="H1987">
        <v>20998454.030000001</v>
      </c>
      <c r="I1987">
        <v>4.7</v>
      </c>
      <c r="J1987">
        <v>4.53</v>
      </c>
      <c r="K1987" t="str">
        <f t="shared" si="31"/>
        <v>Jan 2022</v>
      </c>
    </row>
    <row r="1988" spans="1:11" x14ac:dyDescent="0.25">
      <c r="A1988" s="6">
        <v>44270</v>
      </c>
      <c r="B1988" t="s">
        <v>19</v>
      </c>
      <c r="C1988" t="s">
        <v>21</v>
      </c>
      <c r="D1988" t="s">
        <v>14</v>
      </c>
      <c r="E1988">
        <v>178</v>
      </c>
      <c r="F1988" s="3">
        <v>7494617.8200000003</v>
      </c>
      <c r="G1988">
        <v>2848634.51</v>
      </c>
      <c r="H1988">
        <v>4645983.3099999996</v>
      </c>
      <c r="I1988">
        <v>3.21</v>
      </c>
      <c r="J1988">
        <v>4.29</v>
      </c>
      <c r="K1988" t="str">
        <f t="shared" si="31"/>
        <v>Mar 2021</v>
      </c>
    </row>
    <row r="1989" spans="1:11" x14ac:dyDescent="0.25">
      <c r="A1989" s="6">
        <v>45210</v>
      </c>
      <c r="B1989" t="s">
        <v>19</v>
      </c>
      <c r="C1989" t="s">
        <v>23</v>
      </c>
      <c r="D1989" t="s">
        <v>17</v>
      </c>
      <c r="E1989">
        <v>445</v>
      </c>
      <c r="F1989" s="3">
        <v>16557398.58</v>
      </c>
      <c r="G1989">
        <v>3676029.34</v>
      </c>
      <c r="H1989">
        <v>12881369.24</v>
      </c>
      <c r="I1989">
        <v>4.96</v>
      </c>
      <c r="J1989">
        <v>3.94</v>
      </c>
      <c r="K1989" t="str">
        <f t="shared" si="31"/>
        <v>Oct 2023</v>
      </c>
    </row>
    <row r="1990" spans="1:11" x14ac:dyDescent="0.25">
      <c r="A1990" s="6">
        <v>44019</v>
      </c>
      <c r="B1990" t="s">
        <v>19</v>
      </c>
      <c r="C1990" t="s">
        <v>20</v>
      </c>
      <c r="D1990" t="s">
        <v>12</v>
      </c>
      <c r="E1990">
        <v>230</v>
      </c>
      <c r="F1990" s="3">
        <v>17731846.550000001</v>
      </c>
      <c r="G1990">
        <v>6195413.7699999996</v>
      </c>
      <c r="H1990">
        <v>11536432.779999999</v>
      </c>
      <c r="I1990">
        <v>4.4000000000000004</v>
      </c>
      <c r="J1990">
        <v>3.65</v>
      </c>
      <c r="K1990" t="str">
        <f t="shared" si="31"/>
        <v>Jul 2020</v>
      </c>
    </row>
    <row r="1991" spans="1:11" x14ac:dyDescent="0.25">
      <c r="A1991" s="6">
        <v>44546</v>
      </c>
      <c r="B1991" t="s">
        <v>19</v>
      </c>
      <c r="C1991" t="s">
        <v>22</v>
      </c>
      <c r="D1991" t="s">
        <v>14</v>
      </c>
      <c r="E1991">
        <v>459</v>
      </c>
      <c r="F1991" s="3">
        <v>23331301.140000001</v>
      </c>
      <c r="G1991">
        <v>8897291.6099999994</v>
      </c>
      <c r="H1991">
        <v>14434009.529999999</v>
      </c>
      <c r="I1991">
        <v>4.84</v>
      </c>
      <c r="J1991">
        <v>3.7</v>
      </c>
      <c r="K1991" t="str">
        <f t="shared" si="31"/>
        <v>Dec 2021</v>
      </c>
    </row>
    <row r="1992" spans="1:11" x14ac:dyDescent="0.25">
      <c r="A1992" s="6">
        <v>44673</v>
      </c>
      <c r="B1992" t="s">
        <v>19</v>
      </c>
      <c r="C1992" t="s">
        <v>22</v>
      </c>
      <c r="D1992" t="s">
        <v>12</v>
      </c>
      <c r="E1992">
        <v>244</v>
      </c>
      <c r="F1992" s="3">
        <v>17618411.920000002</v>
      </c>
      <c r="G1992">
        <v>4953445.3099999996</v>
      </c>
      <c r="H1992">
        <v>12664966.609999999</v>
      </c>
      <c r="I1992">
        <v>3.21</v>
      </c>
      <c r="J1992">
        <v>4.5199999999999996</v>
      </c>
      <c r="K1992" t="str">
        <f t="shared" si="31"/>
        <v>Apr 2022</v>
      </c>
    </row>
    <row r="1993" spans="1:11" x14ac:dyDescent="0.25">
      <c r="A1993" s="6">
        <v>44604</v>
      </c>
      <c r="B1993" t="s">
        <v>19</v>
      </c>
      <c r="C1993" t="s">
        <v>22</v>
      </c>
      <c r="D1993" t="s">
        <v>12</v>
      </c>
      <c r="E1993">
        <v>365</v>
      </c>
      <c r="F1993" s="3">
        <v>12802026.390000001</v>
      </c>
      <c r="G1993">
        <v>4152719.35</v>
      </c>
      <c r="H1993">
        <v>8649307.0399999991</v>
      </c>
      <c r="I1993">
        <v>1.1499999999999999</v>
      </c>
      <c r="J1993">
        <v>3.53</v>
      </c>
      <c r="K1993" t="str">
        <f t="shared" si="31"/>
        <v>Feb 2022</v>
      </c>
    </row>
    <row r="1994" spans="1:11" x14ac:dyDescent="0.25">
      <c r="A1994" s="6">
        <v>44338</v>
      </c>
      <c r="B1994" t="s">
        <v>19</v>
      </c>
      <c r="C1994" t="s">
        <v>24</v>
      </c>
      <c r="D1994" t="s">
        <v>17</v>
      </c>
      <c r="E1994">
        <v>315</v>
      </c>
      <c r="F1994" s="3">
        <v>23020038.350000001</v>
      </c>
      <c r="G1994">
        <v>8133749.2400000002</v>
      </c>
      <c r="H1994">
        <v>14886289.119999999</v>
      </c>
      <c r="I1994">
        <v>3.31</v>
      </c>
      <c r="J1994">
        <v>4.62</v>
      </c>
      <c r="K1994" t="str">
        <f t="shared" si="31"/>
        <v>May 2021</v>
      </c>
    </row>
    <row r="1995" spans="1:11" x14ac:dyDescent="0.25">
      <c r="A1995" s="6">
        <v>44152</v>
      </c>
      <c r="B1995" t="s">
        <v>19</v>
      </c>
      <c r="C1995" t="s">
        <v>23</v>
      </c>
      <c r="D1995" t="s">
        <v>12</v>
      </c>
      <c r="E1995">
        <v>91</v>
      </c>
      <c r="F1995" s="3">
        <v>4441655.92</v>
      </c>
      <c r="G1995">
        <v>1198869.3400000001</v>
      </c>
      <c r="H1995">
        <v>3242786.58</v>
      </c>
      <c r="I1995">
        <v>1.46</v>
      </c>
      <c r="J1995">
        <v>3.68</v>
      </c>
      <c r="K1995" t="str">
        <f t="shared" si="31"/>
        <v>Nov 2020</v>
      </c>
    </row>
    <row r="1996" spans="1:11" x14ac:dyDescent="0.25">
      <c r="A1996" s="6">
        <v>44198</v>
      </c>
      <c r="B1996" t="s">
        <v>19</v>
      </c>
      <c r="C1996" t="s">
        <v>23</v>
      </c>
      <c r="D1996" t="s">
        <v>17</v>
      </c>
      <c r="E1996">
        <v>291</v>
      </c>
      <c r="F1996" s="3">
        <v>10905174.119999999</v>
      </c>
      <c r="G1996">
        <v>2760860.19</v>
      </c>
      <c r="H1996">
        <v>8144313.9400000004</v>
      </c>
      <c r="I1996">
        <v>2.04</v>
      </c>
      <c r="J1996">
        <v>4.22</v>
      </c>
      <c r="K1996" t="str">
        <f t="shared" si="31"/>
        <v>Jan 2021</v>
      </c>
    </row>
    <row r="1997" spans="1:11" x14ac:dyDescent="0.25">
      <c r="A1997" s="6">
        <v>45454</v>
      </c>
      <c r="B1997" t="s">
        <v>19</v>
      </c>
      <c r="C1997" t="s">
        <v>20</v>
      </c>
      <c r="D1997" t="s">
        <v>14</v>
      </c>
      <c r="E1997">
        <v>371</v>
      </c>
      <c r="F1997" s="3">
        <v>21379098.129999999</v>
      </c>
      <c r="G1997">
        <v>8011233.71</v>
      </c>
      <c r="H1997">
        <v>13367864.42</v>
      </c>
      <c r="I1997">
        <v>0.63</v>
      </c>
      <c r="J1997">
        <v>4.43</v>
      </c>
      <c r="K1997" t="str">
        <f t="shared" si="31"/>
        <v>Jun 2024</v>
      </c>
    </row>
    <row r="1998" spans="1:11" x14ac:dyDescent="0.25">
      <c r="A1998" s="6">
        <v>44909</v>
      </c>
      <c r="B1998" t="s">
        <v>19</v>
      </c>
      <c r="C1998" t="s">
        <v>20</v>
      </c>
      <c r="D1998" t="s">
        <v>12</v>
      </c>
      <c r="E1998">
        <v>275</v>
      </c>
      <c r="F1998" s="3">
        <v>22360486.879999999</v>
      </c>
      <c r="G1998">
        <v>6785453.0999999996</v>
      </c>
      <c r="H1998">
        <v>15575033.779999999</v>
      </c>
      <c r="I1998">
        <v>4</v>
      </c>
      <c r="J1998">
        <v>4.51</v>
      </c>
      <c r="K1998" t="str">
        <f t="shared" si="31"/>
        <v>Dec 2022</v>
      </c>
    </row>
    <row r="1999" spans="1:11" x14ac:dyDescent="0.25">
      <c r="A1999" s="6">
        <v>43930</v>
      </c>
      <c r="B1999" t="s">
        <v>19</v>
      </c>
      <c r="C1999" t="s">
        <v>22</v>
      </c>
      <c r="D1999" t="s">
        <v>14</v>
      </c>
      <c r="E1999">
        <v>213</v>
      </c>
      <c r="F1999" s="3">
        <v>9500991.7799999993</v>
      </c>
      <c r="G1999">
        <v>3238067.16</v>
      </c>
      <c r="H1999">
        <v>6262924.6299999999</v>
      </c>
      <c r="I1999">
        <v>3.49</v>
      </c>
      <c r="J1999">
        <v>4.95</v>
      </c>
      <c r="K1999" t="str">
        <f t="shared" si="31"/>
        <v>Apr 2020</v>
      </c>
    </row>
    <row r="2000" spans="1:11" x14ac:dyDescent="0.25">
      <c r="A2000" s="6">
        <v>44796</v>
      </c>
      <c r="B2000" t="s">
        <v>19</v>
      </c>
      <c r="C2000" t="s">
        <v>22</v>
      </c>
      <c r="D2000" t="s">
        <v>14</v>
      </c>
      <c r="E2000">
        <v>334</v>
      </c>
      <c r="F2000" s="3">
        <v>26495832.41</v>
      </c>
      <c r="G2000">
        <v>7461137.1500000004</v>
      </c>
      <c r="H2000">
        <v>19034695.260000002</v>
      </c>
      <c r="I2000">
        <v>1.25</v>
      </c>
      <c r="J2000">
        <v>3.54</v>
      </c>
      <c r="K2000" t="str">
        <f t="shared" si="31"/>
        <v>Aug 2022</v>
      </c>
    </row>
    <row r="2001" spans="1:11" x14ac:dyDescent="0.25">
      <c r="A2001" s="6">
        <v>43948</v>
      </c>
      <c r="B2001" t="s">
        <v>19</v>
      </c>
      <c r="C2001" t="s">
        <v>24</v>
      </c>
      <c r="D2001" t="s">
        <v>17</v>
      </c>
      <c r="E2001">
        <v>454</v>
      </c>
      <c r="F2001" s="3">
        <v>17622770.329999998</v>
      </c>
      <c r="G2001">
        <v>6732332.3099999996</v>
      </c>
      <c r="H2001">
        <v>10890438.02</v>
      </c>
      <c r="I2001">
        <v>3.2</v>
      </c>
      <c r="J2001">
        <v>4.01</v>
      </c>
      <c r="K2001" t="str">
        <f t="shared" si="31"/>
        <v>Apr 2020</v>
      </c>
    </row>
    <row r="2002" spans="1:11" x14ac:dyDescent="0.25">
      <c r="A2002" s="6">
        <v>44719</v>
      </c>
      <c r="B2002" t="s">
        <v>19</v>
      </c>
      <c r="C2002" t="s">
        <v>22</v>
      </c>
      <c r="D2002" t="s">
        <v>14</v>
      </c>
      <c r="E2002">
        <v>177</v>
      </c>
      <c r="F2002" s="3">
        <v>14596393.060000001</v>
      </c>
      <c r="G2002">
        <v>5398658.4699999997</v>
      </c>
      <c r="H2002">
        <v>9197734.5999999996</v>
      </c>
      <c r="I2002">
        <v>4.33</v>
      </c>
      <c r="J2002">
        <v>4.99</v>
      </c>
      <c r="K2002" t="str">
        <f t="shared" si="31"/>
        <v>Jun 2022</v>
      </c>
    </row>
    <row r="2003" spans="1:11" x14ac:dyDescent="0.25">
      <c r="A2003" s="6">
        <v>44100</v>
      </c>
      <c r="B2003" t="s">
        <v>19</v>
      </c>
      <c r="C2003" t="s">
        <v>22</v>
      </c>
      <c r="D2003" t="s">
        <v>14</v>
      </c>
      <c r="E2003">
        <v>71</v>
      </c>
      <c r="F2003" s="3">
        <v>4536961.55</v>
      </c>
      <c r="G2003">
        <v>1181576.52</v>
      </c>
      <c r="H2003">
        <v>3355385.03</v>
      </c>
      <c r="I2003">
        <v>4.55</v>
      </c>
      <c r="J2003">
        <v>4.6900000000000004</v>
      </c>
      <c r="K2003" t="str">
        <f t="shared" si="31"/>
        <v>Sep 2020</v>
      </c>
    </row>
    <row r="2004" spans="1:11" x14ac:dyDescent="0.25">
      <c r="A2004" s="6">
        <v>44811</v>
      </c>
      <c r="B2004" t="s">
        <v>19</v>
      </c>
      <c r="C2004" t="s">
        <v>21</v>
      </c>
      <c r="D2004" t="s">
        <v>14</v>
      </c>
      <c r="E2004">
        <v>466</v>
      </c>
      <c r="F2004" s="3">
        <v>37775915.280000001</v>
      </c>
      <c r="G2004">
        <v>10467813.58</v>
      </c>
      <c r="H2004">
        <v>27308101.699999999</v>
      </c>
      <c r="I2004">
        <v>3.12</v>
      </c>
      <c r="J2004">
        <v>3.88</v>
      </c>
      <c r="K2004" t="str">
        <f t="shared" si="31"/>
        <v>Sep 2022</v>
      </c>
    </row>
    <row r="2005" spans="1:11" x14ac:dyDescent="0.25">
      <c r="A2005" s="6">
        <v>43929</v>
      </c>
      <c r="B2005" t="s">
        <v>19</v>
      </c>
      <c r="C2005" t="s">
        <v>20</v>
      </c>
      <c r="D2005" t="s">
        <v>12</v>
      </c>
      <c r="E2005">
        <v>414</v>
      </c>
      <c r="F2005" s="3">
        <v>20682405.32</v>
      </c>
      <c r="G2005">
        <v>7371658.5599999996</v>
      </c>
      <c r="H2005">
        <v>13310746.76</v>
      </c>
      <c r="I2005">
        <v>3.48</v>
      </c>
      <c r="J2005">
        <v>4.45</v>
      </c>
      <c r="K2005" t="str">
        <f t="shared" si="31"/>
        <v>Apr 2020</v>
      </c>
    </row>
    <row r="2006" spans="1:11" x14ac:dyDescent="0.25">
      <c r="A2006" s="6">
        <v>44745</v>
      </c>
      <c r="B2006" t="s">
        <v>19</v>
      </c>
      <c r="C2006" t="s">
        <v>23</v>
      </c>
      <c r="D2006" t="s">
        <v>12</v>
      </c>
      <c r="E2006">
        <v>280</v>
      </c>
      <c r="F2006" s="3">
        <v>10050149.029999999</v>
      </c>
      <c r="G2006">
        <v>2555194</v>
      </c>
      <c r="H2006">
        <v>7494955.0300000003</v>
      </c>
      <c r="I2006">
        <v>1.96</v>
      </c>
      <c r="J2006">
        <v>4.5</v>
      </c>
      <c r="K2006" t="str">
        <f t="shared" si="31"/>
        <v>Jul 2022</v>
      </c>
    </row>
    <row r="2007" spans="1:11" x14ac:dyDescent="0.25">
      <c r="A2007" s="6">
        <v>44493</v>
      </c>
      <c r="B2007" t="s">
        <v>19</v>
      </c>
      <c r="C2007" t="s">
        <v>23</v>
      </c>
      <c r="D2007" t="s">
        <v>12</v>
      </c>
      <c r="E2007">
        <v>191</v>
      </c>
      <c r="F2007" s="3">
        <v>8023016.3200000003</v>
      </c>
      <c r="G2007">
        <v>3006591.45</v>
      </c>
      <c r="H2007">
        <v>5016424.87</v>
      </c>
      <c r="I2007">
        <v>4.16</v>
      </c>
      <c r="J2007">
        <v>4.8899999999999997</v>
      </c>
      <c r="K2007" t="str">
        <f t="shared" si="31"/>
        <v>Oct 2021</v>
      </c>
    </row>
    <row r="2008" spans="1:11" x14ac:dyDescent="0.25">
      <c r="A2008" s="6">
        <v>43854</v>
      </c>
      <c r="B2008" t="s">
        <v>19</v>
      </c>
      <c r="C2008" t="s">
        <v>20</v>
      </c>
      <c r="D2008" t="s">
        <v>12</v>
      </c>
      <c r="E2008">
        <v>359</v>
      </c>
      <c r="F2008" s="3">
        <v>30698759.469999999</v>
      </c>
      <c r="G2008">
        <v>8289966.4000000004</v>
      </c>
      <c r="H2008">
        <v>22408793.07</v>
      </c>
      <c r="I2008">
        <v>0.97</v>
      </c>
      <c r="J2008">
        <v>4.0999999999999996</v>
      </c>
      <c r="K2008" t="str">
        <f t="shared" si="31"/>
        <v>Jan 2020</v>
      </c>
    </row>
    <row r="2009" spans="1:11" x14ac:dyDescent="0.25">
      <c r="A2009" s="6">
        <v>44119</v>
      </c>
      <c r="B2009" t="s">
        <v>19</v>
      </c>
      <c r="C2009" t="s">
        <v>23</v>
      </c>
      <c r="D2009" t="s">
        <v>12</v>
      </c>
      <c r="E2009">
        <v>153</v>
      </c>
      <c r="F2009" s="3">
        <v>7780637.0199999996</v>
      </c>
      <c r="G2009">
        <v>2647310.6</v>
      </c>
      <c r="H2009">
        <v>5133326.43</v>
      </c>
      <c r="I2009">
        <v>4.51</v>
      </c>
      <c r="J2009">
        <v>3.52</v>
      </c>
      <c r="K2009" t="str">
        <f t="shared" si="31"/>
        <v>Oct 2020</v>
      </c>
    </row>
    <row r="2010" spans="1:11" x14ac:dyDescent="0.25">
      <c r="A2010" s="6">
        <v>45244</v>
      </c>
      <c r="B2010" t="s">
        <v>19</v>
      </c>
      <c r="C2010" t="s">
        <v>23</v>
      </c>
      <c r="D2010" t="s">
        <v>14</v>
      </c>
      <c r="E2010">
        <v>404</v>
      </c>
      <c r="F2010" s="3">
        <v>22063567.030000001</v>
      </c>
      <c r="G2010">
        <v>7702473.6299999999</v>
      </c>
      <c r="H2010">
        <v>14361093.4</v>
      </c>
      <c r="I2010">
        <v>0.56000000000000005</v>
      </c>
      <c r="J2010">
        <v>4.3099999999999996</v>
      </c>
      <c r="K2010" t="str">
        <f t="shared" si="31"/>
        <v>Nov 2023</v>
      </c>
    </row>
    <row r="2011" spans="1:11" x14ac:dyDescent="0.25">
      <c r="A2011" s="6">
        <v>44488</v>
      </c>
      <c r="B2011" t="s">
        <v>19</v>
      </c>
      <c r="C2011" t="s">
        <v>21</v>
      </c>
      <c r="D2011" t="s">
        <v>12</v>
      </c>
      <c r="E2011">
        <v>473</v>
      </c>
      <c r="F2011" s="3">
        <v>39822930.170000002</v>
      </c>
      <c r="G2011">
        <v>9369487.8699999992</v>
      </c>
      <c r="H2011">
        <v>30453442.300000001</v>
      </c>
      <c r="I2011">
        <v>4.54</v>
      </c>
      <c r="J2011">
        <v>4.33</v>
      </c>
      <c r="K2011" t="str">
        <f t="shared" si="31"/>
        <v>Oct 2021</v>
      </c>
    </row>
    <row r="2012" spans="1:11" x14ac:dyDescent="0.25">
      <c r="A2012" s="6">
        <v>44573</v>
      </c>
      <c r="B2012" t="s">
        <v>19</v>
      </c>
      <c r="C2012" t="s">
        <v>22</v>
      </c>
      <c r="D2012" t="s">
        <v>12</v>
      </c>
      <c r="E2012">
        <v>458</v>
      </c>
      <c r="F2012" s="3">
        <v>25704034.059999999</v>
      </c>
      <c r="G2012">
        <v>6856459.2599999998</v>
      </c>
      <c r="H2012">
        <v>18847574.800000001</v>
      </c>
      <c r="I2012">
        <v>4.95</v>
      </c>
      <c r="J2012">
        <v>3.84</v>
      </c>
      <c r="K2012" t="str">
        <f t="shared" si="31"/>
        <v>Jan 2022</v>
      </c>
    </row>
    <row r="2013" spans="1:11" x14ac:dyDescent="0.25">
      <c r="A2013" s="6">
        <v>44652</v>
      </c>
      <c r="B2013" t="s">
        <v>19</v>
      </c>
      <c r="C2013" t="s">
        <v>21</v>
      </c>
      <c r="D2013" t="s">
        <v>14</v>
      </c>
      <c r="E2013">
        <v>121</v>
      </c>
      <c r="F2013" s="3">
        <v>4866993.91</v>
      </c>
      <c r="G2013">
        <v>1640256.33</v>
      </c>
      <c r="H2013">
        <v>3226737.57</v>
      </c>
      <c r="I2013">
        <v>0.93</v>
      </c>
      <c r="J2013">
        <v>3.77</v>
      </c>
      <c r="K2013" t="str">
        <f t="shared" si="31"/>
        <v>Apr 2022</v>
      </c>
    </row>
    <row r="2014" spans="1:11" x14ac:dyDescent="0.25">
      <c r="A2014" s="6">
        <v>43889</v>
      </c>
      <c r="B2014" t="s">
        <v>19</v>
      </c>
      <c r="C2014" t="s">
        <v>23</v>
      </c>
      <c r="D2014" t="s">
        <v>12</v>
      </c>
      <c r="E2014">
        <v>103</v>
      </c>
      <c r="F2014" s="3">
        <v>6120846.6500000004</v>
      </c>
      <c r="G2014">
        <v>1797237.56</v>
      </c>
      <c r="H2014">
        <v>4323609.09</v>
      </c>
      <c r="I2014">
        <v>4.43</v>
      </c>
      <c r="J2014">
        <v>4.99</v>
      </c>
      <c r="K2014" t="str">
        <f t="shared" si="31"/>
        <v>Feb 2020</v>
      </c>
    </row>
    <row r="2015" spans="1:11" x14ac:dyDescent="0.25">
      <c r="A2015" s="6">
        <v>44452</v>
      </c>
      <c r="B2015" t="s">
        <v>19</v>
      </c>
      <c r="C2015" t="s">
        <v>23</v>
      </c>
      <c r="D2015" t="s">
        <v>12</v>
      </c>
      <c r="E2015">
        <v>95</v>
      </c>
      <c r="F2015" s="3">
        <v>5748429.4500000002</v>
      </c>
      <c r="G2015">
        <v>1931440.89</v>
      </c>
      <c r="H2015">
        <v>3816988.56</v>
      </c>
      <c r="I2015">
        <v>2.64</v>
      </c>
      <c r="J2015">
        <v>3.98</v>
      </c>
      <c r="K2015" t="str">
        <f t="shared" si="31"/>
        <v>Sep 2021</v>
      </c>
    </row>
    <row r="2016" spans="1:11" x14ac:dyDescent="0.25">
      <c r="A2016" s="6">
        <v>45441</v>
      </c>
      <c r="B2016" t="s">
        <v>19</v>
      </c>
      <c r="C2016" t="s">
        <v>21</v>
      </c>
      <c r="D2016" t="s">
        <v>14</v>
      </c>
      <c r="E2016">
        <v>243</v>
      </c>
      <c r="F2016" s="3">
        <v>17493059.57</v>
      </c>
      <c r="G2016">
        <v>4610499.8600000003</v>
      </c>
      <c r="H2016">
        <v>12882559.710000001</v>
      </c>
      <c r="I2016">
        <v>1.92</v>
      </c>
      <c r="J2016">
        <v>3.7</v>
      </c>
      <c r="K2016" t="str">
        <f t="shared" si="31"/>
        <v>May 2024</v>
      </c>
    </row>
    <row r="2017" spans="1:11" x14ac:dyDescent="0.25">
      <c r="A2017" s="6">
        <v>45409</v>
      </c>
      <c r="B2017" t="s">
        <v>19</v>
      </c>
      <c r="C2017" t="s">
        <v>24</v>
      </c>
      <c r="D2017" t="s">
        <v>12</v>
      </c>
      <c r="E2017">
        <v>180</v>
      </c>
      <c r="F2017" s="3">
        <v>13611208.199999999</v>
      </c>
      <c r="G2017">
        <v>3629790.49</v>
      </c>
      <c r="H2017">
        <v>9981417.6999999993</v>
      </c>
      <c r="I2017">
        <v>1.04</v>
      </c>
      <c r="J2017">
        <v>4.3600000000000003</v>
      </c>
      <c r="K2017" t="str">
        <f t="shared" si="31"/>
        <v>Apr 2024</v>
      </c>
    </row>
    <row r="2018" spans="1:11" x14ac:dyDescent="0.25">
      <c r="A2018" s="6">
        <v>45040</v>
      </c>
      <c r="B2018" t="s">
        <v>19</v>
      </c>
      <c r="C2018" t="s">
        <v>20</v>
      </c>
      <c r="D2018" t="s">
        <v>17</v>
      </c>
      <c r="E2018">
        <v>325</v>
      </c>
      <c r="F2018" s="3">
        <v>24843313.98</v>
      </c>
      <c r="G2018">
        <v>5600381.46</v>
      </c>
      <c r="H2018">
        <v>19242932.52</v>
      </c>
      <c r="I2018">
        <v>2.75</v>
      </c>
      <c r="J2018">
        <v>4.5999999999999996</v>
      </c>
      <c r="K2018" t="str">
        <f t="shared" si="31"/>
        <v>Apr 2023</v>
      </c>
    </row>
    <row r="2019" spans="1:11" x14ac:dyDescent="0.25">
      <c r="A2019" s="6">
        <v>44869</v>
      </c>
      <c r="B2019" t="s">
        <v>19</v>
      </c>
      <c r="C2019" t="s">
        <v>23</v>
      </c>
      <c r="D2019" t="s">
        <v>12</v>
      </c>
      <c r="E2019">
        <v>222</v>
      </c>
      <c r="F2019" s="3">
        <v>17298047.399999999</v>
      </c>
      <c r="G2019">
        <v>4588474.0599999996</v>
      </c>
      <c r="H2019">
        <v>12709573.35</v>
      </c>
      <c r="I2019">
        <v>3.95</v>
      </c>
      <c r="J2019">
        <v>3.96</v>
      </c>
      <c r="K2019" t="str">
        <f t="shared" si="31"/>
        <v>Nov 2022</v>
      </c>
    </row>
    <row r="2020" spans="1:11" x14ac:dyDescent="0.25">
      <c r="A2020" s="6">
        <v>44051</v>
      </c>
      <c r="B2020" t="s">
        <v>19</v>
      </c>
      <c r="C2020" t="s">
        <v>21</v>
      </c>
      <c r="D2020" t="s">
        <v>17</v>
      </c>
      <c r="E2020">
        <v>160</v>
      </c>
      <c r="F2020" s="3">
        <v>11030532.310000001</v>
      </c>
      <c r="G2020">
        <v>2537112.15</v>
      </c>
      <c r="H2020">
        <v>8493420.1600000001</v>
      </c>
      <c r="I2020">
        <v>1.38</v>
      </c>
      <c r="J2020">
        <v>3.69</v>
      </c>
      <c r="K2020" t="str">
        <f t="shared" si="31"/>
        <v>Aug 2020</v>
      </c>
    </row>
    <row r="2021" spans="1:11" x14ac:dyDescent="0.25">
      <c r="A2021" s="6">
        <v>44502</v>
      </c>
      <c r="B2021" t="s">
        <v>19</v>
      </c>
      <c r="C2021" t="s">
        <v>20</v>
      </c>
      <c r="D2021" t="s">
        <v>12</v>
      </c>
      <c r="E2021">
        <v>347</v>
      </c>
      <c r="F2021" s="3">
        <v>22137210.920000002</v>
      </c>
      <c r="G2021">
        <v>7605183.5999999996</v>
      </c>
      <c r="H2021">
        <v>14532027.32</v>
      </c>
      <c r="I2021">
        <v>1.84</v>
      </c>
      <c r="J2021">
        <v>3.92</v>
      </c>
      <c r="K2021" t="str">
        <f t="shared" si="31"/>
        <v>Nov 2021</v>
      </c>
    </row>
    <row r="2022" spans="1:11" x14ac:dyDescent="0.25">
      <c r="A2022" s="6">
        <v>45624</v>
      </c>
      <c r="B2022" t="s">
        <v>19</v>
      </c>
      <c r="C2022" t="s">
        <v>23</v>
      </c>
      <c r="D2022" t="s">
        <v>12</v>
      </c>
      <c r="E2022">
        <v>186</v>
      </c>
      <c r="F2022" s="3">
        <v>7390108.9699999997</v>
      </c>
      <c r="G2022">
        <v>2871756.56</v>
      </c>
      <c r="H2022">
        <v>4518352.4000000004</v>
      </c>
      <c r="I2022">
        <v>0.97</v>
      </c>
      <c r="J2022">
        <v>4.38</v>
      </c>
      <c r="K2022" t="str">
        <f t="shared" si="31"/>
        <v>Nov 2024</v>
      </c>
    </row>
    <row r="2023" spans="1:11" x14ac:dyDescent="0.25">
      <c r="A2023" s="6">
        <v>45583</v>
      </c>
      <c r="B2023" t="s">
        <v>19</v>
      </c>
      <c r="C2023" t="s">
        <v>20</v>
      </c>
      <c r="D2023" t="s">
        <v>12</v>
      </c>
      <c r="E2023">
        <v>488</v>
      </c>
      <c r="F2023" s="3">
        <v>23353602.859999999</v>
      </c>
      <c r="G2023">
        <v>6362576.3399999999</v>
      </c>
      <c r="H2023">
        <v>16991026.52</v>
      </c>
      <c r="I2023">
        <v>4.1900000000000004</v>
      </c>
      <c r="J2023">
        <v>3.56</v>
      </c>
      <c r="K2023" t="str">
        <f t="shared" si="31"/>
        <v>Oct 2024</v>
      </c>
    </row>
    <row r="2024" spans="1:11" x14ac:dyDescent="0.25">
      <c r="A2024" s="6">
        <v>45166</v>
      </c>
      <c r="B2024" t="s">
        <v>19</v>
      </c>
      <c r="C2024" t="s">
        <v>20</v>
      </c>
      <c r="D2024" t="s">
        <v>12</v>
      </c>
      <c r="E2024">
        <v>476</v>
      </c>
      <c r="F2024" s="3">
        <v>23775370.989999998</v>
      </c>
      <c r="G2024">
        <v>7612080.6699999999</v>
      </c>
      <c r="H2024">
        <v>16163290.32</v>
      </c>
      <c r="I2024">
        <v>3.19</v>
      </c>
      <c r="J2024">
        <v>4.4800000000000004</v>
      </c>
      <c r="K2024" t="str">
        <f t="shared" si="31"/>
        <v>Aug 2023</v>
      </c>
    </row>
    <row r="2025" spans="1:11" x14ac:dyDescent="0.25">
      <c r="A2025" s="6">
        <v>44036</v>
      </c>
      <c r="B2025" t="s">
        <v>19</v>
      </c>
      <c r="C2025" t="s">
        <v>24</v>
      </c>
      <c r="D2025" t="s">
        <v>12</v>
      </c>
      <c r="E2025">
        <v>269</v>
      </c>
      <c r="F2025" s="3">
        <v>22699952.670000002</v>
      </c>
      <c r="G2025">
        <v>5402931.8700000001</v>
      </c>
      <c r="H2025">
        <v>17297020.800000001</v>
      </c>
      <c r="I2025">
        <v>3.12</v>
      </c>
      <c r="J2025">
        <v>4.5999999999999996</v>
      </c>
      <c r="K2025" t="str">
        <f t="shared" si="31"/>
        <v>Jul 2020</v>
      </c>
    </row>
    <row r="2026" spans="1:11" x14ac:dyDescent="0.25">
      <c r="A2026" s="6">
        <v>44452</v>
      </c>
      <c r="B2026" t="s">
        <v>19</v>
      </c>
      <c r="C2026" t="s">
        <v>21</v>
      </c>
      <c r="D2026" t="s">
        <v>17</v>
      </c>
      <c r="E2026">
        <v>425</v>
      </c>
      <c r="F2026" s="3">
        <v>16619673.33</v>
      </c>
      <c r="G2026">
        <v>3630616.06</v>
      </c>
      <c r="H2026">
        <v>12989057.27</v>
      </c>
      <c r="I2026">
        <v>4.9800000000000004</v>
      </c>
      <c r="J2026">
        <v>4.55</v>
      </c>
      <c r="K2026" t="str">
        <f t="shared" si="31"/>
        <v>Sep 2021</v>
      </c>
    </row>
    <row r="2027" spans="1:11" x14ac:dyDescent="0.25">
      <c r="A2027" s="6">
        <v>44851</v>
      </c>
      <c r="B2027" t="s">
        <v>19</v>
      </c>
      <c r="C2027" t="s">
        <v>24</v>
      </c>
      <c r="D2027" t="s">
        <v>12</v>
      </c>
      <c r="E2027">
        <v>407</v>
      </c>
      <c r="F2027" s="3">
        <v>26701460.91</v>
      </c>
      <c r="G2027">
        <v>8765440.3300000001</v>
      </c>
      <c r="H2027">
        <v>17936020.57</v>
      </c>
      <c r="I2027">
        <v>4.5999999999999996</v>
      </c>
      <c r="J2027">
        <v>3.53</v>
      </c>
      <c r="K2027" t="str">
        <f t="shared" si="31"/>
        <v>Oct 2022</v>
      </c>
    </row>
    <row r="2028" spans="1:11" x14ac:dyDescent="0.25">
      <c r="A2028" s="6">
        <v>44367</v>
      </c>
      <c r="B2028" t="s">
        <v>19</v>
      </c>
      <c r="C2028" t="s">
        <v>23</v>
      </c>
      <c r="D2028" t="s">
        <v>12</v>
      </c>
      <c r="E2028">
        <v>137</v>
      </c>
      <c r="F2028" s="3">
        <v>11758151.640000001</v>
      </c>
      <c r="G2028">
        <v>2409997.85</v>
      </c>
      <c r="H2028">
        <v>9348153.7899999991</v>
      </c>
      <c r="I2028">
        <v>4.25</v>
      </c>
      <c r="J2028">
        <v>3.95</v>
      </c>
      <c r="K2028" t="str">
        <f t="shared" si="31"/>
        <v>Jun 2021</v>
      </c>
    </row>
    <row r="2029" spans="1:11" x14ac:dyDescent="0.25">
      <c r="A2029" s="6">
        <v>44864</v>
      </c>
      <c r="B2029" t="s">
        <v>19</v>
      </c>
      <c r="C2029" t="s">
        <v>24</v>
      </c>
      <c r="D2029" t="s">
        <v>12</v>
      </c>
      <c r="E2029">
        <v>165</v>
      </c>
      <c r="F2029" s="3">
        <v>11906640.84</v>
      </c>
      <c r="G2029">
        <v>3819799.87</v>
      </c>
      <c r="H2029">
        <v>8086840.9699999997</v>
      </c>
      <c r="I2029">
        <v>3.9</v>
      </c>
      <c r="J2029">
        <v>4.18</v>
      </c>
      <c r="K2029" t="str">
        <f t="shared" si="31"/>
        <v>Oct 2022</v>
      </c>
    </row>
    <row r="2030" spans="1:11" x14ac:dyDescent="0.25">
      <c r="A2030" s="6">
        <v>44501</v>
      </c>
      <c r="B2030" t="s">
        <v>19</v>
      </c>
      <c r="C2030" t="s">
        <v>23</v>
      </c>
      <c r="D2030" t="s">
        <v>12</v>
      </c>
      <c r="E2030">
        <v>60</v>
      </c>
      <c r="F2030" s="3">
        <v>3321080.93</v>
      </c>
      <c r="G2030">
        <v>962800.11</v>
      </c>
      <c r="H2030">
        <v>2358280.8199999998</v>
      </c>
      <c r="I2030">
        <v>4.0599999999999996</v>
      </c>
      <c r="J2030">
        <v>3.98</v>
      </c>
      <c r="K2030" t="str">
        <f t="shared" si="31"/>
        <v>Nov 2021</v>
      </c>
    </row>
    <row r="2031" spans="1:11" x14ac:dyDescent="0.25">
      <c r="A2031" s="6">
        <v>45602</v>
      </c>
      <c r="B2031" t="s">
        <v>19</v>
      </c>
      <c r="C2031" t="s">
        <v>24</v>
      </c>
      <c r="D2031" t="s">
        <v>14</v>
      </c>
      <c r="E2031">
        <v>284</v>
      </c>
      <c r="F2031" s="3">
        <v>25080806.710000001</v>
      </c>
      <c r="G2031">
        <v>8137020.2300000004</v>
      </c>
      <c r="H2031">
        <v>16943786.48</v>
      </c>
      <c r="I2031">
        <v>0.78</v>
      </c>
      <c r="J2031">
        <v>4.01</v>
      </c>
      <c r="K2031" t="str">
        <f t="shared" si="31"/>
        <v>Nov 2024</v>
      </c>
    </row>
    <row r="2032" spans="1:11" x14ac:dyDescent="0.25">
      <c r="A2032" s="6">
        <v>43947</v>
      </c>
      <c r="B2032" t="s">
        <v>19</v>
      </c>
      <c r="C2032" t="s">
        <v>23</v>
      </c>
      <c r="D2032" t="s">
        <v>14</v>
      </c>
      <c r="E2032">
        <v>213</v>
      </c>
      <c r="F2032" s="3">
        <v>9400305.2899999991</v>
      </c>
      <c r="G2032">
        <v>3645241.61</v>
      </c>
      <c r="H2032">
        <v>5755063.6799999997</v>
      </c>
      <c r="I2032">
        <v>2.75</v>
      </c>
      <c r="J2032">
        <v>3.66</v>
      </c>
      <c r="K2032" t="str">
        <f t="shared" si="31"/>
        <v>Apr 2020</v>
      </c>
    </row>
    <row r="2033" spans="1:11" x14ac:dyDescent="0.25">
      <c r="A2033" s="6">
        <v>45131</v>
      </c>
      <c r="B2033" t="s">
        <v>19</v>
      </c>
      <c r="C2033" t="s">
        <v>20</v>
      </c>
      <c r="D2033" t="s">
        <v>17</v>
      </c>
      <c r="E2033">
        <v>287</v>
      </c>
      <c r="F2033" s="3">
        <v>15644390.27</v>
      </c>
      <c r="G2033">
        <v>5004001.63</v>
      </c>
      <c r="H2033">
        <v>10640388.630000001</v>
      </c>
      <c r="I2033">
        <v>1.02</v>
      </c>
      <c r="J2033">
        <v>4.82</v>
      </c>
      <c r="K2033" t="str">
        <f t="shared" si="31"/>
        <v>Jul 2023</v>
      </c>
    </row>
    <row r="2034" spans="1:11" x14ac:dyDescent="0.25">
      <c r="A2034" s="6">
        <v>44965</v>
      </c>
      <c r="B2034" t="s">
        <v>19</v>
      </c>
      <c r="C2034" t="s">
        <v>24</v>
      </c>
      <c r="D2034" t="s">
        <v>17</v>
      </c>
      <c r="E2034">
        <v>484</v>
      </c>
      <c r="F2034" s="3">
        <v>16944965.379999999</v>
      </c>
      <c r="G2034">
        <v>4697214.03</v>
      </c>
      <c r="H2034">
        <v>12247751.35</v>
      </c>
      <c r="I2034">
        <v>3.27</v>
      </c>
      <c r="J2034">
        <v>4.1900000000000004</v>
      </c>
      <c r="K2034" t="str">
        <f t="shared" si="31"/>
        <v>Feb 2023</v>
      </c>
    </row>
    <row r="2035" spans="1:11" x14ac:dyDescent="0.25">
      <c r="A2035" s="6">
        <v>44827</v>
      </c>
      <c r="B2035" t="s">
        <v>19</v>
      </c>
      <c r="C2035" t="s">
        <v>23</v>
      </c>
      <c r="D2035" t="s">
        <v>14</v>
      </c>
      <c r="E2035">
        <v>471</v>
      </c>
      <c r="F2035" s="3">
        <v>28281700.120000001</v>
      </c>
      <c r="G2035">
        <v>8965522.7300000004</v>
      </c>
      <c r="H2035">
        <v>19316177.399999999</v>
      </c>
      <c r="I2035">
        <v>3.79</v>
      </c>
      <c r="J2035">
        <v>3.7</v>
      </c>
      <c r="K2035" t="str">
        <f t="shared" si="31"/>
        <v>Sep 2022</v>
      </c>
    </row>
    <row r="2036" spans="1:11" x14ac:dyDescent="0.25">
      <c r="A2036" s="6">
        <v>43858</v>
      </c>
      <c r="B2036" t="s">
        <v>19</v>
      </c>
      <c r="C2036" t="s">
        <v>20</v>
      </c>
      <c r="D2036" t="s">
        <v>17</v>
      </c>
      <c r="E2036">
        <v>218</v>
      </c>
      <c r="F2036" s="3">
        <v>9794413.5600000005</v>
      </c>
      <c r="G2036">
        <v>3403616.33</v>
      </c>
      <c r="H2036">
        <v>6390797.2300000004</v>
      </c>
      <c r="I2036">
        <v>2.86</v>
      </c>
      <c r="J2036">
        <v>3.67</v>
      </c>
      <c r="K2036" t="str">
        <f t="shared" si="31"/>
        <v>Jan 2020</v>
      </c>
    </row>
    <row r="2037" spans="1:11" x14ac:dyDescent="0.25">
      <c r="A2037" s="6">
        <v>45546</v>
      </c>
      <c r="B2037" t="s">
        <v>19</v>
      </c>
      <c r="C2037" t="s">
        <v>24</v>
      </c>
      <c r="D2037" t="s">
        <v>17</v>
      </c>
      <c r="E2037">
        <v>357</v>
      </c>
      <c r="F2037" s="3">
        <v>18333693.670000002</v>
      </c>
      <c r="G2037">
        <v>6737493.1299999999</v>
      </c>
      <c r="H2037">
        <v>11596200.529999999</v>
      </c>
      <c r="I2037">
        <v>3.54</v>
      </c>
      <c r="J2037">
        <v>3.56</v>
      </c>
      <c r="K2037" t="str">
        <f t="shared" si="31"/>
        <v>Sep 2024</v>
      </c>
    </row>
    <row r="2038" spans="1:11" x14ac:dyDescent="0.25">
      <c r="A2038" s="6">
        <v>44720</v>
      </c>
      <c r="B2038" t="s">
        <v>19</v>
      </c>
      <c r="C2038" t="s">
        <v>21</v>
      </c>
      <c r="D2038" t="s">
        <v>14</v>
      </c>
      <c r="E2038">
        <v>181</v>
      </c>
      <c r="F2038" s="3">
        <v>8413911.9600000009</v>
      </c>
      <c r="G2038">
        <v>3267012.12</v>
      </c>
      <c r="H2038">
        <v>5146899.84</v>
      </c>
      <c r="I2038">
        <v>2.99</v>
      </c>
      <c r="J2038">
        <v>4.3899999999999997</v>
      </c>
      <c r="K2038" t="str">
        <f t="shared" si="31"/>
        <v>Jun 2022</v>
      </c>
    </row>
    <row r="2039" spans="1:11" x14ac:dyDescent="0.25">
      <c r="A2039" s="6">
        <v>43891</v>
      </c>
      <c r="B2039" t="s">
        <v>19</v>
      </c>
      <c r="C2039" t="s">
        <v>23</v>
      </c>
      <c r="D2039" t="s">
        <v>17</v>
      </c>
      <c r="E2039">
        <v>238</v>
      </c>
      <c r="F2039" s="3">
        <v>15882689.310000001</v>
      </c>
      <c r="G2039">
        <v>5255642.71</v>
      </c>
      <c r="H2039">
        <v>10627046.6</v>
      </c>
      <c r="I2039">
        <v>4.1100000000000003</v>
      </c>
      <c r="J2039">
        <v>4.3099999999999996</v>
      </c>
      <c r="K2039" t="str">
        <f t="shared" si="31"/>
        <v>Mar 2020</v>
      </c>
    </row>
    <row r="2040" spans="1:11" x14ac:dyDescent="0.25">
      <c r="A2040" s="6">
        <v>44246</v>
      </c>
      <c r="B2040" t="s">
        <v>19</v>
      </c>
      <c r="C2040" t="s">
        <v>22</v>
      </c>
      <c r="D2040" t="s">
        <v>14</v>
      </c>
      <c r="E2040">
        <v>172</v>
      </c>
      <c r="F2040" s="3">
        <v>12437587.24</v>
      </c>
      <c r="G2040">
        <v>3500506.84</v>
      </c>
      <c r="H2040">
        <v>8937080.4000000004</v>
      </c>
      <c r="I2040">
        <v>1.17</v>
      </c>
      <c r="J2040">
        <v>3.76</v>
      </c>
      <c r="K2040" t="str">
        <f t="shared" si="31"/>
        <v>Feb 2021</v>
      </c>
    </row>
    <row r="2041" spans="1:11" x14ac:dyDescent="0.25">
      <c r="A2041" s="6">
        <v>44515</v>
      </c>
      <c r="B2041" t="s">
        <v>19</v>
      </c>
      <c r="C2041" t="s">
        <v>24</v>
      </c>
      <c r="D2041" t="s">
        <v>12</v>
      </c>
      <c r="E2041">
        <v>462</v>
      </c>
      <c r="F2041" s="3">
        <v>19815558.899999999</v>
      </c>
      <c r="G2041">
        <v>7326028.0300000003</v>
      </c>
      <c r="H2041">
        <v>12489530.869999999</v>
      </c>
      <c r="I2041">
        <v>2.4500000000000002</v>
      </c>
      <c r="J2041">
        <v>4.3899999999999997</v>
      </c>
      <c r="K2041" t="str">
        <f t="shared" si="31"/>
        <v>Nov 2021</v>
      </c>
    </row>
    <row r="2042" spans="1:11" x14ac:dyDescent="0.25">
      <c r="A2042" s="6">
        <v>44607</v>
      </c>
      <c r="B2042" t="s">
        <v>19</v>
      </c>
      <c r="C2042" t="s">
        <v>21</v>
      </c>
      <c r="D2042" t="s">
        <v>17</v>
      </c>
      <c r="E2042">
        <v>66</v>
      </c>
      <c r="F2042" s="3">
        <v>4210898.2</v>
      </c>
      <c r="G2042">
        <v>1415599.97</v>
      </c>
      <c r="H2042">
        <v>2795298.23</v>
      </c>
      <c r="I2042">
        <v>2.61</v>
      </c>
      <c r="J2042">
        <v>4.25</v>
      </c>
      <c r="K2042" t="str">
        <f t="shared" si="31"/>
        <v>Feb 2022</v>
      </c>
    </row>
    <row r="2043" spans="1:11" x14ac:dyDescent="0.25">
      <c r="A2043" s="6">
        <v>45321</v>
      </c>
      <c r="B2043" t="s">
        <v>19</v>
      </c>
      <c r="C2043" t="s">
        <v>21</v>
      </c>
      <c r="D2043" t="s">
        <v>12</v>
      </c>
      <c r="E2043">
        <v>79</v>
      </c>
      <c r="F2043" s="3">
        <v>3113411.46</v>
      </c>
      <c r="G2043">
        <v>948445.46</v>
      </c>
      <c r="H2043">
        <v>2164966</v>
      </c>
      <c r="I2043">
        <v>3.34</v>
      </c>
      <c r="J2043">
        <v>4.74</v>
      </c>
      <c r="K2043" t="str">
        <f t="shared" si="31"/>
        <v>Jan 2024</v>
      </c>
    </row>
    <row r="2044" spans="1:11" x14ac:dyDescent="0.25">
      <c r="A2044" s="6">
        <v>44798</v>
      </c>
      <c r="B2044" t="s">
        <v>19</v>
      </c>
      <c r="C2044" t="s">
        <v>22</v>
      </c>
      <c r="D2044" t="s">
        <v>12</v>
      </c>
      <c r="E2044">
        <v>67</v>
      </c>
      <c r="F2044" s="3">
        <v>3476192.86</v>
      </c>
      <c r="G2044">
        <v>1254768.55</v>
      </c>
      <c r="H2044">
        <v>2221424.31</v>
      </c>
      <c r="I2044">
        <v>3.55</v>
      </c>
      <c r="J2044">
        <v>3.98</v>
      </c>
      <c r="K2044" t="str">
        <f t="shared" si="31"/>
        <v>Aug 2022</v>
      </c>
    </row>
    <row r="2045" spans="1:11" x14ac:dyDescent="0.25">
      <c r="A2045" s="6">
        <v>45593</v>
      </c>
      <c r="B2045" t="s">
        <v>19</v>
      </c>
      <c r="C2045" t="s">
        <v>23</v>
      </c>
      <c r="D2045" t="s">
        <v>12</v>
      </c>
      <c r="E2045">
        <v>395</v>
      </c>
      <c r="F2045" s="3">
        <v>34918676.920000002</v>
      </c>
      <c r="G2045">
        <v>12730277.439999999</v>
      </c>
      <c r="H2045">
        <v>22188399.48</v>
      </c>
      <c r="I2045">
        <v>3.75</v>
      </c>
      <c r="J2045">
        <v>3.56</v>
      </c>
      <c r="K2045" t="str">
        <f t="shared" si="31"/>
        <v>Oct 2024</v>
      </c>
    </row>
    <row r="2046" spans="1:11" x14ac:dyDescent="0.25">
      <c r="A2046" s="6">
        <v>44277</v>
      </c>
      <c r="B2046" t="s">
        <v>19</v>
      </c>
      <c r="C2046" t="s">
        <v>21</v>
      </c>
      <c r="D2046" t="s">
        <v>14</v>
      </c>
      <c r="E2046">
        <v>135</v>
      </c>
      <c r="F2046" s="3">
        <v>8211176.0899999999</v>
      </c>
      <c r="G2046">
        <v>2590369.81</v>
      </c>
      <c r="H2046">
        <v>5620806.2800000003</v>
      </c>
      <c r="I2046">
        <v>4.9800000000000004</v>
      </c>
      <c r="J2046">
        <v>3.52</v>
      </c>
      <c r="K2046" t="str">
        <f t="shared" si="31"/>
        <v>Mar 2021</v>
      </c>
    </row>
    <row r="2047" spans="1:11" x14ac:dyDescent="0.25">
      <c r="A2047" s="6">
        <v>44465</v>
      </c>
      <c r="B2047" t="s">
        <v>19</v>
      </c>
      <c r="C2047" t="s">
        <v>23</v>
      </c>
      <c r="D2047" t="s">
        <v>17</v>
      </c>
      <c r="E2047">
        <v>475</v>
      </c>
      <c r="F2047" s="3">
        <v>29198386.48</v>
      </c>
      <c r="G2047">
        <v>6951113.6600000001</v>
      </c>
      <c r="H2047">
        <v>22247272.809999999</v>
      </c>
      <c r="I2047">
        <v>4.78</v>
      </c>
      <c r="J2047">
        <v>3.53</v>
      </c>
      <c r="K2047" t="str">
        <f t="shared" si="31"/>
        <v>Sep 2021</v>
      </c>
    </row>
    <row r="2048" spans="1:11" x14ac:dyDescent="0.25">
      <c r="A2048" s="6">
        <v>44304</v>
      </c>
      <c r="B2048" t="s">
        <v>19</v>
      </c>
      <c r="C2048" t="s">
        <v>21</v>
      </c>
      <c r="D2048" t="s">
        <v>12</v>
      </c>
      <c r="E2048">
        <v>442</v>
      </c>
      <c r="F2048" s="3">
        <v>36713900.170000002</v>
      </c>
      <c r="G2048">
        <v>14590785.130000001</v>
      </c>
      <c r="H2048">
        <v>22123115.039999999</v>
      </c>
      <c r="I2048">
        <v>1.52</v>
      </c>
      <c r="J2048">
        <v>4.3499999999999996</v>
      </c>
      <c r="K2048" t="str">
        <f t="shared" si="31"/>
        <v>Apr 2021</v>
      </c>
    </row>
    <row r="2049" spans="1:11" x14ac:dyDescent="0.25">
      <c r="A2049" s="6">
        <v>44894</v>
      </c>
      <c r="B2049" t="s">
        <v>19</v>
      </c>
      <c r="C2049" t="s">
        <v>20</v>
      </c>
      <c r="D2049" t="s">
        <v>17</v>
      </c>
      <c r="E2049">
        <v>166</v>
      </c>
      <c r="F2049" s="3">
        <v>9825881.9900000002</v>
      </c>
      <c r="G2049">
        <v>2664864.52</v>
      </c>
      <c r="H2049">
        <v>7161017.4699999997</v>
      </c>
      <c r="I2049">
        <v>2.21</v>
      </c>
      <c r="J2049">
        <v>3.58</v>
      </c>
      <c r="K2049" t="str">
        <f t="shared" si="31"/>
        <v>Nov 2022</v>
      </c>
    </row>
    <row r="2050" spans="1:11" x14ac:dyDescent="0.25">
      <c r="A2050" s="6">
        <v>44207</v>
      </c>
      <c r="B2050" t="s">
        <v>19</v>
      </c>
      <c r="C2050" t="s">
        <v>20</v>
      </c>
      <c r="D2050" t="s">
        <v>14</v>
      </c>
      <c r="E2050">
        <v>308</v>
      </c>
      <c r="F2050" s="3">
        <v>13986464.960000001</v>
      </c>
      <c r="G2050">
        <v>4309701.3600000003</v>
      </c>
      <c r="H2050">
        <v>9676763.5999999996</v>
      </c>
      <c r="I2050">
        <v>3.88</v>
      </c>
      <c r="J2050">
        <v>4.8600000000000003</v>
      </c>
      <c r="K2050" t="str">
        <f t="shared" ref="K2050:K2113" si="32">TEXT(A2050,"mmm yyyy")</f>
        <v>Jan 2021</v>
      </c>
    </row>
    <row r="2051" spans="1:11" x14ac:dyDescent="0.25">
      <c r="A2051" s="6">
        <v>44948</v>
      </c>
      <c r="B2051" t="s">
        <v>19</v>
      </c>
      <c r="C2051" t="s">
        <v>20</v>
      </c>
      <c r="D2051" t="s">
        <v>14</v>
      </c>
      <c r="E2051">
        <v>413</v>
      </c>
      <c r="F2051" s="3">
        <v>15553558.98</v>
      </c>
      <c r="G2051">
        <v>3669123.18</v>
      </c>
      <c r="H2051">
        <v>11884435.800000001</v>
      </c>
      <c r="I2051">
        <v>4.22</v>
      </c>
      <c r="J2051">
        <v>4.38</v>
      </c>
      <c r="K2051" t="str">
        <f t="shared" si="32"/>
        <v>Jan 2023</v>
      </c>
    </row>
    <row r="2052" spans="1:11" x14ac:dyDescent="0.25">
      <c r="A2052" s="6">
        <v>45036</v>
      </c>
      <c r="B2052" t="s">
        <v>19</v>
      </c>
      <c r="C2052" t="s">
        <v>20</v>
      </c>
      <c r="D2052" t="s">
        <v>12</v>
      </c>
      <c r="E2052">
        <v>418</v>
      </c>
      <c r="F2052" s="3">
        <v>26206545.100000001</v>
      </c>
      <c r="G2052">
        <v>10125637.6</v>
      </c>
      <c r="H2052">
        <v>16080907.51</v>
      </c>
      <c r="I2052">
        <v>1.48</v>
      </c>
      <c r="J2052">
        <v>4.9000000000000004</v>
      </c>
      <c r="K2052" t="str">
        <f t="shared" si="32"/>
        <v>Apr 2023</v>
      </c>
    </row>
    <row r="2053" spans="1:11" x14ac:dyDescent="0.25">
      <c r="A2053" s="6">
        <v>44699</v>
      </c>
      <c r="B2053" t="s">
        <v>19</v>
      </c>
      <c r="C2053" t="s">
        <v>20</v>
      </c>
      <c r="D2053" t="s">
        <v>14</v>
      </c>
      <c r="E2053">
        <v>475</v>
      </c>
      <c r="F2053" s="3">
        <v>37117592.990000002</v>
      </c>
      <c r="G2053">
        <v>10403593.68</v>
      </c>
      <c r="H2053">
        <v>26713999.300000001</v>
      </c>
      <c r="I2053">
        <v>2.36</v>
      </c>
      <c r="J2053">
        <v>4.9400000000000004</v>
      </c>
      <c r="K2053" t="str">
        <f t="shared" si="32"/>
        <v>May 2022</v>
      </c>
    </row>
    <row r="2054" spans="1:11" x14ac:dyDescent="0.25">
      <c r="A2054" s="6">
        <v>45562</v>
      </c>
      <c r="B2054" t="s">
        <v>19</v>
      </c>
      <c r="C2054" t="s">
        <v>23</v>
      </c>
      <c r="D2054" t="s">
        <v>14</v>
      </c>
      <c r="E2054">
        <v>447</v>
      </c>
      <c r="F2054" s="3">
        <v>19692389.91</v>
      </c>
      <c r="G2054">
        <v>6241995.5300000003</v>
      </c>
      <c r="H2054">
        <v>13450394.380000001</v>
      </c>
      <c r="I2054">
        <v>0.56000000000000005</v>
      </c>
      <c r="J2054">
        <v>4.22</v>
      </c>
      <c r="K2054" t="str">
        <f t="shared" si="32"/>
        <v>Sep 2024</v>
      </c>
    </row>
    <row r="2055" spans="1:11" x14ac:dyDescent="0.25">
      <c r="A2055" s="6">
        <v>45543</v>
      </c>
      <c r="B2055" t="s">
        <v>19</v>
      </c>
      <c r="C2055" t="s">
        <v>22</v>
      </c>
      <c r="D2055" t="s">
        <v>14</v>
      </c>
      <c r="E2055">
        <v>491</v>
      </c>
      <c r="F2055" s="3">
        <v>22176560.940000001</v>
      </c>
      <c r="G2055">
        <v>8606337</v>
      </c>
      <c r="H2055">
        <v>13570223.939999999</v>
      </c>
      <c r="I2055">
        <v>3.22</v>
      </c>
      <c r="J2055">
        <v>4.6500000000000004</v>
      </c>
      <c r="K2055" t="str">
        <f t="shared" si="32"/>
        <v>Sep 2024</v>
      </c>
    </row>
    <row r="2056" spans="1:11" x14ac:dyDescent="0.25">
      <c r="A2056" s="6">
        <v>44194</v>
      </c>
      <c r="B2056" t="s">
        <v>19</v>
      </c>
      <c r="C2056" t="s">
        <v>23</v>
      </c>
      <c r="D2056" t="s">
        <v>12</v>
      </c>
      <c r="E2056">
        <v>492</v>
      </c>
      <c r="F2056" s="3">
        <v>23356467.239999998</v>
      </c>
      <c r="G2056">
        <v>6229067.1500000004</v>
      </c>
      <c r="H2056">
        <v>17127400.09</v>
      </c>
      <c r="I2056">
        <v>0.86</v>
      </c>
      <c r="J2056">
        <v>4.16</v>
      </c>
      <c r="K2056" t="str">
        <f t="shared" si="32"/>
        <v>Dec 2020</v>
      </c>
    </row>
    <row r="2057" spans="1:11" x14ac:dyDescent="0.25">
      <c r="A2057" s="6">
        <v>44041</v>
      </c>
      <c r="B2057" t="s">
        <v>19</v>
      </c>
      <c r="C2057" t="s">
        <v>23</v>
      </c>
      <c r="D2057" t="s">
        <v>14</v>
      </c>
      <c r="E2057">
        <v>416</v>
      </c>
      <c r="F2057" s="3">
        <v>17830944.879999999</v>
      </c>
      <c r="G2057">
        <v>4485218.92</v>
      </c>
      <c r="H2057">
        <v>13345725.960000001</v>
      </c>
      <c r="I2057">
        <v>1.6</v>
      </c>
      <c r="J2057">
        <v>4.4000000000000004</v>
      </c>
      <c r="K2057" t="str">
        <f t="shared" si="32"/>
        <v>Jul 2020</v>
      </c>
    </row>
    <row r="2058" spans="1:11" x14ac:dyDescent="0.25">
      <c r="A2058" s="6">
        <v>45481</v>
      </c>
      <c r="B2058" t="s">
        <v>19</v>
      </c>
      <c r="C2058" t="s">
        <v>21</v>
      </c>
      <c r="D2058" t="s">
        <v>12</v>
      </c>
      <c r="E2058">
        <v>445</v>
      </c>
      <c r="F2058" s="3">
        <v>25310994.469999999</v>
      </c>
      <c r="G2058">
        <v>7534032.9100000001</v>
      </c>
      <c r="H2058">
        <v>17776961.550000001</v>
      </c>
      <c r="I2058">
        <v>2.67</v>
      </c>
      <c r="J2058">
        <v>4.07</v>
      </c>
      <c r="K2058" t="str">
        <f t="shared" si="32"/>
        <v>Jul 2024</v>
      </c>
    </row>
    <row r="2059" spans="1:11" x14ac:dyDescent="0.25">
      <c r="A2059" s="6">
        <v>43864</v>
      </c>
      <c r="B2059" t="s">
        <v>19</v>
      </c>
      <c r="C2059" t="s">
        <v>21</v>
      </c>
      <c r="D2059" t="s">
        <v>14</v>
      </c>
      <c r="E2059">
        <v>171</v>
      </c>
      <c r="F2059" s="3">
        <v>7351797.54</v>
      </c>
      <c r="G2059">
        <v>2197163</v>
      </c>
      <c r="H2059">
        <v>5154634.54</v>
      </c>
      <c r="I2059">
        <v>0.78</v>
      </c>
      <c r="J2059">
        <v>3.61</v>
      </c>
      <c r="K2059" t="str">
        <f t="shared" si="32"/>
        <v>Feb 2020</v>
      </c>
    </row>
    <row r="2060" spans="1:11" x14ac:dyDescent="0.25">
      <c r="A2060" s="6">
        <v>45593</v>
      </c>
      <c r="B2060" t="s">
        <v>19</v>
      </c>
      <c r="C2060" t="s">
        <v>24</v>
      </c>
      <c r="D2060" t="s">
        <v>17</v>
      </c>
      <c r="E2060">
        <v>392</v>
      </c>
      <c r="F2060" s="3">
        <v>24940889.149999999</v>
      </c>
      <c r="G2060">
        <v>5015203.83</v>
      </c>
      <c r="H2060">
        <v>19925685.32</v>
      </c>
      <c r="I2060">
        <v>1.41</v>
      </c>
      <c r="J2060">
        <v>3.89</v>
      </c>
      <c r="K2060" t="str">
        <f t="shared" si="32"/>
        <v>Oct 2024</v>
      </c>
    </row>
    <row r="2061" spans="1:11" x14ac:dyDescent="0.25">
      <c r="A2061" s="6">
        <v>43832</v>
      </c>
      <c r="B2061" t="s">
        <v>19</v>
      </c>
      <c r="C2061" t="s">
        <v>23</v>
      </c>
      <c r="D2061" t="s">
        <v>14</v>
      </c>
      <c r="E2061">
        <v>376</v>
      </c>
      <c r="F2061" s="3">
        <v>15186798.92</v>
      </c>
      <c r="G2061">
        <v>5940875.6900000004</v>
      </c>
      <c r="H2061">
        <v>9245923.2300000004</v>
      </c>
      <c r="I2061">
        <v>1.33</v>
      </c>
      <c r="J2061">
        <v>4.3099999999999996</v>
      </c>
      <c r="K2061" t="str">
        <f t="shared" si="32"/>
        <v>Jan 2020</v>
      </c>
    </row>
    <row r="2062" spans="1:11" x14ac:dyDescent="0.25">
      <c r="A2062" s="6">
        <v>45363</v>
      </c>
      <c r="B2062" t="s">
        <v>19</v>
      </c>
      <c r="C2062" t="s">
        <v>23</v>
      </c>
      <c r="D2062" t="s">
        <v>14</v>
      </c>
      <c r="E2062">
        <v>477</v>
      </c>
      <c r="F2062" s="3">
        <v>17890926.620000001</v>
      </c>
      <c r="G2062">
        <v>3771511.49</v>
      </c>
      <c r="H2062">
        <v>14119415.130000001</v>
      </c>
      <c r="I2062">
        <v>4.29</v>
      </c>
      <c r="J2062">
        <v>3.94</v>
      </c>
      <c r="K2062" t="str">
        <f t="shared" si="32"/>
        <v>Mar 2024</v>
      </c>
    </row>
    <row r="2063" spans="1:11" x14ac:dyDescent="0.25">
      <c r="A2063" s="6">
        <v>43894</v>
      </c>
      <c r="B2063" t="s">
        <v>19</v>
      </c>
      <c r="C2063" t="s">
        <v>24</v>
      </c>
      <c r="D2063" t="s">
        <v>14</v>
      </c>
      <c r="E2063">
        <v>355</v>
      </c>
      <c r="F2063" s="3">
        <v>15742045.1</v>
      </c>
      <c r="G2063">
        <v>5897145.0999999996</v>
      </c>
      <c r="H2063">
        <v>9844900</v>
      </c>
      <c r="I2063">
        <v>1.05</v>
      </c>
      <c r="J2063">
        <v>4.28</v>
      </c>
      <c r="K2063" t="str">
        <f t="shared" si="32"/>
        <v>Mar 2020</v>
      </c>
    </row>
    <row r="2064" spans="1:11" x14ac:dyDescent="0.25">
      <c r="A2064" s="6">
        <v>45306</v>
      </c>
      <c r="B2064" t="s">
        <v>19</v>
      </c>
      <c r="C2064" t="s">
        <v>23</v>
      </c>
      <c r="D2064" t="s">
        <v>14</v>
      </c>
      <c r="E2064">
        <v>474</v>
      </c>
      <c r="F2064" s="3">
        <v>20919571.399999999</v>
      </c>
      <c r="G2064">
        <v>8120534.8700000001</v>
      </c>
      <c r="H2064">
        <v>12799036.529999999</v>
      </c>
      <c r="I2064">
        <v>3.61</v>
      </c>
      <c r="J2064">
        <v>4.59</v>
      </c>
      <c r="K2064" t="str">
        <f t="shared" si="32"/>
        <v>Jan 2024</v>
      </c>
    </row>
    <row r="2065" spans="1:11" x14ac:dyDescent="0.25">
      <c r="A2065" s="6">
        <v>45331</v>
      </c>
      <c r="B2065" t="s">
        <v>19</v>
      </c>
      <c r="C2065" t="s">
        <v>22</v>
      </c>
      <c r="D2065" t="s">
        <v>12</v>
      </c>
      <c r="E2065">
        <v>74</v>
      </c>
      <c r="F2065" s="3">
        <v>3170205.18</v>
      </c>
      <c r="G2065">
        <v>1025789.96</v>
      </c>
      <c r="H2065">
        <v>2144415.2200000002</v>
      </c>
      <c r="I2065">
        <v>3</v>
      </c>
      <c r="J2065">
        <v>3.62</v>
      </c>
      <c r="K2065" t="str">
        <f t="shared" si="32"/>
        <v>Feb 2024</v>
      </c>
    </row>
    <row r="2066" spans="1:11" x14ac:dyDescent="0.25">
      <c r="A2066" s="6">
        <v>44850</v>
      </c>
      <c r="B2066" t="s">
        <v>19</v>
      </c>
      <c r="C2066" t="s">
        <v>22</v>
      </c>
      <c r="D2066" t="s">
        <v>14</v>
      </c>
      <c r="E2066">
        <v>493</v>
      </c>
      <c r="F2066" s="3">
        <v>21861095.399999999</v>
      </c>
      <c r="G2066">
        <v>8502147.75</v>
      </c>
      <c r="H2066">
        <v>13358947.640000001</v>
      </c>
      <c r="I2066">
        <v>1.99</v>
      </c>
      <c r="J2066">
        <v>4.6500000000000004</v>
      </c>
      <c r="K2066" t="str">
        <f t="shared" si="32"/>
        <v>Oct 2022</v>
      </c>
    </row>
    <row r="2067" spans="1:11" x14ac:dyDescent="0.25">
      <c r="A2067" s="6">
        <v>45223</v>
      </c>
      <c r="B2067" t="s">
        <v>19</v>
      </c>
      <c r="C2067" t="s">
        <v>20</v>
      </c>
      <c r="D2067" t="s">
        <v>12</v>
      </c>
      <c r="E2067">
        <v>186</v>
      </c>
      <c r="F2067" s="3">
        <v>10759981.9</v>
      </c>
      <c r="G2067">
        <v>4252333.99</v>
      </c>
      <c r="H2067">
        <v>6507647.9100000001</v>
      </c>
      <c r="I2067">
        <v>2.0099999999999998</v>
      </c>
      <c r="J2067">
        <v>3.77</v>
      </c>
      <c r="K2067" t="str">
        <f t="shared" si="32"/>
        <v>Oct 2023</v>
      </c>
    </row>
    <row r="2068" spans="1:11" x14ac:dyDescent="0.25">
      <c r="A2068" s="6">
        <v>45575</v>
      </c>
      <c r="B2068" t="s">
        <v>19</v>
      </c>
      <c r="C2068" t="s">
        <v>22</v>
      </c>
      <c r="D2068" t="s">
        <v>17</v>
      </c>
      <c r="E2068">
        <v>372</v>
      </c>
      <c r="F2068" s="3">
        <v>32821244.010000002</v>
      </c>
      <c r="G2068">
        <v>9519052.3300000001</v>
      </c>
      <c r="H2068">
        <v>23302191.68</v>
      </c>
      <c r="I2068">
        <v>4.83</v>
      </c>
      <c r="J2068">
        <v>3.67</v>
      </c>
      <c r="K2068" t="str">
        <f t="shared" si="32"/>
        <v>Oct 2024</v>
      </c>
    </row>
    <row r="2069" spans="1:11" x14ac:dyDescent="0.25">
      <c r="A2069" s="6">
        <v>44715</v>
      </c>
      <c r="B2069" t="s">
        <v>19</v>
      </c>
      <c r="C2069" t="s">
        <v>23</v>
      </c>
      <c r="D2069" t="s">
        <v>17</v>
      </c>
      <c r="E2069">
        <v>478</v>
      </c>
      <c r="F2069" s="3">
        <v>22958731.800000001</v>
      </c>
      <c r="G2069">
        <v>8738250.9499999993</v>
      </c>
      <c r="H2069">
        <v>14220480.85</v>
      </c>
      <c r="I2069">
        <v>1.31</v>
      </c>
      <c r="J2069">
        <v>4.7</v>
      </c>
      <c r="K2069" t="str">
        <f t="shared" si="32"/>
        <v>Jun 2022</v>
      </c>
    </row>
    <row r="2070" spans="1:11" x14ac:dyDescent="0.25">
      <c r="A2070" s="6">
        <v>44226</v>
      </c>
      <c r="B2070" t="s">
        <v>19</v>
      </c>
      <c r="C2070" t="s">
        <v>23</v>
      </c>
      <c r="D2070" t="s">
        <v>12</v>
      </c>
      <c r="E2070">
        <v>115</v>
      </c>
      <c r="F2070" s="3">
        <v>7742183.6399999997</v>
      </c>
      <c r="G2070">
        <v>2922884.17</v>
      </c>
      <c r="H2070">
        <v>4819299.4800000004</v>
      </c>
      <c r="I2070">
        <v>1.99</v>
      </c>
      <c r="J2070">
        <v>4.67</v>
      </c>
      <c r="K2070" t="str">
        <f t="shared" si="32"/>
        <v>Jan 2021</v>
      </c>
    </row>
    <row r="2071" spans="1:11" x14ac:dyDescent="0.25">
      <c r="A2071" s="6">
        <v>44382</v>
      </c>
      <c r="B2071" t="s">
        <v>19</v>
      </c>
      <c r="C2071" t="s">
        <v>21</v>
      </c>
      <c r="D2071" t="s">
        <v>14</v>
      </c>
      <c r="E2071">
        <v>163</v>
      </c>
      <c r="F2071" s="3">
        <v>11332737.640000001</v>
      </c>
      <c r="G2071">
        <v>3065600.86</v>
      </c>
      <c r="H2071">
        <v>8267136.7800000003</v>
      </c>
      <c r="I2071">
        <v>4.3</v>
      </c>
      <c r="J2071">
        <v>3.99</v>
      </c>
      <c r="K2071" t="str">
        <f t="shared" si="32"/>
        <v>Jul 2021</v>
      </c>
    </row>
    <row r="2072" spans="1:11" x14ac:dyDescent="0.25">
      <c r="A2072" s="6">
        <v>44535</v>
      </c>
      <c r="B2072" t="s">
        <v>19</v>
      </c>
      <c r="C2072" t="s">
        <v>20</v>
      </c>
      <c r="D2072" t="s">
        <v>12</v>
      </c>
      <c r="E2072">
        <v>75</v>
      </c>
      <c r="F2072" s="3">
        <v>6231517.75</v>
      </c>
      <c r="G2072">
        <v>1457399.01</v>
      </c>
      <c r="H2072">
        <v>4774118.75</v>
      </c>
      <c r="I2072">
        <v>1.51</v>
      </c>
      <c r="J2072">
        <v>4.0999999999999996</v>
      </c>
      <c r="K2072" t="str">
        <f t="shared" si="32"/>
        <v>Dec 2021</v>
      </c>
    </row>
    <row r="2073" spans="1:11" x14ac:dyDescent="0.25">
      <c r="A2073" s="6">
        <v>44418</v>
      </c>
      <c r="B2073" t="s">
        <v>19</v>
      </c>
      <c r="C2073" t="s">
        <v>24</v>
      </c>
      <c r="D2073" t="s">
        <v>17</v>
      </c>
      <c r="E2073">
        <v>100</v>
      </c>
      <c r="F2073" s="3">
        <v>7568255.9400000004</v>
      </c>
      <c r="G2073">
        <v>2100530.44</v>
      </c>
      <c r="H2073">
        <v>5467725.5</v>
      </c>
      <c r="I2073">
        <v>0.57999999999999996</v>
      </c>
      <c r="J2073">
        <v>3.79</v>
      </c>
      <c r="K2073" t="str">
        <f t="shared" si="32"/>
        <v>Aug 2021</v>
      </c>
    </row>
    <row r="2074" spans="1:11" x14ac:dyDescent="0.25">
      <c r="A2074" s="6">
        <v>43839</v>
      </c>
      <c r="B2074" t="s">
        <v>19</v>
      </c>
      <c r="C2074" t="s">
        <v>21</v>
      </c>
      <c r="D2074" t="s">
        <v>17</v>
      </c>
      <c r="E2074">
        <v>125</v>
      </c>
      <c r="F2074" s="3">
        <v>9399733.6300000008</v>
      </c>
      <c r="G2074">
        <v>2970295.14</v>
      </c>
      <c r="H2074">
        <v>6429438.4900000002</v>
      </c>
      <c r="I2074">
        <v>3.1</v>
      </c>
      <c r="J2074">
        <v>4.75</v>
      </c>
      <c r="K2074" t="str">
        <f t="shared" si="32"/>
        <v>Jan 2020</v>
      </c>
    </row>
    <row r="2075" spans="1:11" x14ac:dyDescent="0.25">
      <c r="A2075" s="6">
        <v>44363</v>
      </c>
      <c r="B2075" t="s">
        <v>19</v>
      </c>
      <c r="C2075" t="s">
        <v>22</v>
      </c>
      <c r="D2075" t="s">
        <v>17</v>
      </c>
      <c r="E2075">
        <v>428</v>
      </c>
      <c r="F2075" s="3">
        <v>16580091.48</v>
      </c>
      <c r="G2075">
        <v>6031089.3200000003</v>
      </c>
      <c r="H2075">
        <v>10549002.16</v>
      </c>
      <c r="I2075">
        <v>4.8099999999999996</v>
      </c>
      <c r="J2075">
        <v>4.84</v>
      </c>
      <c r="K2075" t="str">
        <f t="shared" si="32"/>
        <v>Jun 2021</v>
      </c>
    </row>
    <row r="2076" spans="1:11" x14ac:dyDescent="0.25">
      <c r="A2076" s="6">
        <v>44038</v>
      </c>
      <c r="B2076" t="s">
        <v>19</v>
      </c>
      <c r="C2076" t="s">
        <v>24</v>
      </c>
      <c r="D2076" t="s">
        <v>17</v>
      </c>
      <c r="E2076">
        <v>176</v>
      </c>
      <c r="F2076" s="3">
        <v>10185123.74</v>
      </c>
      <c r="G2076">
        <v>2956561.32</v>
      </c>
      <c r="H2076">
        <v>7228562.4199999999</v>
      </c>
      <c r="I2076">
        <v>2.31</v>
      </c>
      <c r="J2076">
        <v>4.28</v>
      </c>
      <c r="K2076" t="str">
        <f t="shared" si="32"/>
        <v>Jul 2020</v>
      </c>
    </row>
    <row r="2077" spans="1:11" x14ac:dyDescent="0.25">
      <c r="A2077" s="6">
        <v>45194</v>
      </c>
      <c r="B2077" t="s">
        <v>19</v>
      </c>
      <c r="C2077" t="s">
        <v>24</v>
      </c>
      <c r="D2077" t="s">
        <v>12</v>
      </c>
      <c r="E2077">
        <v>359</v>
      </c>
      <c r="F2077" s="3">
        <v>13733451.279999999</v>
      </c>
      <c r="G2077">
        <v>3755267.75</v>
      </c>
      <c r="H2077">
        <v>9978183.5399999991</v>
      </c>
      <c r="I2077">
        <v>3.96</v>
      </c>
      <c r="J2077">
        <v>4.99</v>
      </c>
      <c r="K2077" t="str">
        <f t="shared" si="32"/>
        <v>Sep 2023</v>
      </c>
    </row>
    <row r="2078" spans="1:11" x14ac:dyDescent="0.25">
      <c r="A2078" s="6">
        <v>44831</v>
      </c>
      <c r="B2078" t="s">
        <v>19</v>
      </c>
      <c r="C2078" t="s">
        <v>20</v>
      </c>
      <c r="D2078" t="s">
        <v>14</v>
      </c>
      <c r="E2078">
        <v>377</v>
      </c>
      <c r="F2078" s="3">
        <v>16486406.789999999</v>
      </c>
      <c r="G2078">
        <v>3464542.2</v>
      </c>
      <c r="H2078">
        <v>13021864.59</v>
      </c>
      <c r="I2078">
        <v>4.46</v>
      </c>
      <c r="J2078">
        <v>4.8600000000000003</v>
      </c>
      <c r="K2078" t="str">
        <f t="shared" si="32"/>
        <v>Sep 2022</v>
      </c>
    </row>
    <row r="2079" spans="1:11" x14ac:dyDescent="0.25">
      <c r="A2079" s="6">
        <v>44918</v>
      </c>
      <c r="B2079" t="s">
        <v>19</v>
      </c>
      <c r="C2079" t="s">
        <v>20</v>
      </c>
      <c r="D2079" t="s">
        <v>14</v>
      </c>
      <c r="E2079">
        <v>458</v>
      </c>
      <c r="F2079" s="3">
        <v>26334854.890000001</v>
      </c>
      <c r="G2079">
        <v>8667447.6199999992</v>
      </c>
      <c r="H2079">
        <v>17667407.27</v>
      </c>
      <c r="I2079">
        <v>1.86</v>
      </c>
      <c r="J2079">
        <v>4.5999999999999996</v>
      </c>
      <c r="K2079" t="str">
        <f t="shared" si="32"/>
        <v>Dec 2022</v>
      </c>
    </row>
    <row r="2080" spans="1:11" x14ac:dyDescent="0.25">
      <c r="A2080" s="6">
        <v>45585</v>
      </c>
      <c r="B2080" t="s">
        <v>19</v>
      </c>
      <c r="C2080" t="s">
        <v>24</v>
      </c>
      <c r="D2080" t="s">
        <v>14</v>
      </c>
      <c r="E2080">
        <v>412</v>
      </c>
      <c r="F2080" s="3">
        <v>23900706.829999998</v>
      </c>
      <c r="G2080">
        <v>7849894.3799999999</v>
      </c>
      <c r="H2080">
        <v>16050812.449999999</v>
      </c>
      <c r="I2080">
        <v>3.17</v>
      </c>
      <c r="J2080">
        <v>4.3600000000000003</v>
      </c>
      <c r="K2080" t="str">
        <f t="shared" si="32"/>
        <v>Oct 2024</v>
      </c>
    </row>
    <row r="2081" spans="1:11" x14ac:dyDescent="0.25">
      <c r="A2081" s="6">
        <v>44973</v>
      </c>
      <c r="B2081" t="s">
        <v>19</v>
      </c>
      <c r="C2081" t="s">
        <v>24</v>
      </c>
      <c r="D2081" t="s">
        <v>14</v>
      </c>
      <c r="E2081">
        <v>274</v>
      </c>
      <c r="F2081" s="3">
        <v>19474462.93</v>
      </c>
      <c r="G2081">
        <v>7015425.7599999998</v>
      </c>
      <c r="H2081">
        <v>12459037.17</v>
      </c>
      <c r="I2081">
        <v>1.92</v>
      </c>
      <c r="J2081">
        <v>3.84</v>
      </c>
      <c r="K2081" t="str">
        <f t="shared" si="32"/>
        <v>Feb 2023</v>
      </c>
    </row>
    <row r="2082" spans="1:11" x14ac:dyDescent="0.25">
      <c r="A2082" s="6">
        <v>44116</v>
      </c>
      <c r="B2082" t="s">
        <v>19</v>
      </c>
      <c r="C2082" t="s">
        <v>20</v>
      </c>
      <c r="D2082" t="s">
        <v>17</v>
      </c>
      <c r="E2082">
        <v>137</v>
      </c>
      <c r="F2082" s="3">
        <v>10388014.939999999</v>
      </c>
      <c r="G2082">
        <v>4102852.26</v>
      </c>
      <c r="H2082">
        <v>6285162.6799999997</v>
      </c>
      <c r="I2082">
        <v>2.1</v>
      </c>
      <c r="J2082">
        <v>4.67</v>
      </c>
      <c r="K2082" t="str">
        <f t="shared" si="32"/>
        <v>Oct 2020</v>
      </c>
    </row>
    <row r="2083" spans="1:11" x14ac:dyDescent="0.25">
      <c r="A2083" s="6">
        <v>44204</v>
      </c>
      <c r="B2083" t="s">
        <v>19</v>
      </c>
      <c r="C2083" t="s">
        <v>22</v>
      </c>
      <c r="D2083" t="s">
        <v>17</v>
      </c>
      <c r="E2083">
        <v>389</v>
      </c>
      <c r="F2083" s="3">
        <v>28577367.879999999</v>
      </c>
      <c r="G2083">
        <v>9541634.4800000004</v>
      </c>
      <c r="H2083">
        <v>19035733.399999999</v>
      </c>
      <c r="I2083">
        <v>3.85</v>
      </c>
      <c r="J2083">
        <v>4.12</v>
      </c>
      <c r="K2083" t="str">
        <f t="shared" si="32"/>
        <v>Jan 2021</v>
      </c>
    </row>
    <row r="2084" spans="1:11" x14ac:dyDescent="0.25">
      <c r="A2084" s="6">
        <v>45212</v>
      </c>
      <c r="B2084" t="s">
        <v>19</v>
      </c>
      <c r="C2084" t="s">
        <v>22</v>
      </c>
      <c r="D2084" t="s">
        <v>14</v>
      </c>
      <c r="E2084">
        <v>70</v>
      </c>
      <c r="F2084" s="3">
        <v>5279846.97</v>
      </c>
      <c r="G2084">
        <v>1467683.49</v>
      </c>
      <c r="H2084">
        <v>3812163.47</v>
      </c>
      <c r="I2084">
        <v>2.7</v>
      </c>
      <c r="J2084">
        <v>3.7</v>
      </c>
      <c r="K2084" t="str">
        <f t="shared" si="32"/>
        <v>Oct 2023</v>
      </c>
    </row>
    <row r="2085" spans="1:11" x14ac:dyDescent="0.25">
      <c r="A2085" s="6">
        <v>44466</v>
      </c>
      <c r="B2085" t="s">
        <v>19</v>
      </c>
      <c r="C2085" t="s">
        <v>23</v>
      </c>
      <c r="D2085" t="s">
        <v>12</v>
      </c>
      <c r="E2085">
        <v>150</v>
      </c>
      <c r="F2085" s="3">
        <v>12773666.57</v>
      </c>
      <c r="G2085">
        <v>4953809.99</v>
      </c>
      <c r="H2085">
        <v>7819856.5800000001</v>
      </c>
      <c r="I2085">
        <v>3.62</v>
      </c>
      <c r="J2085">
        <v>3.77</v>
      </c>
      <c r="K2085" t="str">
        <f t="shared" si="32"/>
        <v>Sep 2021</v>
      </c>
    </row>
    <row r="2086" spans="1:11" x14ac:dyDescent="0.25">
      <c r="A2086" s="6">
        <v>44633</v>
      </c>
      <c r="B2086" t="s">
        <v>19</v>
      </c>
      <c r="C2086" t="s">
        <v>20</v>
      </c>
      <c r="D2086" t="s">
        <v>12</v>
      </c>
      <c r="E2086">
        <v>107</v>
      </c>
      <c r="F2086" s="3">
        <v>3783042.75</v>
      </c>
      <c r="G2086">
        <v>1137758.26</v>
      </c>
      <c r="H2086">
        <v>2645284.4900000002</v>
      </c>
      <c r="I2086">
        <v>1.79</v>
      </c>
      <c r="J2086">
        <v>4.5999999999999996</v>
      </c>
      <c r="K2086" t="str">
        <f t="shared" si="32"/>
        <v>Mar 2022</v>
      </c>
    </row>
    <row r="2087" spans="1:11" x14ac:dyDescent="0.25">
      <c r="A2087" s="6">
        <v>44252</v>
      </c>
      <c r="B2087" t="s">
        <v>19</v>
      </c>
      <c r="C2087" t="s">
        <v>20</v>
      </c>
      <c r="D2087" t="s">
        <v>12</v>
      </c>
      <c r="E2087">
        <v>478</v>
      </c>
      <c r="F2087" s="3">
        <v>25108349.690000001</v>
      </c>
      <c r="G2087">
        <v>9517691.6999999993</v>
      </c>
      <c r="H2087">
        <v>15590657.99</v>
      </c>
      <c r="I2087">
        <v>1.08</v>
      </c>
      <c r="J2087">
        <v>4.3600000000000003</v>
      </c>
      <c r="K2087" t="str">
        <f t="shared" si="32"/>
        <v>Feb 2021</v>
      </c>
    </row>
    <row r="2088" spans="1:11" x14ac:dyDescent="0.25">
      <c r="A2088" s="6">
        <v>44041</v>
      </c>
      <c r="B2088" t="s">
        <v>19</v>
      </c>
      <c r="C2088" t="s">
        <v>24</v>
      </c>
      <c r="D2088" t="s">
        <v>17</v>
      </c>
      <c r="E2088">
        <v>274</v>
      </c>
      <c r="F2088" s="3">
        <v>10967729.42</v>
      </c>
      <c r="G2088">
        <v>3014629.78</v>
      </c>
      <c r="H2088">
        <v>7953099.6299999999</v>
      </c>
      <c r="I2088">
        <v>2.98</v>
      </c>
      <c r="J2088">
        <v>4.1100000000000003</v>
      </c>
      <c r="K2088" t="str">
        <f t="shared" si="32"/>
        <v>Jul 2020</v>
      </c>
    </row>
    <row r="2089" spans="1:11" x14ac:dyDescent="0.25">
      <c r="A2089" s="6">
        <v>44493</v>
      </c>
      <c r="B2089" t="s">
        <v>19</v>
      </c>
      <c r="C2089" t="s">
        <v>24</v>
      </c>
      <c r="D2089" t="s">
        <v>14</v>
      </c>
      <c r="E2089">
        <v>286</v>
      </c>
      <c r="F2089" s="3">
        <v>13999328.890000001</v>
      </c>
      <c r="G2089">
        <v>3801975.52</v>
      </c>
      <c r="H2089">
        <v>10197353.369999999</v>
      </c>
      <c r="I2089">
        <v>1.74</v>
      </c>
      <c r="J2089">
        <v>4.24</v>
      </c>
      <c r="K2089" t="str">
        <f t="shared" si="32"/>
        <v>Oct 2021</v>
      </c>
    </row>
    <row r="2090" spans="1:11" x14ac:dyDescent="0.25">
      <c r="A2090" s="6">
        <v>43966</v>
      </c>
      <c r="B2090" t="s">
        <v>19</v>
      </c>
      <c r="C2090" t="s">
        <v>24</v>
      </c>
      <c r="D2090" t="s">
        <v>12</v>
      </c>
      <c r="E2090">
        <v>175</v>
      </c>
      <c r="F2090" s="3">
        <v>11679751.92</v>
      </c>
      <c r="G2090">
        <v>2591366.81</v>
      </c>
      <c r="H2090">
        <v>9088385.1099999994</v>
      </c>
      <c r="I2090">
        <v>3.19</v>
      </c>
      <c r="J2090">
        <v>4.72</v>
      </c>
      <c r="K2090" t="str">
        <f t="shared" si="32"/>
        <v>May 2020</v>
      </c>
    </row>
    <row r="2091" spans="1:11" x14ac:dyDescent="0.25">
      <c r="A2091" s="6">
        <v>44881</v>
      </c>
      <c r="B2091" t="s">
        <v>19</v>
      </c>
      <c r="C2091" t="s">
        <v>23</v>
      </c>
      <c r="D2091" t="s">
        <v>12</v>
      </c>
      <c r="E2091">
        <v>260</v>
      </c>
      <c r="F2091" s="3">
        <v>17846543.800000001</v>
      </c>
      <c r="G2091">
        <v>6083003.1500000004</v>
      </c>
      <c r="H2091">
        <v>11763540.640000001</v>
      </c>
      <c r="I2091">
        <v>1.65</v>
      </c>
      <c r="J2091">
        <v>3.99</v>
      </c>
      <c r="K2091" t="str">
        <f t="shared" si="32"/>
        <v>Nov 2022</v>
      </c>
    </row>
    <row r="2092" spans="1:11" x14ac:dyDescent="0.25">
      <c r="A2092" s="6">
        <v>44560</v>
      </c>
      <c r="B2092" t="s">
        <v>19</v>
      </c>
      <c r="C2092" t="s">
        <v>20</v>
      </c>
      <c r="D2092" t="s">
        <v>14</v>
      </c>
      <c r="E2092">
        <v>467</v>
      </c>
      <c r="F2092" s="3">
        <v>20998398.989999998</v>
      </c>
      <c r="G2092">
        <v>5078710.1500000004</v>
      </c>
      <c r="H2092">
        <v>15919688.84</v>
      </c>
      <c r="I2092">
        <v>2.23</v>
      </c>
      <c r="J2092">
        <v>4.1500000000000004</v>
      </c>
      <c r="K2092" t="str">
        <f t="shared" si="32"/>
        <v>Dec 2021</v>
      </c>
    </row>
    <row r="2093" spans="1:11" x14ac:dyDescent="0.25">
      <c r="A2093" s="6">
        <v>44354</v>
      </c>
      <c r="B2093" t="s">
        <v>19</v>
      </c>
      <c r="C2093" t="s">
        <v>23</v>
      </c>
      <c r="D2093" t="s">
        <v>12</v>
      </c>
      <c r="E2093">
        <v>94</v>
      </c>
      <c r="F2093" s="3">
        <v>6329916.7199999997</v>
      </c>
      <c r="G2093">
        <v>1992025.11</v>
      </c>
      <c r="H2093">
        <v>4337891.6100000003</v>
      </c>
      <c r="I2093">
        <v>3.27</v>
      </c>
      <c r="J2093">
        <v>3.62</v>
      </c>
      <c r="K2093" t="str">
        <f t="shared" si="32"/>
        <v>Jun 2021</v>
      </c>
    </row>
    <row r="2094" spans="1:11" x14ac:dyDescent="0.25">
      <c r="A2094" s="6">
        <v>44235</v>
      </c>
      <c r="B2094" t="s">
        <v>19</v>
      </c>
      <c r="C2094" t="s">
        <v>24</v>
      </c>
      <c r="D2094" t="s">
        <v>12</v>
      </c>
      <c r="E2094">
        <v>88</v>
      </c>
      <c r="F2094" s="3">
        <v>6579666.7199999997</v>
      </c>
      <c r="G2094">
        <v>1615083.17</v>
      </c>
      <c r="H2094">
        <v>4964583.55</v>
      </c>
      <c r="I2094">
        <v>3.72</v>
      </c>
      <c r="J2094">
        <v>4.37</v>
      </c>
      <c r="K2094" t="str">
        <f t="shared" si="32"/>
        <v>Feb 2021</v>
      </c>
    </row>
    <row r="2095" spans="1:11" x14ac:dyDescent="0.25">
      <c r="A2095" s="6">
        <v>45237</v>
      </c>
      <c r="B2095" t="s">
        <v>19</v>
      </c>
      <c r="C2095" t="s">
        <v>22</v>
      </c>
      <c r="D2095" t="s">
        <v>17</v>
      </c>
      <c r="E2095">
        <v>137</v>
      </c>
      <c r="F2095" s="3">
        <v>7811357.2199999997</v>
      </c>
      <c r="G2095">
        <v>1856187.63</v>
      </c>
      <c r="H2095">
        <v>5955169.5899999999</v>
      </c>
      <c r="I2095">
        <v>0.56000000000000005</v>
      </c>
      <c r="J2095">
        <v>4.47</v>
      </c>
      <c r="K2095" t="str">
        <f t="shared" si="32"/>
        <v>Nov 2023</v>
      </c>
    </row>
    <row r="2096" spans="1:11" x14ac:dyDescent="0.25">
      <c r="A2096" s="6">
        <v>45549</v>
      </c>
      <c r="B2096" t="s">
        <v>19</v>
      </c>
      <c r="C2096" t="s">
        <v>20</v>
      </c>
      <c r="D2096" t="s">
        <v>12</v>
      </c>
      <c r="E2096">
        <v>58</v>
      </c>
      <c r="F2096" s="3">
        <v>3015079.26</v>
      </c>
      <c r="G2096">
        <v>1029025.57</v>
      </c>
      <c r="H2096">
        <v>1986053.69</v>
      </c>
      <c r="I2096">
        <v>1.7</v>
      </c>
      <c r="J2096">
        <v>4</v>
      </c>
      <c r="K2096" t="str">
        <f t="shared" si="32"/>
        <v>Sep 2024</v>
      </c>
    </row>
    <row r="2097" spans="1:11" x14ac:dyDescent="0.25">
      <c r="A2097" s="6">
        <v>43960</v>
      </c>
      <c r="B2097" t="s">
        <v>19</v>
      </c>
      <c r="C2097" t="s">
        <v>24</v>
      </c>
      <c r="D2097" t="s">
        <v>17</v>
      </c>
      <c r="E2097">
        <v>426</v>
      </c>
      <c r="F2097" s="3">
        <v>35672993.420000002</v>
      </c>
      <c r="G2097">
        <v>10997851.439999999</v>
      </c>
      <c r="H2097">
        <v>24675141.98</v>
      </c>
      <c r="I2097">
        <v>3.04</v>
      </c>
      <c r="J2097">
        <v>4.49</v>
      </c>
      <c r="K2097" t="str">
        <f t="shared" si="32"/>
        <v>May 2020</v>
      </c>
    </row>
    <row r="2098" spans="1:11" x14ac:dyDescent="0.25">
      <c r="A2098" s="6">
        <v>45061</v>
      </c>
      <c r="B2098" t="s">
        <v>19</v>
      </c>
      <c r="C2098" t="s">
        <v>22</v>
      </c>
      <c r="D2098" t="s">
        <v>14</v>
      </c>
      <c r="E2098">
        <v>307</v>
      </c>
      <c r="F2098" s="3">
        <v>24524494.629999999</v>
      </c>
      <c r="G2098">
        <v>9716872.5600000005</v>
      </c>
      <c r="H2098">
        <v>14807622.07</v>
      </c>
      <c r="I2098">
        <v>3.81</v>
      </c>
      <c r="J2098">
        <v>3.81</v>
      </c>
      <c r="K2098" t="str">
        <f t="shared" si="32"/>
        <v>May 2023</v>
      </c>
    </row>
    <row r="2099" spans="1:11" x14ac:dyDescent="0.25">
      <c r="A2099" s="6">
        <v>45584</v>
      </c>
      <c r="B2099" t="s">
        <v>19</v>
      </c>
      <c r="C2099" t="s">
        <v>20</v>
      </c>
      <c r="D2099" t="s">
        <v>12</v>
      </c>
      <c r="E2099">
        <v>154</v>
      </c>
      <c r="F2099" s="3">
        <v>12841502.85</v>
      </c>
      <c r="G2099">
        <v>5010187.04</v>
      </c>
      <c r="H2099">
        <v>7831315.8099999996</v>
      </c>
      <c r="I2099">
        <v>1.54</v>
      </c>
      <c r="J2099">
        <v>4.8499999999999996</v>
      </c>
      <c r="K2099" t="str">
        <f t="shared" si="32"/>
        <v>Oct 2024</v>
      </c>
    </row>
    <row r="2100" spans="1:11" x14ac:dyDescent="0.25">
      <c r="A2100" s="6">
        <v>45449</v>
      </c>
      <c r="B2100" t="s">
        <v>19</v>
      </c>
      <c r="C2100" t="s">
        <v>22</v>
      </c>
      <c r="D2100" t="s">
        <v>12</v>
      </c>
      <c r="E2100">
        <v>166</v>
      </c>
      <c r="F2100" s="3">
        <v>5818485.5800000001</v>
      </c>
      <c r="G2100">
        <v>1276315.5</v>
      </c>
      <c r="H2100">
        <v>4542170.08</v>
      </c>
      <c r="I2100">
        <v>0.61</v>
      </c>
      <c r="J2100">
        <v>3.81</v>
      </c>
      <c r="K2100" t="str">
        <f t="shared" si="32"/>
        <v>Jun 2024</v>
      </c>
    </row>
    <row r="2101" spans="1:11" x14ac:dyDescent="0.25">
      <c r="A2101" s="6">
        <v>45280</v>
      </c>
      <c r="B2101" t="s">
        <v>19</v>
      </c>
      <c r="C2101" t="s">
        <v>22</v>
      </c>
      <c r="D2101" t="s">
        <v>14</v>
      </c>
      <c r="E2101">
        <v>190</v>
      </c>
      <c r="F2101" s="3">
        <v>13702633.970000001</v>
      </c>
      <c r="G2101">
        <v>4825885.76</v>
      </c>
      <c r="H2101">
        <v>8876748.2100000009</v>
      </c>
      <c r="I2101">
        <v>3.91</v>
      </c>
      <c r="J2101">
        <v>4.6399999999999997</v>
      </c>
      <c r="K2101" t="str">
        <f t="shared" si="32"/>
        <v>Dec 2023</v>
      </c>
    </row>
    <row r="2102" spans="1:11" x14ac:dyDescent="0.25">
      <c r="A2102" s="6">
        <v>44115</v>
      </c>
      <c r="B2102" t="s">
        <v>19</v>
      </c>
      <c r="C2102" t="s">
        <v>22</v>
      </c>
      <c r="D2102" t="s">
        <v>14</v>
      </c>
      <c r="E2102">
        <v>179</v>
      </c>
      <c r="F2102" s="3">
        <v>12964320.310000001</v>
      </c>
      <c r="G2102">
        <v>2769961.93</v>
      </c>
      <c r="H2102">
        <v>10194358.380000001</v>
      </c>
      <c r="I2102">
        <v>3.29</v>
      </c>
      <c r="J2102">
        <v>4.71</v>
      </c>
      <c r="K2102" t="str">
        <f t="shared" si="32"/>
        <v>Oct 2020</v>
      </c>
    </row>
    <row r="2103" spans="1:11" x14ac:dyDescent="0.25">
      <c r="A2103" s="6">
        <v>44336</v>
      </c>
      <c r="B2103" t="s">
        <v>19</v>
      </c>
      <c r="C2103" t="s">
        <v>24</v>
      </c>
      <c r="D2103" t="s">
        <v>17</v>
      </c>
      <c r="E2103">
        <v>390</v>
      </c>
      <c r="F2103" s="3">
        <v>33695966.240000002</v>
      </c>
      <c r="G2103">
        <v>11433812.689999999</v>
      </c>
      <c r="H2103">
        <v>22262153.550000001</v>
      </c>
      <c r="I2103">
        <v>4.0199999999999996</v>
      </c>
      <c r="J2103">
        <v>4.6500000000000004</v>
      </c>
      <c r="K2103" t="str">
        <f t="shared" si="32"/>
        <v>May 2021</v>
      </c>
    </row>
    <row r="2104" spans="1:11" x14ac:dyDescent="0.25">
      <c r="A2104" s="6">
        <v>44442</v>
      </c>
      <c r="B2104" t="s">
        <v>19</v>
      </c>
      <c r="C2104" t="s">
        <v>24</v>
      </c>
      <c r="D2104" t="s">
        <v>17</v>
      </c>
      <c r="E2104">
        <v>138</v>
      </c>
      <c r="F2104" s="3">
        <v>5982816.0499999998</v>
      </c>
      <c r="G2104">
        <v>1999985.82</v>
      </c>
      <c r="H2104">
        <v>3982830.22</v>
      </c>
      <c r="I2104">
        <v>0.75</v>
      </c>
      <c r="J2104">
        <v>3.77</v>
      </c>
      <c r="K2104" t="str">
        <f t="shared" si="32"/>
        <v>Sep 2021</v>
      </c>
    </row>
    <row r="2105" spans="1:11" x14ac:dyDescent="0.25">
      <c r="A2105" s="6">
        <v>44755</v>
      </c>
      <c r="B2105" t="s">
        <v>19</v>
      </c>
      <c r="C2105" t="s">
        <v>23</v>
      </c>
      <c r="D2105" t="s">
        <v>17</v>
      </c>
      <c r="E2105">
        <v>202</v>
      </c>
      <c r="F2105" s="3">
        <v>15172631.880000001</v>
      </c>
      <c r="G2105">
        <v>4324016.2699999996</v>
      </c>
      <c r="H2105">
        <v>10848615.609999999</v>
      </c>
      <c r="I2105">
        <v>1.43</v>
      </c>
      <c r="J2105">
        <v>4.26</v>
      </c>
      <c r="K2105" t="str">
        <f t="shared" si="32"/>
        <v>Jul 2022</v>
      </c>
    </row>
    <row r="2106" spans="1:11" x14ac:dyDescent="0.25">
      <c r="A2106" s="6">
        <v>45501</v>
      </c>
      <c r="B2106" t="s">
        <v>19</v>
      </c>
      <c r="C2106" t="s">
        <v>23</v>
      </c>
      <c r="D2106" t="s">
        <v>14</v>
      </c>
      <c r="E2106">
        <v>235</v>
      </c>
      <c r="F2106" s="3">
        <v>10127909.939999999</v>
      </c>
      <c r="G2106">
        <v>3632717.19</v>
      </c>
      <c r="H2106">
        <v>6495192.75</v>
      </c>
      <c r="I2106">
        <v>1.91</v>
      </c>
      <c r="J2106">
        <v>4.45</v>
      </c>
      <c r="K2106" t="str">
        <f t="shared" si="32"/>
        <v>Jul 2024</v>
      </c>
    </row>
    <row r="2107" spans="1:11" x14ac:dyDescent="0.25">
      <c r="A2107" s="6">
        <v>45092</v>
      </c>
      <c r="B2107" t="s">
        <v>19</v>
      </c>
      <c r="C2107" t="s">
        <v>23</v>
      </c>
      <c r="D2107" t="s">
        <v>17</v>
      </c>
      <c r="E2107">
        <v>263</v>
      </c>
      <c r="F2107" s="3">
        <v>15068031.34</v>
      </c>
      <c r="G2107">
        <v>5216065.54</v>
      </c>
      <c r="H2107">
        <v>9851965.8000000007</v>
      </c>
      <c r="I2107">
        <v>1.39</v>
      </c>
      <c r="J2107">
        <v>4.68</v>
      </c>
      <c r="K2107" t="str">
        <f t="shared" si="32"/>
        <v>Jun 2023</v>
      </c>
    </row>
    <row r="2108" spans="1:11" x14ac:dyDescent="0.25">
      <c r="A2108" s="6">
        <v>45159</v>
      </c>
      <c r="B2108" t="s">
        <v>19</v>
      </c>
      <c r="C2108" t="s">
        <v>23</v>
      </c>
      <c r="D2108" t="s">
        <v>14</v>
      </c>
      <c r="E2108">
        <v>265</v>
      </c>
      <c r="F2108" s="3">
        <v>21302455.739999998</v>
      </c>
      <c r="G2108">
        <v>5133644.6500000004</v>
      </c>
      <c r="H2108">
        <v>16168811.09</v>
      </c>
      <c r="I2108">
        <v>1.96</v>
      </c>
      <c r="J2108">
        <v>4.6500000000000004</v>
      </c>
      <c r="K2108" t="str">
        <f t="shared" si="32"/>
        <v>Aug 2023</v>
      </c>
    </row>
    <row r="2109" spans="1:11" x14ac:dyDescent="0.25">
      <c r="A2109" s="6">
        <v>45481</v>
      </c>
      <c r="B2109" t="s">
        <v>19</v>
      </c>
      <c r="C2109" t="s">
        <v>23</v>
      </c>
      <c r="D2109" t="s">
        <v>12</v>
      </c>
      <c r="E2109">
        <v>319</v>
      </c>
      <c r="F2109" s="3">
        <v>14372460.9</v>
      </c>
      <c r="G2109">
        <v>3000130.83</v>
      </c>
      <c r="H2109">
        <v>11372330.08</v>
      </c>
      <c r="I2109">
        <v>2.2000000000000002</v>
      </c>
      <c r="J2109">
        <v>4.01</v>
      </c>
      <c r="K2109" t="str">
        <f t="shared" si="32"/>
        <v>Jul 2024</v>
      </c>
    </row>
    <row r="2110" spans="1:11" x14ac:dyDescent="0.25">
      <c r="A2110" s="6">
        <v>45274</v>
      </c>
      <c r="B2110" t="s">
        <v>19</v>
      </c>
      <c r="C2110" t="s">
        <v>21</v>
      </c>
      <c r="D2110" t="s">
        <v>14</v>
      </c>
      <c r="E2110">
        <v>193</v>
      </c>
      <c r="F2110" s="3">
        <v>11915733.34</v>
      </c>
      <c r="G2110">
        <v>4506497.9000000004</v>
      </c>
      <c r="H2110">
        <v>7409235.4400000004</v>
      </c>
      <c r="I2110">
        <v>1.62</v>
      </c>
      <c r="J2110">
        <v>3.98</v>
      </c>
      <c r="K2110" t="str">
        <f t="shared" si="32"/>
        <v>Dec 2023</v>
      </c>
    </row>
    <row r="2111" spans="1:11" x14ac:dyDescent="0.25">
      <c r="A2111" s="6">
        <v>44875</v>
      </c>
      <c r="B2111" t="s">
        <v>19</v>
      </c>
      <c r="C2111" t="s">
        <v>24</v>
      </c>
      <c r="D2111" t="s">
        <v>14</v>
      </c>
      <c r="E2111">
        <v>132</v>
      </c>
      <c r="F2111" s="3">
        <v>10976047.6</v>
      </c>
      <c r="G2111">
        <v>3726442.1</v>
      </c>
      <c r="H2111">
        <v>7249605.5</v>
      </c>
      <c r="I2111">
        <v>4.3600000000000003</v>
      </c>
      <c r="J2111">
        <v>4.79</v>
      </c>
      <c r="K2111" t="str">
        <f t="shared" si="32"/>
        <v>Nov 2022</v>
      </c>
    </row>
    <row r="2112" spans="1:11" x14ac:dyDescent="0.25">
      <c r="A2112" s="6">
        <v>44715</v>
      </c>
      <c r="B2112" t="s">
        <v>19</v>
      </c>
      <c r="C2112" t="s">
        <v>24</v>
      </c>
      <c r="D2112" t="s">
        <v>12</v>
      </c>
      <c r="E2112">
        <v>83</v>
      </c>
      <c r="F2112" s="3">
        <v>4154433.46</v>
      </c>
      <c r="G2112">
        <v>904155.42</v>
      </c>
      <c r="H2112">
        <v>3250278.04</v>
      </c>
      <c r="I2112">
        <v>0.94</v>
      </c>
      <c r="J2112">
        <v>4.78</v>
      </c>
      <c r="K2112" t="str">
        <f t="shared" si="32"/>
        <v>Jun 2022</v>
      </c>
    </row>
    <row r="2113" spans="1:11" x14ac:dyDescent="0.25">
      <c r="A2113" s="6">
        <v>45311</v>
      </c>
      <c r="B2113" t="s">
        <v>19</v>
      </c>
      <c r="C2113" t="s">
        <v>21</v>
      </c>
      <c r="D2113" t="s">
        <v>12</v>
      </c>
      <c r="E2113">
        <v>175</v>
      </c>
      <c r="F2113" s="3">
        <v>9316812.1699999999</v>
      </c>
      <c r="G2113">
        <v>2793964.17</v>
      </c>
      <c r="H2113">
        <v>6522848</v>
      </c>
      <c r="I2113">
        <v>3.41</v>
      </c>
      <c r="J2113">
        <v>4.2699999999999996</v>
      </c>
      <c r="K2113" t="str">
        <f t="shared" si="32"/>
        <v>Jan 2024</v>
      </c>
    </row>
    <row r="2114" spans="1:11" x14ac:dyDescent="0.25">
      <c r="A2114" s="6">
        <v>44116</v>
      </c>
      <c r="B2114" t="s">
        <v>19</v>
      </c>
      <c r="C2114" t="s">
        <v>23</v>
      </c>
      <c r="D2114" t="s">
        <v>17</v>
      </c>
      <c r="E2114">
        <v>164</v>
      </c>
      <c r="F2114" s="3">
        <v>8500545.4399999995</v>
      </c>
      <c r="G2114">
        <v>3291947.12</v>
      </c>
      <c r="H2114">
        <v>5208598.32</v>
      </c>
      <c r="I2114">
        <v>1.3</v>
      </c>
      <c r="J2114">
        <v>3.51</v>
      </c>
      <c r="K2114" t="str">
        <f t="shared" ref="K2114:K2177" si="33">TEXT(A2114,"mmm yyyy")</f>
        <v>Oct 2020</v>
      </c>
    </row>
    <row r="2115" spans="1:11" x14ac:dyDescent="0.25">
      <c r="A2115" s="6">
        <v>44765</v>
      </c>
      <c r="B2115" t="s">
        <v>19</v>
      </c>
      <c r="C2115" t="s">
        <v>20</v>
      </c>
      <c r="D2115" t="s">
        <v>17</v>
      </c>
      <c r="E2115">
        <v>484</v>
      </c>
      <c r="F2115" s="3">
        <v>42292535.350000001</v>
      </c>
      <c r="G2115">
        <v>14135665.699999999</v>
      </c>
      <c r="H2115">
        <v>28156869.649999999</v>
      </c>
      <c r="I2115">
        <v>3.48</v>
      </c>
      <c r="J2115">
        <v>4.63</v>
      </c>
      <c r="K2115" t="str">
        <f t="shared" si="33"/>
        <v>Jul 2022</v>
      </c>
    </row>
    <row r="2116" spans="1:11" x14ac:dyDescent="0.25">
      <c r="A2116" s="6">
        <v>45207</v>
      </c>
      <c r="B2116" t="s">
        <v>19</v>
      </c>
      <c r="C2116" t="s">
        <v>22</v>
      </c>
      <c r="D2116" t="s">
        <v>14</v>
      </c>
      <c r="E2116">
        <v>377</v>
      </c>
      <c r="F2116" s="3">
        <v>31260402.489999998</v>
      </c>
      <c r="G2116">
        <v>10694553.220000001</v>
      </c>
      <c r="H2116">
        <v>20565849.27</v>
      </c>
      <c r="I2116">
        <v>4.0199999999999996</v>
      </c>
      <c r="J2116">
        <v>4.7</v>
      </c>
      <c r="K2116" t="str">
        <f t="shared" si="33"/>
        <v>Oct 2023</v>
      </c>
    </row>
    <row r="2117" spans="1:11" x14ac:dyDescent="0.25">
      <c r="A2117" s="6">
        <v>44146</v>
      </c>
      <c r="B2117" t="s">
        <v>19</v>
      </c>
      <c r="C2117" t="s">
        <v>21</v>
      </c>
      <c r="D2117" t="s">
        <v>12</v>
      </c>
      <c r="E2117">
        <v>158</v>
      </c>
      <c r="F2117" s="3">
        <v>11656805.48</v>
      </c>
      <c r="G2117">
        <v>2932904.18</v>
      </c>
      <c r="H2117">
        <v>8723901.3000000007</v>
      </c>
      <c r="I2117">
        <v>3.55</v>
      </c>
      <c r="J2117">
        <v>3.88</v>
      </c>
      <c r="K2117" t="str">
        <f t="shared" si="33"/>
        <v>Nov 2020</v>
      </c>
    </row>
    <row r="2118" spans="1:11" x14ac:dyDescent="0.25">
      <c r="A2118" s="6">
        <v>43925</v>
      </c>
      <c r="B2118" t="s">
        <v>19</v>
      </c>
      <c r="C2118" t="s">
        <v>24</v>
      </c>
      <c r="D2118" t="s">
        <v>17</v>
      </c>
      <c r="E2118">
        <v>428</v>
      </c>
      <c r="F2118" s="3">
        <v>30006772.59</v>
      </c>
      <c r="G2118">
        <v>10159419.109999999</v>
      </c>
      <c r="H2118">
        <v>19847353.48</v>
      </c>
      <c r="I2118">
        <v>4.37</v>
      </c>
      <c r="J2118">
        <v>4.9400000000000004</v>
      </c>
      <c r="K2118" t="str">
        <f t="shared" si="33"/>
        <v>Apr 2020</v>
      </c>
    </row>
    <row r="2119" spans="1:11" x14ac:dyDescent="0.25">
      <c r="A2119" s="6">
        <v>44506</v>
      </c>
      <c r="B2119" t="s">
        <v>19</v>
      </c>
      <c r="C2119" t="s">
        <v>22</v>
      </c>
      <c r="D2119" t="s">
        <v>17</v>
      </c>
      <c r="E2119">
        <v>279</v>
      </c>
      <c r="F2119" s="3">
        <v>11117694.869999999</v>
      </c>
      <c r="G2119">
        <v>4014521.72</v>
      </c>
      <c r="H2119">
        <v>7103173.1500000004</v>
      </c>
      <c r="I2119">
        <v>4.1900000000000004</v>
      </c>
      <c r="J2119">
        <v>4.51</v>
      </c>
      <c r="K2119" t="str">
        <f t="shared" si="33"/>
        <v>Nov 2021</v>
      </c>
    </row>
    <row r="2120" spans="1:11" x14ac:dyDescent="0.25">
      <c r="A2120" s="6">
        <v>43849</v>
      </c>
      <c r="B2120" t="s">
        <v>19</v>
      </c>
      <c r="C2120" t="s">
        <v>24</v>
      </c>
      <c r="D2120" t="s">
        <v>12</v>
      </c>
      <c r="E2120">
        <v>466</v>
      </c>
      <c r="F2120" s="3">
        <v>21159088.16</v>
      </c>
      <c r="G2120">
        <v>5415101.5599999996</v>
      </c>
      <c r="H2120">
        <v>15743986.6</v>
      </c>
      <c r="I2120">
        <v>2.8</v>
      </c>
      <c r="J2120">
        <v>4.41</v>
      </c>
      <c r="K2120" t="str">
        <f t="shared" si="33"/>
        <v>Jan 2020</v>
      </c>
    </row>
    <row r="2121" spans="1:11" x14ac:dyDescent="0.25">
      <c r="A2121" s="6">
        <v>44373</v>
      </c>
      <c r="B2121" t="s">
        <v>19</v>
      </c>
      <c r="C2121" t="s">
        <v>23</v>
      </c>
      <c r="D2121" t="s">
        <v>17</v>
      </c>
      <c r="E2121">
        <v>276</v>
      </c>
      <c r="F2121" s="3">
        <v>21698696.77</v>
      </c>
      <c r="G2121">
        <v>4421145.93</v>
      </c>
      <c r="H2121">
        <v>17277550.84</v>
      </c>
      <c r="I2121">
        <v>4.7</v>
      </c>
      <c r="J2121">
        <v>4.9000000000000004</v>
      </c>
      <c r="K2121" t="str">
        <f t="shared" si="33"/>
        <v>Jun 2021</v>
      </c>
    </row>
    <row r="2122" spans="1:11" x14ac:dyDescent="0.25">
      <c r="A2122" s="6">
        <v>45164</v>
      </c>
      <c r="B2122" t="s">
        <v>19</v>
      </c>
      <c r="C2122" t="s">
        <v>23</v>
      </c>
      <c r="D2122" t="s">
        <v>12</v>
      </c>
      <c r="E2122">
        <v>148</v>
      </c>
      <c r="F2122" s="3">
        <v>12008270.439999999</v>
      </c>
      <c r="G2122">
        <v>3191767.11</v>
      </c>
      <c r="H2122">
        <v>8816503.3300000001</v>
      </c>
      <c r="I2122">
        <v>3.64</v>
      </c>
      <c r="J2122">
        <v>4.04</v>
      </c>
      <c r="K2122" t="str">
        <f t="shared" si="33"/>
        <v>Aug 2023</v>
      </c>
    </row>
    <row r="2123" spans="1:11" x14ac:dyDescent="0.25">
      <c r="A2123" s="6">
        <v>44024</v>
      </c>
      <c r="B2123" t="s">
        <v>19</v>
      </c>
      <c r="C2123" t="s">
        <v>23</v>
      </c>
      <c r="D2123" t="s">
        <v>17</v>
      </c>
      <c r="E2123">
        <v>322</v>
      </c>
      <c r="F2123" s="3">
        <v>16658123.41</v>
      </c>
      <c r="G2123">
        <v>6199331.1399999997</v>
      </c>
      <c r="H2123">
        <v>10458792.27</v>
      </c>
      <c r="I2123">
        <v>3.25</v>
      </c>
      <c r="J2123">
        <v>3.96</v>
      </c>
      <c r="K2123" t="str">
        <f t="shared" si="33"/>
        <v>Jul 2020</v>
      </c>
    </row>
    <row r="2124" spans="1:11" x14ac:dyDescent="0.25">
      <c r="A2124" s="6">
        <v>43993</v>
      </c>
      <c r="B2124" t="s">
        <v>19</v>
      </c>
      <c r="C2124" t="s">
        <v>24</v>
      </c>
      <c r="D2124" t="s">
        <v>14</v>
      </c>
      <c r="E2124">
        <v>384</v>
      </c>
      <c r="F2124" s="3">
        <v>14937745.060000001</v>
      </c>
      <c r="G2124">
        <v>4930065.1500000004</v>
      </c>
      <c r="H2124">
        <v>10007679.92</v>
      </c>
      <c r="I2124">
        <v>4.38</v>
      </c>
      <c r="J2124">
        <v>3.85</v>
      </c>
      <c r="K2124" t="str">
        <f t="shared" si="33"/>
        <v>Jun 2020</v>
      </c>
    </row>
    <row r="2125" spans="1:11" x14ac:dyDescent="0.25">
      <c r="A2125" s="6">
        <v>45162</v>
      </c>
      <c r="B2125" t="s">
        <v>19</v>
      </c>
      <c r="C2125" t="s">
        <v>21</v>
      </c>
      <c r="D2125" t="s">
        <v>17</v>
      </c>
      <c r="E2125">
        <v>128</v>
      </c>
      <c r="F2125" s="3">
        <v>6231494.1900000004</v>
      </c>
      <c r="G2125">
        <v>1318511.6100000001</v>
      </c>
      <c r="H2125">
        <v>4912982.58</v>
      </c>
      <c r="I2125">
        <v>1.84</v>
      </c>
      <c r="J2125">
        <v>4.66</v>
      </c>
      <c r="K2125" t="str">
        <f t="shared" si="33"/>
        <v>Aug 2023</v>
      </c>
    </row>
    <row r="2126" spans="1:11" x14ac:dyDescent="0.25">
      <c r="A2126" s="6">
        <v>43955</v>
      </c>
      <c r="B2126" t="s">
        <v>19</v>
      </c>
      <c r="C2126" t="s">
        <v>21</v>
      </c>
      <c r="D2126" t="s">
        <v>12</v>
      </c>
      <c r="E2126">
        <v>401</v>
      </c>
      <c r="F2126" s="3">
        <v>26884874.789999999</v>
      </c>
      <c r="G2126">
        <v>5401310.3300000001</v>
      </c>
      <c r="H2126">
        <v>21483564.460000001</v>
      </c>
      <c r="I2126">
        <v>4.5999999999999996</v>
      </c>
      <c r="J2126">
        <v>3.83</v>
      </c>
      <c r="K2126" t="str">
        <f t="shared" si="33"/>
        <v>May 2020</v>
      </c>
    </row>
    <row r="2127" spans="1:11" x14ac:dyDescent="0.25">
      <c r="A2127" s="6">
        <v>44052</v>
      </c>
      <c r="B2127" t="s">
        <v>19</v>
      </c>
      <c r="C2127" t="s">
        <v>22</v>
      </c>
      <c r="D2127" t="s">
        <v>14</v>
      </c>
      <c r="E2127">
        <v>83</v>
      </c>
      <c r="F2127" s="3">
        <v>4590106.72</v>
      </c>
      <c r="G2127">
        <v>1508132.5</v>
      </c>
      <c r="H2127">
        <v>3081974.22</v>
      </c>
      <c r="I2127">
        <v>2.0499999999999998</v>
      </c>
      <c r="J2127">
        <v>4.28</v>
      </c>
      <c r="K2127" t="str">
        <f t="shared" si="33"/>
        <v>Aug 2020</v>
      </c>
    </row>
    <row r="2128" spans="1:11" x14ac:dyDescent="0.25">
      <c r="A2128" s="6">
        <v>44264</v>
      </c>
      <c r="B2128" t="s">
        <v>19</v>
      </c>
      <c r="C2128" t="s">
        <v>21</v>
      </c>
      <c r="D2128" t="s">
        <v>17</v>
      </c>
      <c r="E2128">
        <v>464</v>
      </c>
      <c r="F2128" s="3">
        <v>19350583.870000001</v>
      </c>
      <c r="G2128">
        <v>6130801.5999999996</v>
      </c>
      <c r="H2128">
        <v>13219782.26</v>
      </c>
      <c r="I2128">
        <v>0.78</v>
      </c>
      <c r="J2128">
        <v>4.0999999999999996</v>
      </c>
      <c r="K2128" t="str">
        <f t="shared" si="33"/>
        <v>Mar 2021</v>
      </c>
    </row>
    <row r="2129" spans="1:11" x14ac:dyDescent="0.25">
      <c r="A2129" s="6">
        <v>44113</v>
      </c>
      <c r="B2129" t="s">
        <v>19</v>
      </c>
      <c r="C2129" t="s">
        <v>20</v>
      </c>
      <c r="D2129" t="s">
        <v>14</v>
      </c>
      <c r="E2129">
        <v>435</v>
      </c>
      <c r="F2129" s="3">
        <v>16980235.309999999</v>
      </c>
      <c r="G2129">
        <v>4540018.25</v>
      </c>
      <c r="H2129">
        <v>12440217.060000001</v>
      </c>
      <c r="I2129">
        <v>3.18</v>
      </c>
      <c r="J2129">
        <v>4.12</v>
      </c>
      <c r="K2129" t="str">
        <f t="shared" si="33"/>
        <v>Oct 2020</v>
      </c>
    </row>
    <row r="2130" spans="1:11" x14ac:dyDescent="0.25">
      <c r="A2130" s="6">
        <v>44955</v>
      </c>
      <c r="B2130" t="s">
        <v>19</v>
      </c>
      <c r="C2130" t="s">
        <v>21</v>
      </c>
      <c r="D2130" t="s">
        <v>17</v>
      </c>
      <c r="E2130">
        <v>134</v>
      </c>
      <c r="F2130" s="3">
        <v>7716927.1399999997</v>
      </c>
      <c r="G2130">
        <v>1824862.85</v>
      </c>
      <c r="H2130">
        <v>5892064.29</v>
      </c>
      <c r="I2130">
        <v>4.53</v>
      </c>
      <c r="J2130">
        <v>4.78</v>
      </c>
      <c r="K2130" t="str">
        <f t="shared" si="33"/>
        <v>Jan 2023</v>
      </c>
    </row>
    <row r="2131" spans="1:11" x14ac:dyDescent="0.25">
      <c r="A2131" s="6">
        <v>44762</v>
      </c>
      <c r="B2131" t="s">
        <v>19</v>
      </c>
      <c r="C2131" t="s">
        <v>21</v>
      </c>
      <c r="D2131" t="s">
        <v>17</v>
      </c>
      <c r="E2131">
        <v>177</v>
      </c>
      <c r="F2131" s="3">
        <v>10273670.75</v>
      </c>
      <c r="G2131">
        <v>3168341.26</v>
      </c>
      <c r="H2131">
        <v>7105329.4900000002</v>
      </c>
      <c r="I2131">
        <v>1.65</v>
      </c>
      <c r="J2131">
        <v>4.63</v>
      </c>
      <c r="K2131" t="str">
        <f t="shared" si="33"/>
        <v>Jul 2022</v>
      </c>
    </row>
    <row r="2132" spans="1:11" x14ac:dyDescent="0.25">
      <c r="A2132" s="6">
        <v>45039</v>
      </c>
      <c r="B2132" t="s">
        <v>19</v>
      </c>
      <c r="C2132" t="s">
        <v>23</v>
      </c>
      <c r="D2132" t="s">
        <v>12</v>
      </c>
      <c r="E2132">
        <v>134</v>
      </c>
      <c r="F2132" s="3">
        <v>9560085.1600000001</v>
      </c>
      <c r="G2132">
        <v>2396975.52</v>
      </c>
      <c r="H2132">
        <v>7163109.6500000004</v>
      </c>
      <c r="I2132">
        <v>1.9</v>
      </c>
      <c r="J2132">
        <v>4.7699999999999996</v>
      </c>
      <c r="K2132" t="str">
        <f t="shared" si="33"/>
        <v>Apr 2023</v>
      </c>
    </row>
    <row r="2133" spans="1:11" x14ac:dyDescent="0.25">
      <c r="A2133" s="6">
        <v>44455</v>
      </c>
      <c r="B2133" t="s">
        <v>19</v>
      </c>
      <c r="C2133" t="s">
        <v>23</v>
      </c>
      <c r="D2133" t="s">
        <v>14</v>
      </c>
      <c r="E2133">
        <v>118</v>
      </c>
      <c r="F2133" s="3">
        <v>10105287.189999999</v>
      </c>
      <c r="G2133">
        <v>3344816.03</v>
      </c>
      <c r="H2133">
        <v>6760471.1699999999</v>
      </c>
      <c r="I2133">
        <v>0.75</v>
      </c>
      <c r="J2133">
        <v>3.81</v>
      </c>
      <c r="K2133" t="str">
        <f t="shared" si="33"/>
        <v>Sep 2021</v>
      </c>
    </row>
    <row r="2134" spans="1:11" x14ac:dyDescent="0.25">
      <c r="A2134" s="6">
        <v>45447</v>
      </c>
      <c r="B2134" t="s">
        <v>19</v>
      </c>
      <c r="C2134" t="s">
        <v>23</v>
      </c>
      <c r="D2134" t="s">
        <v>12</v>
      </c>
      <c r="E2134">
        <v>246</v>
      </c>
      <c r="F2134" s="3">
        <v>20273890.210000001</v>
      </c>
      <c r="G2134">
        <v>7682161.04</v>
      </c>
      <c r="H2134">
        <v>12591729.16</v>
      </c>
      <c r="I2134">
        <v>2.99</v>
      </c>
      <c r="J2134">
        <v>4.2699999999999996</v>
      </c>
      <c r="K2134" t="str">
        <f t="shared" si="33"/>
        <v>Jun 2024</v>
      </c>
    </row>
    <row r="2135" spans="1:11" x14ac:dyDescent="0.25">
      <c r="A2135" s="6">
        <v>45628</v>
      </c>
      <c r="B2135" t="s">
        <v>19</v>
      </c>
      <c r="C2135" t="s">
        <v>24</v>
      </c>
      <c r="D2135" t="s">
        <v>17</v>
      </c>
      <c r="E2135">
        <v>263</v>
      </c>
      <c r="F2135" s="3">
        <v>19942257.129999999</v>
      </c>
      <c r="G2135">
        <v>7307582.4900000002</v>
      </c>
      <c r="H2135">
        <v>12634674.640000001</v>
      </c>
      <c r="I2135">
        <v>1.04</v>
      </c>
      <c r="J2135">
        <v>3.6</v>
      </c>
      <c r="K2135" t="str">
        <f t="shared" si="33"/>
        <v>Dec 2024</v>
      </c>
    </row>
    <row r="2136" spans="1:11" x14ac:dyDescent="0.25">
      <c r="A2136" s="6">
        <v>44243</v>
      </c>
      <c r="B2136" t="s">
        <v>19</v>
      </c>
      <c r="C2136" t="s">
        <v>23</v>
      </c>
      <c r="D2136" t="s">
        <v>12</v>
      </c>
      <c r="E2136">
        <v>67</v>
      </c>
      <c r="F2136" s="3">
        <v>5008461.25</v>
      </c>
      <c r="G2136">
        <v>1771150.88</v>
      </c>
      <c r="H2136">
        <v>3237310.38</v>
      </c>
      <c r="I2136">
        <v>3.68</v>
      </c>
      <c r="J2136">
        <v>3.96</v>
      </c>
      <c r="K2136" t="str">
        <f t="shared" si="33"/>
        <v>Feb 2021</v>
      </c>
    </row>
    <row r="2137" spans="1:11" x14ac:dyDescent="0.25">
      <c r="A2137" s="6">
        <v>44536</v>
      </c>
      <c r="B2137" t="s">
        <v>19</v>
      </c>
      <c r="C2137" t="s">
        <v>22</v>
      </c>
      <c r="D2137" t="s">
        <v>14</v>
      </c>
      <c r="E2137">
        <v>174</v>
      </c>
      <c r="F2137" s="3">
        <v>9428321.3499999996</v>
      </c>
      <c r="G2137">
        <v>3064534.57</v>
      </c>
      <c r="H2137">
        <v>6363786.7800000003</v>
      </c>
      <c r="I2137">
        <v>3.3</v>
      </c>
      <c r="J2137">
        <v>4.58</v>
      </c>
      <c r="K2137" t="str">
        <f t="shared" si="33"/>
        <v>Dec 2021</v>
      </c>
    </row>
    <row r="2138" spans="1:11" x14ac:dyDescent="0.25">
      <c r="A2138" s="6">
        <v>44114</v>
      </c>
      <c r="B2138" t="s">
        <v>19</v>
      </c>
      <c r="C2138" t="s">
        <v>24</v>
      </c>
      <c r="D2138" t="s">
        <v>14</v>
      </c>
      <c r="E2138">
        <v>154</v>
      </c>
      <c r="F2138" s="3">
        <v>11737240.27</v>
      </c>
      <c r="G2138">
        <v>2540312.31</v>
      </c>
      <c r="H2138">
        <v>9196927.9600000009</v>
      </c>
      <c r="I2138">
        <v>0.99</v>
      </c>
      <c r="J2138">
        <v>3.85</v>
      </c>
      <c r="K2138" t="str">
        <f t="shared" si="33"/>
        <v>Oct 2020</v>
      </c>
    </row>
    <row r="2139" spans="1:11" x14ac:dyDescent="0.25">
      <c r="A2139" s="6">
        <v>45649</v>
      </c>
      <c r="B2139" t="s">
        <v>19</v>
      </c>
      <c r="C2139" t="s">
        <v>20</v>
      </c>
      <c r="D2139" t="s">
        <v>17</v>
      </c>
      <c r="E2139">
        <v>419</v>
      </c>
      <c r="F2139" s="3">
        <v>19040676.960000001</v>
      </c>
      <c r="G2139">
        <v>7467914.0300000003</v>
      </c>
      <c r="H2139">
        <v>11572762.93</v>
      </c>
      <c r="I2139">
        <v>2.2599999999999998</v>
      </c>
      <c r="J2139">
        <v>4.7</v>
      </c>
      <c r="K2139" t="str">
        <f t="shared" si="33"/>
        <v>Dec 2024</v>
      </c>
    </row>
    <row r="2140" spans="1:11" x14ac:dyDescent="0.25">
      <c r="A2140" s="6">
        <v>44955</v>
      </c>
      <c r="B2140" t="s">
        <v>19</v>
      </c>
      <c r="C2140" t="s">
        <v>24</v>
      </c>
      <c r="D2140" t="s">
        <v>12</v>
      </c>
      <c r="E2140">
        <v>162</v>
      </c>
      <c r="F2140" s="3">
        <v>9627674.1600000001</v>
      </c>
      <c r="G2140">
        <v>2550203.7999999998</v>
      </c>
      <c r="H2140">
        <v>7077470.3600000003</v>
      </c>
      <c r="I2140">
        <v>2.79</v>
      </c>
      <c r="J2140">
        <v>4.79</v>
      </c>
      <c r="K2140" t="str">
        <f t="shared" si="33"/>
        <v>Jan 2023</v>
      </c>
    </row>
    <row r="2141" spans="1:11" x14ac:dyDescent="0.25">
      <c r="A2141" s="6">
        <v>44577</v>
      </c>
      <c r="B2141" t="s">
        <v>19</v>
      </c>
      <c r="C2141" t="s">
        <v>22</v>
      </c>
      <c r="D2141" t="s">
        <v>14</v>
      </c>
      <c r="E2141">
        <v>456</v>
      </c>
      <c r="F2141" s="3">
        <v>32803420.59</v>
      </c>
      <c r="G2141">
        <v>12913246.99</v>
      </c>
      <c r="H2141">
        <v>19890173.600000001</v>
      </c>
      <c r="I2141">
        <v>2.91</v>
      </c>
      <c r="J2141">
        <v>3.56</v>
      </c>
      <c r="K2141" t="str">
        <f t="shared" si="33"/>
        <v>Jan 2022</v>
      </c>
    </row>
    <row r="2142" spans="1:11" x14ac:dyDescent="0.25">
      <c r="A2142" s="6">
        <v>45188</v>
      </c>
      <c r="B2142" t="s">
        <v>19</v>
      </c>
      <c r="C2142" t="s">
        <v>22</v>
      </c>
      <c r="D2142" t="s">
        <v>17</v>
      </c>
      <c r="E2142">
        <v>120</v>
      </c>
      <c r="F2142" s="3">
        <v>7389331.7000000002</v>
      </c>
      <c r="G2142">
        <v>1497232.38</v>
      </c>
      <c r="H2142">
        <v>5892099.3200000003</v>
      </c>
      <c r="I2142">
        <v>3.9</v>
      </c>
      <c r="J2142">
        <v>3.87</v>
      </c>
      <c r="K2142" t="str">
        <f t="shared" si="33"/>
        <v>Sep 2023</v>
      </c>
    </row>
    <row r="2143" spans="1:11" x14ac:dyDescent="0.25">
      <c r="A2143" s="6">
        <v>43970</v>
      </c>
      <c r="B2143" t="s">
        <v>19</v>
      </c>
      <c r="C2143" t="s">
        <v>23</v>
      </c>
      <c r="D2143" t="s">
        <v>12</v>
      </c>
      <c r="E2143">
        <v>242</v>
      </c>
      <c r="F2143" s="3">
        <v>20269348.629999999</v>
      </c>
      <c r="G2143">
        <v>6491694.71</v>
      </c>
      <c r="H2143">
        <v>13777653.92</v>
      </c>
      <c r="I2143">
        <v>4.38</v>
      </c>
      <c r="J2143">
        <v>3.9</v>
      </c>
      <c r="K2143" t="str">
        <f t="shared" si="33"/>
        <v>May 2020</v>
      </c>
    </row>
    <row r="2144" spans="1:11" x14ac:dyDescent="0.25">
      <c r="A2144" s="6">
        <v>44323</v>
      </c>
      <c r="B2144" t="s">
        <v>19</v>
      </c>
      <c r="C2144" t="s">
        <v>20</v>
      </c>
      <c r="D2144" t="s">
        <v>17</v>
      </c>
      <c r="E2144">
        <v>383</v>
      </c>
      <c r="F2144" s="3">
        <v>31494809.52</v>
      </c>
      <c r="G2144">
        <v>10545209.65</v>
      </c>
      <c r="H2144">
        <v>20949599.870000001</v>
      </c>
      <c r="I2144">
        <v>4.79</v>
      </c>
      <c r="J2144">
        <v>3.68</v>
      </c>
      <c r="K2144" t="str">
        <f t="shared" si="33"/>
        <v>May 2021</v>
      </c>
    </row>
    <row r="2145" spans="1:11" x14ac:dyDescent="0.25">
      <c r="A2145" s="6">
        <v>44985</v>
      </c>
      <c r="B2145" t="s">
        <v>19</v>
      </c>
      <c r="C2145" t="s">
        <v>21</v>
      </c>
      <c r="D2145" t="s">
        <v>17</v>
      </c>
      <c r="E2145">
        <v>247</v>
      </c>
      <c r="F2145" s="3">
        <v>13227636.32</v>
      </c>
      <c r="G2145">
        <v>3101818.03</v>
      </c>
      <c r="H2145">
        <v>10125818.289999999</v>
      </c>
      <c r="I2145">
        <v>0.5</v>
      </c>
      <c r="J2145">
        <v>3.96</v>
      </c>
      <c r="K2145" t="str">
        <f t="shared" si="33"/>
        <v>Feb 2023</v>
      </c>
    </row>
    <row r="2146" spans="1:11" x14ac:dyDescent="0.25">
      <c r="A2146" s="6">
        <v>44419</v>
      </c>
      <c r="B2146" t="s">
        <v>19</v>
      </c>
      <c r="C2146" t="s">
        <v>24</v>
      </c>
      <c r="D2146" t="s">
        <v>12</v>
      </c>
      <c r="E2146">
        <v>290</v>
      </c>
      <c r="F2146" s="3">
        <v>12335483.52</v>
      </c>
      <c r="G2146">
        <v>3607920.15</v>
      </c>
      <c r="H2146">
        <v>8727563.3699999992</v>
      </c>
      <c r="I2146">
        <v>1.33</v>
      </c>
      <c r="J2146">
        <v>4.1399999999999997</v>
      </c>
      <c r="K2146" t="str">
        <f t="shared" si="33"/>
        <v>Aug 2021</v>
      </c>
    </row>
    <row r="2147" spans="1:11" x14ac:dyDescent="0.25">
      <c r="A2147" s="6">
        <v>45194</v>
      </c>
      <c r="B2147" t="s">
        <v>19</v>
      </c>
      <c r="C2147" t="s">
        <v>22</v>
      </c>
      <c r="D2147" t="s">
        <v>12</v>
      </c>
      <c r="E2147">
        <v>234</v>
      </c>
      <c r="F2147" s="3">
        <v>11939817.01</v>
      </c>
      <c r="G2147">
        <v>3779203.34</v>
      </c>
      <c r="H2147">
        <v>8160613.6699999999</v>
      </c>
      <c r="I2147">
        <v>2.2000000000000002</v>
      </c>
      <c r="J2147">
        <v>4.8099999999999996</v>
      </c>
      <c r="K2147" t="str">
        <f t="shared" si="33"/>
        <v>Sep 2023</v>
      </c>
    </row>
    <row r="2148" spans="1:11" x14ac:dyDescent="0.25">
      <c r="A2148" s="6">
        <v>44773</v>
      </c>
      <c r="B2148" t="s">
        <v>19</v>
      </c>
      <c r="C2148" t="s">
        <v>24</v>
      </c>
      <c r="D2148" t="s">
        <v>14</v>
      </c>
      <c r="E2148">
        <v>261</v>
      </c>
      <c r="F2148" s="3">
        <v>20731911.34</v>
      </c>
      <c r="G2148">
        <v>5235181.0199999996</v>
      </c>
      <c r="H2148">
        <v>15496730.32</v>
      </c>
      <c r="I2148">
        <v>2.92</v>
      </c>
      <c r="J2148">
        <v>4.76</v>
      </c>
      <c r="K2148" t="str">
        <f t="shared" si="33"/>
        <v>Jul 2022</v>
      </c>
    </row>
    <row r="2149" spans="1:11" x14ac:dyDescent="0.25">
      <c r="A2149" s="6">
        <v>45066</v>
      </c>
      <c r="B2149" t="s">
        <v>19</v>
      </c>
      <c r="C2149" t="s">
        <v>23</v>
      </c>
      <c r="D2149" t="s">
        <v>14</v>
      </c>
      <c r="E2149">
        <v>207</v>
      </c>
      <c r="F2149" s="3">
        <v>7930683.7699999996</v>
      </c>
      <c r="G2149">
        <v>2700159.46</v>
      </c>
      <c r="H2149">
        <v>5230524.3099999996</v>
      </c>
      <c r="I2149">
        <v>1.84</v>
      </c>
      <c r="J2149">
        <v>3.98</v>
      </c>
      <c r="K2149" t="str">
        <f t="shared" si="33"/>
        <v>May 2023</v>
      </c>
    </row>
    <row r="2150" spans="1:11" x14ac:dyDescent="0.25">
      <c r="A2150" s="6">
        <v>44877</v>
      </c>
      <c r="B2150" t="s">
        <v>19</v>
      </c>
      <c r="C2150" t="s">
        <v>24</v>
      </c>
      <c r="D2150" t="s">
        <v>14</v>
      </c>
      <c r="E2150">
        <v>256</v>
      </c>
      <c r="F2150" s="3">
        <v>19986912.949999999</v>
      </c>
      <c r="G2150">
        <v>7505094.3600000003</v>
      </c>
      <c r="H2150">
        <v>12481818.59</v>
      </c>
      <c r="I2150">
        <v>3.36</v>
      </c>
      <c r="J2150">
        <v>3.69</v>
      </c>
      <c r="K2150" t="str">
        <f t="shared" si="33"/>
        <v>Nov 2022</v>
      </c>
    </row>
    <row r="2151" spans="1:11" x14ac:dyDescent="0.25">
      <c r="A2151" s="6">
        <v>43848</v>
      </c>
      <c r="B2151" t="s">
        <v>19</v>
      </c>
      <c r="C2151" t="s">
        <v>23</v>
      </c>
      <c r="D2151" t="s">
        <v>17</v>
      </c>
      <c r="E2151">
        <v>477</v>
      </c>
      <c r="F2151" s="3">
        <v>17239586.969999999</v>
      </c>
      <c r="G2151">
        <v>4272362.79</v>
      </c>
      <c r="H2151">
        <v>12967224.18</v>
      </c>
      <c r="I2151">
        <v>0.69</v>
      </c>
      <c r="J2151">
        <v>4.8</v>
      </c>
      <c r="K2151" t="str">
        <f t="shared" si="33"/>
        <v>Jan 2020</v>
      </c>
    </row>
    <row r="2152" spans="1:11" x14ac:dyDescent="0.25">
      <c r="A2152" s="6">
        <v>44406</v>
      </c>
      <c r="B2152" t="s">
        <v>19</v>
      </c>
      <c r="C2152" t="s">
        <v>23</v>
      </c>
      <c r="D2152" t="s">
        <v>12</v>
      </c>
      <c r="E2152">
        <v>247</v>
      </c>
      <c r="F2152" s="3">
        <v>9702680.8200000003</v>
      </c>
      <c r="G2152">
        <v>2026990.56</v>
      </c>
      <c r="H2152">
        <v>7675690.2599999998</v>
      </c>
      <c r="I2152">
        <v>1.61</v>
      </c>
      <c r="J2152">
        <v>4.79</v>
      </c>
      <c r="K2152" t="str">
        <f t="shared" si="33"/>
        <v>Jul 2021</v>
      </c>
    </row>
    <row r="2153" spans="1:11" x14ac:dyDescent="0.25">
      <c r="A2153" s="6">
        <v>45451</v>
      </c>
      <c r="B2153" t="s">
        <v>19</v>
      </c>
      <c r="C2153" t="s">
        <v>22</v>
      </c>
      <c r="D2153" t="s">
        <v>12</v>
      </c>
      <c r="E2153">
        <v>428</v>
      </c>
      <c r="F2153" s="3">
        <v>35081815.450000003</v>
      </c>
      <c r="G2153">
        <v>13939908.02</v>
      </c>
      <c r="H2153">
        <v>21141907.420000002</v>
      </c>
      <c r="I2153">
        <v>2.8</v>
      </c>
      <c r="J2153">
        <v>4.6500000000000004</v>
      </c>
      <c r="K2153" t="str">
        <f t="shared" si="33"/>
        <v>Jun 2024</v>
      </c>
    </row>
    <row r="2154" spans="1:11" x14ac:dyDescent="0.25">
      <c r="A2154" s="6">
        <v>45246</v>
      </c>
      <c r="B2154" t="s">
        <v>19</v>
      </c>
      <c r="C2154" t="s">
        <v>22</v>
      </c>
      <c r="D2154" t="s">
        <v>14</v>
      </c>
      <c r="E2154">
        <v>123</v>
      </c>
      <c r="F2154" s="3">
        <v>7704180.1200000001</v>
      </c>
      <c r="G2154">
        <v>3059512.92</v>
      </c>
      <c r="H2154">
        <v>4644667.2</v>
      </c>
      <c r="I2154">
        <v>4.1100000000000003</v>
      </c>
      <c r="J2154">
        <v>4.97</v>
      </c>
      <c r="K2154" t="str">
        <f t="shared" si="33"/>
        <v>Nov 2023</v>
      </c>
    </row>
    <row r="2155" spans="1:11" x14ac:dyDescent="0.25">
      <c r="A2155" s="6">
        <v>45389</v>
      </c>
      <c r="B2155" t="s">
        <v>19</v>
      </c>
      <c r="C2155" t="s">
        <v>22</v>
      </c>
      <c r="D2155" t="s">
        <v>17</v>
      </c>
      <c r="E2155">
        <v>230</v>
      </c>
      <c r="F2155" s="3">
        <v>11644931.34</v>
      </c>
      <c r="G2155">
        <v>3984968.81</v>
      </c>
      <c r="H2155">
        <v>7659962.5300000003</v>
      </c>
      <c r="I2155">
        <v>2.2000000000000002</v>
      </c>
      <c r="J2155">
        <v>4.09</v>
      </c>
      <c r="K2155" t="str">
        <f t="shared" si="33"/>
        <v>Apr 2024</v>
      </c>
    </row>
    <row r="2156" spans="1:11" x14ac:dyDescent="0.25">
      <c r="A2156" s="6">
        <v>45019</v>
      </c>
      <c r="B2156" t="s">
        <v>19</v>
      </c>
      <c r="C2156" t="s">
        <v>22</v>
      </c>
      <c r="D2156" t="s">
        <v>14</v>
      </c>
      <c r="E2156">
        <v>127</v>
      </c>
      <c r="F2156" s="3">
        <v>7556488.71</v>
      </c>
      <c r="G2156">
        <v>2127572.62</v>
      </c>
      <c r="H2156">
        <v>5428916.0899999999</v>
      </c>
      <c r="I2156">
        <v>3.65</v>
      </c>
      <c r="J2156">
        <v>3.79</v>
      </c>
      <c r="K2156" t="str">
        <f t="shared" si="33"/>
        <v>Apr 2023</v>
      </c>
    </row>
    <row r="2157" spans="1:11" x14ac:dyDescent="0.25">
      <c r="A2157" s="6">
        <v>44647</v>
      </c>
      <c r="B2157" t="s">
        <v>19</v>
      </c>
      <c r="C2157" t="s">
        <v>23</v>
      </c>
      <c r="D2157" t="s">
        <v>17</v>
      </c>
      <c r="E2157">
        <v>130</v>
      </c>
      <c r="F2157" s="3">
        <v>8148917.6799999997</v>
      </c>
      <c r="G2157">
        <v>1961541.36</v>
      </c>
      <c r="H2157">
        <v>6187376.3300000001</v>
      </c>
      <c r="I2157">
        <v>3.83</v>
      </c>
      <c r="J2157">
        <v>4.47</v>
      </c>
      <c r="K2157" t="str">
        <f t="shared" si="33"/>
        <v>Mar 2022</v>
      </c>
    </row>
    <row r="2158" spans="1:11" x14ac:dyDescent="0.25">
      <c r="A2158" s="6">
        <v>44873</v>
      </c>
      <c r="B2158" t="s">
        <v>19</v>
      </c>
      <c r="C2158" t="s">
        <v>23</v>
      </c>
      <c r="D2158" t="s">
        <v>12</v>
      </c>
      <c r="E2158">
        <v>487</v>
      </c>
      <c r="F2158" s="3">
        <v>20211587.309999999</v>
      </c>
      <c r="G2158">
        <v>6461654.1200000001</v>
      </c>
      <c r="H2158">
        <v>13749933.189999999</v>
      </c>
      <c r="I2158">
        <v>4.07</v>
      </c>
      <c r="J2158">
        <v>3.83</v>
      </c>
      <c r="K2158" t="str">
        <f t="shared" si="33"/>
        <v>Nov 2022</v>
      </c>
    </row>
    <row r="2159" spans="1:11" x14ac:dyDescent="0.25">
      <c r="A2159" s="6">
        <v>43863</v>
      </c>
      <c r="B2159" t="s">
        <v>19</v>
      </c>
      <c r="C2159" t="s">
        <v>24</v>
      </c>
      <c r="D2159" t="s">
        <v>12</v>
      </c>
      <c r="E2159">
        <v>146</v>
      </c>
      <c r="F2159" s="3">
        <v>5429685.8600000003</v>
      </c>
      <c r="G2159">
        <v>1874340.48</v>
      </c>
      <c r="H2159">
        <v>3555345.38</v>
      </c>
      <c r="I2159">
        <v>4.8</v>
      </c>
      <c r="J2159">
        <v>4.93</v>
      </c>
      <c r="K2159" t="str">
        <f t="shared" si="33"/>
        <v>Feb 2020</v>
      </c>
    </row>
    <row r="2160" spans="1:11" x14ac:dyDescent="0.25">
      <c r="A2160" s="6">
        <v>45201</v>
      </c>
      <c r="B2160" t="s">
        <v>19</v>
      </c>
      <c r="C2160" t="s">
        <v>24</v>
      </c>
      <c r="D2160" t="s">
        <v>12</v>
      </c>
      <c r="E2160">
        <v>331</v>
      </c>
      <c r="F2160" s="3">
        <v>24960369.52</v>
      </c>
      <c r="G2160">
        <v>6491710.21</v>
      </c>
      <c r="H2160">
        <v>18468659.309999999</v>
      </c>
      <c r="I2160">
        <v>4.34</v>
      </c>
      <c r="J2160">
        <v>3.67</v>
      </c>
      <c r="K2160" t="str">
        <f t="shared" si="33"/>
        <v>Oct 2023</v>
      </c>
    </row>
    <row r="2161" spans="1:11" x14ac:dyDescent="0.25">
      <c r="A2161" s="6">
        <v>44528</v>
      </c>
      <c r="B2161" t="s">
        <v>19</v>
      </c>
      <c r="C2161" t="s">
        <v>24</v>
      </c>
      <c r="D2161" t="s">
        <v>14</v>
      </c>
      <c r="E2161">
        <v>118</v>
      </c>
      <c r="F2161" s="3">
        <v>5046381.92</v>
      </c>
      <c r="G2161">
        <v>1247954.26</v>
      </c>
      <c r="H2161">
        <v>3798427.66</v>
      </c>
      <c r="I2161">
        <v>0.99</v>
      </c>
      <c r="J2161">
        <v>4.97</v>
      </c>
      <c r="K2161" t="str">
        <f t="shared" si="33"/>
        <v>Nov 2021</v>
      </c>
    </row>
    <row r="2162" spans="1:11" x14ac:dyDescent="0.25">
      <c r="A2162" s="6">
        <v>45295</v>
      </c>
      <c r="B2162" t="s">
        <v>19</v>
      </c>
      <c r="C2162" t="s">
        <v>21</v>
      </c>
      <c r="D2162" t="s">
        <v>14</v>
      </c>
      <c r="E2162">
        <v>168</v>
      </c>
      <c r="F2162" s="3">
        <v>10294337.25</v>
      </c>
      <c r="G2162">
        <v>3133269.06</v>
      </c>
      <c r="H2162">
        <v>7161068.1900000004</v>
      </c>
      <c r="I2162">
        <v>3.96</v>
      </c>
      <c r="J2162">
        <v>4.4400000000000004</v>
      </c>
      <c r="K2162" t="str">
        <f t="shared" si="33"/>
        <v>Jan 2024</v>
      </c>
    </row>
    <row r="2163" spans="1:11" x14ac:dyDescent="0.25">
      <c r="A2163" s="6">
        <v>45544</v>
      </c>
      <c r="B2163" t="s">
        <v>19</v>
      </c>
      <c r="C2163" t="s">
        <v>21</v>
      </c>
      <c r="D2163" t="s">
        <v>14</v>
      </c>
      <c r="E2163">
        <v>462</v>
      </c>
      <c r="F2163" s="3">
        <v>19880394.100000001</v>
      </c>
      <c r="G2163">
        <v>4222340.68</v>
      </c>
      <c r="H2163">
        <v>15658053.42</v>
      </c>
      <c r="I2163">
        <v>4.63</v>
      </c>
      <c r="J2163">
        <v>4.83</v>
      </c>
      <c r="K2163" t="str">
        <f t="shared" si="33"/>
        <v>Sep 2024</v>
      </c>
    </row>
    <row r="2164" spans="1:11" x14ac:dyDescent="0.25">
      <c r="A2164" s="6">
        <v>44296</v>
      </c>
      <c r="B2164" t="s">
        <v>19</v>
      </c>
      <c r="C2164" t="s">
        <v>23</v>
      </c>
      <c r="D2164" t="s">
        <v>14</v>
      </c>
      <c r="E2164">
        <v>81</v>
      </c>
      <c r="F2164" s="3">
        <v>5938181.0499999998</v>
      </c>
      <c r="G2164">
        <v>1277809.8799999999</v>
      </c>
      <c r="H2164">
        <v>4660371.17</v>
      </c>
      <c r="I2164">
        <v>4.1900000000000004</v>
      </c>
      <c r="J2164">
        <v>4.34</v>
      </c>
      <c r="K2164" t="str">
        <f t="shared" si="33"/>
        <v>Apr 2021</v>
      </c>
    </row>
    <row r="2165" spans="1:11" x14ac:dyDescent="0.25">
      <c r="A2165" s="6">
        <v>44814</v>
      </c>
      <c r="B2165" t="s">
        <v>19</v>
      </c>
      <c r="C2165" t="s">
        <v>23</v>
      </c>
      <c r="D2165" t="s">
        <v>12</v>
      </c>
      <c r="E2165">
        <v>229</v>
      </c>
      <c r="F2165" s="3">
        <v>16020952.83</v>
      </c>
      <c r="G2165">
        <v>5267824.59</v>
      </c>
      <c r="H2165">
        <v>10753128.24</v>
      </c>
      <c r="I2165">
        <v>1.17</v>
      </c>
      <c r="J2165">
        <v>4.3899999999999997</v>
      </c>
      <c r="K2165" t="str">
        <f t="shared" si="33"/>
        <v>Sep 2022</v>
      </c>
    </row>
    <row r="2166" spans="1:11" x14ac:dyDescent="0.25">
      <c r="A2166" s="6">
        <v>45465</v>
      </c>
      <c r="B2166" t="s">
        <v>19</v>
      </c>
      <c r="C2166" t="s">
        <v>20</v>
      </c>
      <c r="D2166" t="s">
        <v>17</v>
      </c>
      <c r="E2166">
        <v>277</v>
      </c>
      <c r="F2166" s="3">
        <v>18103750.460000001</v>
      </c>
      <c r="G2166">
        <v>6365864.5199999996</v>
      </c>
      <c r="H2166">
        <v>11737885.939999999</v>
      </c>
      <c r="I2166">
        <v>2.42</v>
      </c>
      <c r="J2166">
        <v>4.95</v>
      </c>
      <c r="K2166" t="str">
        <f t="shared" si="33"/>
        <v>Jun 2024</v>
      </c>
    </row>
    <row r="2167" spans="1:11" x14ac:dyDescent="0.25">
      <c r="A2167" s="6">
        <v>44468</v>
      </c>
      <c r="B2167" t="s">
        <v>19</v>
      </c>
      <c r="C2167" t="s">
        <v>20</v>
      </c>
      <c r="D2167" t="s">
        <v>14</v>
      </c>
      <c r="E2167">
        <v>219</v>
      </c>
      <c r="F2167" s="3">
        <v>14463142.359999999</v>
      </c>
      <c r="G2167">
        <v>3086560.05</v>
      </c>
      <c r="H2167">
        <v>11376582.310000001</v>
      </c>
      <c r="I2167">
        <v>3.14</v>
      </c>
      <c r="J2167">
        <v>4.29</v>
      </c>
      <c r="K2167" t="str">
        <f t="shared" si="33"/>
        <v>Sep 2021</v>
      </c>
    </row>
    <row r="2168" spans="1:11" x14ac:dyDescent="0.25">
      <c r="A2168" s="6">
        <v>45551</v>
      </c>
      <c r="B2168" t="s">
        <v>19</v>
      </c>
      <c r="C2168" t="s">
        <v>24</v>
      </c>
      <c r="D2168" t="s">
        <v>14</v>
      </c>
      <c r="E2168">
        <v>111</v>
      </c>
      <c r="F2168" s="3">
        <v>8915505.6600000001</v>
      </c>
      <c r="G2168">
        <v>3202293.33</v>
      </c>
      <c r="H2168">
        <v>5713212.3399999999</v>
      </c>
      <c r="I2168">
        <v>2.61</v>
      </c>
      <c r="J2168">
        <v>4.7</v>
      </c>
      <c r="K2168" t="str">
        <f t="shared" si="33"/>
        <v>Sep 2024</v>
      </c>
    </row>
    <row r="2169" spans="1:11" x14ac:dyDescent="0.25">
      <c r="A2169" s="6">
        <v>45575</v>
      </c>
      <c r="B2169" t="s">
        <v>19</v>
      </c>
      <c r="C2169" t="s">
        <v>21</v>
      </c>
      <c r="D2169" t="s">
        <v>12</v>
      </c>
      <c r="E2169">
        <v>179</v>
      </c>
      <c r="F2169" s="3">
        <v>9988620.3499999996</v>
      </c>
      <c r="G2169">
        <v>2962038.5</v>
      </c>
      <c r="H2169">
        <v>7026581.8499999996</v>
      </c>
      <c r="I2169">
        <v>2.36</v>
      </c>
      <c r="J2169">
        <v>3.8</v>
      </c>
      <c r="K2169" t="str">
        <f t="shared" si="33"/>
        <v>Oct 2024</v>
      </c>
    </row>
    <row r="2170" spans="1:11" x14ac:dyDescent="0.25">
      <c r="A2170" s="6">
        <v>45166</v>
      </c>
      <c r="B2170" t="s">
        <v>19</v>
      </c>
      <c r="C2170" t="s">
        <v>24</v>
      </c>
      <c r="D2170" t="s">
        <v>14</v>
      </c>
      <c r="E2170">
        <v>493</v>
      </c>
      <c r="F2170" s="3">
        <v>17942327.399999999</v>
      </c>
      <c r="G2170">
        <v>4700721.5199999996</v>
      </c>
      <c r="H2170">
        <v>13241605.880000001</v>
      </c>
      <c r="I2170">
        <v>1.92</v>
      </c>
      <c r="J2170">
        <v>3.58</v>
      </c>
      <c r="K2170" t="str">
        <f t="shared" si="33"/>
        <v>Aug 2023</v>
      </c>
    </row>
    <row r="2171" spans="1:11" x14ac:dyDescent="0.25">
      <c r="A2171" s="6">
        <v>45198</v>
      </c>
      <c r="B2171" t="s">
        <v>19</v>
      </c>
      <c r="C2171" t="s">
        <v>24</v>
      </c>
      <c r="D2171" t="s">
        <v>12</v>
      </c>
      <c r="E2171">
        <v>150</v>
      </c>
      <c r="F2171" s="3">
        <v>8223250.8300000001</v>
      </c>
      <c r="G2171">
        <v>3146098.66</v>
      </c>
      <c r="H2171">
        <v>5077152.17</v>
      </c>
      <c r="I2171">
        <v>1.41</v>
      </c>
      <c r="J2171">
        <v>4.32</v>
      </c>
      <c r="K2171" t="str">
        <f t="shared" si="33"/>
        <v>Sep 2023</v>
      </c>
    </row>
    <row r="2172" spans="1:11" x14ac:dyDescent="0.25">
      <c r="A2172" s="6">
        <v>44077</v>
      </c>
      <c r="B2172" t="s">
        <v>19</v>
      </c>
      <c r="C2172" t="s">
        <v>23</v>
      </c>
      <c r="D2172" t="s">
        <v>14</v>
      </c>
      <c r="E2172">
        <v>415</v>
      </c>
      <c r="F2172" s="3">
        <v>21326330.399999999</v>
      </c>
      <c r="G2172">
        <v>8147684.0099999998</v>
      </c>
      <c r="H2172">
        <v>13178646.390000001</v>
      </c>
      <c r="I2172">
        <v>4.5999999999999996</v>
      </c>
      <c r="J2172">
        <v>3.51</v>
      </c>
      <c r="K2172" t="str">
        <f t="shared" si="33"/>
        <v>Sep 2020</v>
      </c>
    </row>
    <row r="2173" spans="1:11" x14ac:dyDescent="0.25">
      <c r="A2173" s="6">
        <v>43973</v>
      </c>
      <c r="B2173" t="s">
        <v>19</v>
      </c>
      <c r="C2173" t="s">
        <v>22</v>
      </c>
      <c r="D2173" t="s">
        <v>17</v>
      </c>
      <c r="E2173">
        <v>426</v>
      </c>
      <c r="F2173" s="3">
        <v>20663251.170000002</v>
      </c>
      <c r="G2173">
        <v>4908240.49</v>
      </c>
      <c r="H2173">
        <v>15755010.68</v>
      </c>
      <c r="I2173">
        <v>2.04</v>
      </c>
      <c r="J2173">
        <v>3.67</v>
      </c>
      <c r="K2173" t="str">
        <f t="shared" si="33"/>
        <v>May 2020</v>
      </c>
    </row>
    <row r="2174" spans="1:11" x14ac:dyDescent="0.25">
      <c r="A2174" s="6">
        <v>45322</v>
      </c>
      <c r="B2174" t="s">
        <v>19</v>
      </c>
      <c r="C2174" t="s">
        <v>23</v>
      </c>
      <c r="D2174" t="s">
        <v>14</v>
      </c>
      <c r="E2174">
        <v>355</v>
      </c>
      <c r="F2174" s="3">
        <v>31282876.039999999</v>
      </c>
      <c r="G2174">
        <v>11225582.42</v>
      </c>
      <c r="H2174">
        <v>20057293.620000001</v>
      </c>
      <c r="I2174">
        <v>3.84</v>
      </c>
      <c r="J2174">
        <v>4.32</v>
      </c>
      <c r="K2174" t="str">
        <f t="shared" si="33"/>
        <v>Jan 2024</v>
      </c>
    </row>
    <row r="2175" spans="1:11" x14ac:dyDescent="0.25">
      <c r="A2175" s="6">
        <v>44335</v>
      </c>
      <c r="B2175" t="s">
        <v>19</v>
      </c>
      <c r="C2175" t="s">
        <v>20</v>
      </c>
      <c r="D2175" t="s">
        <v>17</v>
      </c>
      <c r="E2175">
        <v>232</v>
      </c>
      <c r="F2175" s="3">
        <v>11723014.65</v>
      </c>
      <c r="G2175">
        <v>4499401.49</v>
      </c>
      <c r="H2175">
        <v>7223613.1600000001</v>
      </c>
      <c r="I2175">
        <v>4.4400000000000004</v>
      </c>
      <c r="J2175">
        <v>4.59</v>
      </c>
      <c r="K2175" t="str">
        <f t="shared" si="33"/>
        <v>May 2021</v>
      </c>
    </row>
    <row r="2176" spans="1:11" x14ac:dyDescent="0.25">
      <c r="A2176" s="6">
        <v>45401</v>
      </c>
      <c r="B2176" t="s">
        <v>19</v>
      </c>
      <c r="C2176" t="s">
        <v>20</v>
      </c>
      <c r="D2176" t="s">
        <v>12</v>
      </c>
      <c r="E2176">
        <v>261</v>
      </c>
      <c r="F2176" s="3">
        <v>22291201.760000002</v>
      </c>
      <c r="G2176">
        <v>7454899.2199999997</v>
      </c>
      <c r="H2176">
        <v>14836302.550000001</v>
      </c>
      <c r="I2176">
        <v>2.17</v>
      </c>
      <c r="J2176">
        <v>4.6399999999999997</v>
      </c>
      <c r="K2176" t="str">
        <f t="shared" si="33"/>
        <v>Apr 2024</v>
      </c>
    </row>
    <row r="2177" spans="1:11" x14ac:dyDescent="0.25">
      <c r="A2177" s="6">
        <v>45374</v>
      </c>
      <c r="B2177" t="s">
        <v>19</v>
      </c>
      <c r="C2177" t="s">
        <v>21</v>
      </c>
      <c r="D2177" t="s">
        <v>17</v>
      </c>
      <c r="E2177">
        <v>272</v>
      </c>
      <c r="F2177" s="3">
        <v>9577403.6999999993</v>
      </c>
      <c r="G2177">
        <v>2869374.44</v>
      </c>
      <c r="H2177">
        <v>6708029.25</v>
      </c>
      <c r="I2177">
        <v>3.12</v>
      </c>
      <c r="J2177">
        <v>4.37</v>
      </c>
      <c r="K2177" t="str">
        <f t="shared" si="33"/>
        <v>Mar 2024</v>
      </c>
    </row>
    <row r="2178" spans="1:11" x14ac:dyDescent="0.25">
      <c r="A2178" s="6">
        <v>44663</v>
      </c>
      <c r="B2178" t="s">
        <v>19</v>
      </c>
      <c r="C2178" t="s">
        <v>21</v>
      </c>
      <c r="D2178" t="s">
        <v>12</v>
      </c>
      <c r="E2178">
        <v>157</v>
      </c>
      <c r="F2178" s="3">
        <v>5923347.0199999996</v>
      </c>
      <c r="G2178">
        <v>2064804.5</v>
      </c>
      <c r="H2178">
        <v>3858542.52</v>
      </c>
      <c r="I2178">
        <v>2.59</v>
      </c>
      <c r="J2178">
        <v>3.84</v>
      </c>
      <c r="K2178" t="str">
        <f t="shared" ref="K2178:K2201" si="34">TEXT(A2178,"mmm yyyy")</f>
        <v>Apr 2022</v>
      </c>
    </row>
    <row r="2179" spans="1:11" x14ac:dyDescent="0.25">
      <c r="A2179" s="6">
        <v>44686</v>
      </c>
      <c r="B2179" t="s">
        <v>19</v>
      </c>
      <c r="C2179" t="s">
        <v>23</v>
      </c>
      <c r="D2179" t="s">
        <v>12</v>
      </c>
      <c r="E2179">
        <v>68</v>
      </c>
      <c r="F2179" s="3">
        <v>2705788.74</v>
      </c>
      <c r="G2179">
        <v>818563.63</v>
      </c>
      <c r="H2179">
        <v>1887225.11</v>
      </c>
      <c r="I2179">
        <v>3.61</v>
      </c>
      <c r="J2179">
        <v>3.89</v>
      </c>
      <c r="K2179" t="str">
        <f t="shared" si="34"/>
        <v>May 2022</v>
      </c>
    </row>
    <row r="2180" spans="1:11" x14ac:dyDescent="0.25">
      <c r="A2180" s="6">
        <v>44382</v>
      </c>
      <c r="B2180" t="s">
        <v>19</v>
      </c>
      <c r="C2180" t="s">
        <v>23</v>
      </c>
      <c r="D2180" t="s">
        <v>12</v>
      </c>
      <c r="E2180">
        <v>482</v>
      </c>
      <c r="F2180" s="3">
        <v>28663037.989999998</v>
      </c>
      <c r="G2180">
        <v>8661692.6199999992</v>
      </c>
      <c r="H2180">
        <v>20001345.370000001</v>
      </c>
      <c r="I2180">
        <v>2.08</v>
      </c>
      <c r="J2180">
        <v>4.8600000000000003</v>
      </c>
      <c r="K2180" t="str">
        <f t="shared" si="34"/>
        <v>Jul 2021</v>
      </c>
    </row>
    <row r="2181" spans="1:11" x14ac:dyDescent="0.25">
      <c r="A2181" s="6">
        <v>44101</v>
      </c>
      <c r="B2181" t="s">
        <v>19</v>
      </c>
      <c r="C2181" t="s">
        <v>21</v>
      </c>
      <c r="D2181" t="s">
        <v>14</v>
      </c>
      <c r="E2181">
        <v>322</v>
      </c>
      <c r="F2181" s="3">
        <v>16569398.800000001</v>
      </c>
      <c r="G2181">
        <v>5199947</v>
      </c>
      <c r="H2181">
        <v>11369451.800000001</v>
      </c>
      <c r="I2181">
        <v>1.9</v>
      </c>
      <c r="J2181">
        <v>4.59</v>
      </c>
      <c r="K2181" t="str">
        <f t="shared" si="34"/>
        <v>Sep 2020</v>
      </c>
    </row>
    <row r="2182" spans="1:11" x14ac:dyDescent="0.25">
      <c r="A2182" s="6">
        <v>44575</v>
      </c>
      <c r="B2182" t="s">
        <v>19</v>
      </c>
      <c r="C2182" t="s">
        <v>24</v>
      </c>
      <c r="D2182" t="s">
        <v>12</v>
      </c>
      <c r="E2182">
        <v>98</v>
      </c>
      <c r="F2182" s="3">
        <v>8003262.8600000003</v>
      </c>
      <c r="G2182">
        <v>2619859.5299999998</v>
      </c>
      <c r="H2182">
        <v>5383403.3300000001</v>
      </c>
      <c r="I2182">
        <v>4.07</v>
      </c>
      <c r="J2182">
        <v>4.91</v>
      </c>
      <c r="K2182" t="str">
        <f t="shared" si="34"/>
        <v>Jan 2022</v>
      </c>
    </row>
    <row r="2183" spans="1:11" x14ac:dyDescent="0.25">
      <c r="A2183" s="6">
        <v>45381</v>
      </c>
      <c r="B2183" t="s">
        <v>19</v>
      </c>
      <c r="C2183" t="s">
        <v>24</v>
      </c>
      <c r="D2183" t="s">
        <v>17</v>
      </c>
      <c r="E2183">
        <v>312</v>
      </c>
      <c r="F2183" s="3">
        <v>16741020.32</v>
      </c>
      <c r="G2183">
        <v>4872991.43</v>
      </c>
      <c r="H2183">
        <v>11868028.890000001</v>
      </c>
      <c r="I2183">
        <v>0.68</v>
      </c>
      <c r="J2183">
        <v>4.62</v>
      </c>
      <c r="K2183" t="str">
        <f t="shared" si="34"/>
        <v>Mar 2024</v>
      </c>
    </row>
    <row r="2184" spans="1:11" x14ac:dyDescent="0.25">
      <c r="A2184" s="6">
        <v>44013</v>
      </c>
      <c r="B2184" t="s">
        <v>19</v>
      </c>
      <c r="C2184" t="s">
        <v>20</v>
      </c>
      <c r="D2184" t="s">
        <v>17</v>
      </c>
      <c r="E2184">
        <v>178</v>
      </c>
      <c r="F2184" s="3">
        <v>6731869.2699999996</v>
      </c>
      <c r="G2184">
        <v>2151672</v>
      </c>
      <c r="H2184">
        <v>4580197.26</v>
      </c>
      <c r="I2184">
        <v>3.53</v>
      </c>
      <c r="J2184">
        <v>4.18</v>
      </c>
      <c r="K2184" t="str">
        <f t="shared" si="34"/>
        <v>Jul 2020</v>
      </c>
    </row>
    <row r="2185" spans="1:11" x14ac:dyDescent="0.25">
      <c r="A2185" s="6">
        <v>44512</v>
      </c>
      <c r="B2185" t="s">
        <v>19</v>
      </c>
      <c r="C2185" t="s">
        <v>23</v>
      </c>
      <c r="D2185" t="s">
        <v>17</v>
      </c>
      <c r="E2185">
        <v>206</v>
      </c>
      <c r="F2185" s="3">
        <v>12469430.74</v>
      </c>
      <c r="G2185">
        <v>3443547.23</v>
      </c>
      <c r="H2185">
        <v>9025883.5099999998</v>
      </c>
      <c r="I2185">
        <v>2.66</v>
      </c>
      <c r="J2185">
        <v>4.49</v>
      </c>
      <c r="K2185" t="str">
        <f t="shared" si="34"/>
        <v>Nov 2021</v>
      </c>
    </row>
    <row r="2186" spans="1:11" x14ac:dyDescent="0.25">
      <c r="A2186" s="6">
        <v>44974</v>
      </c>
      <c r="B2186" t="s">
        <v>19</v>
      </c>
      <c r="C2186" t="s">
        <v>23</v>
      </c>
      <c r="D2186" t="s">
        <v>17</v>
      </c>
      <c r="E2186">
        <v>383</v>
      </c>
      <c r="F2186" s="3">
        <v>24900085.579999998</v>
      </c>
      <c r="G2186">
        <v>8943790.0899999999</v>
      </c>
      <c r="H2186">
        <v>15956295.5</v>
      </c>
      <c r="I2186">
        <v>1.81</v>
      </c>
      <c r="J2186">
        <v>4.62</v>
      </c>
      <c r="K2186" t="str">
        <f t="shared" si="34"/>
        <v>Feb 2023</v>
      </c>
    </row>
    <row r="2187" spans="1:11" x14ac:dyDescent="0.25">
      <c r="A2187" s="6">
        <v>44644</v>
      </c>
      <c r="B2187" t="s">
        <v>19</v>
      </c>
      <c r="C2187" t="s">
        <v>22</v>
      </c>
      <c r="D2187" t="s">
        <v>14</v>
      </c>
      <c r="E2187">
        <v>350</v>
      </c>
      <c r="F2187" s="3">
        <v>19574276.300000001</v>
      </c>
      <c r="G2187">
        <v>7414244.21</v>
      </c>
      <c r="H2187">
        <v>12160032.08</v>
      </c>
      <c r="I2187">
        <v>2.89</v>
      </c>
      <c r="J2187">
        <v>4.09</v>
      </c>
      <c r="K2187" t="str">
        <f t="shared" si="34"/>
        <v>Mar 2022</v>
      </c>
    </row>
    <row r="2188" spans="1:11" x14ac:dyDescent="0.25">
      <c r="A2188" s="6">
        <v>43982</v>
      </c>
      <c r="B2188" t="s">
        <v>19</v>
      </c>
      <c r="C2188" t="s">
        <v>24</v>
      </c>
      <c r="D2188" t="s">
        <v>17</v>
      </c>
      <c r="E2188">
        <v>51</v>
      </c>
      <c r="F2188" s="3">
        <v>2983029.65</v>
      </c>
      <c r="G2188">
        <v>909764.18</v>
      </c>
      <c r="H2188">
        <v>2073265.47</v>
      </c>
      <c r="I2188">
        <v>4.54</v>
      </c>
      <c r="J2188">
        <v>4.29</v>
      </c>
      <c r="K2188" t="str">
        <f t="shared" si="34"/>
        <v>May 2020</v>
      </c>
    </row>
    <row r="2189" spans="1:11" x14ac:dyDescent="0.25">
      <c r="A2189" s="6">
        <v>44433</v>
      </c>
      <c r="B2189" t="s">
        <v>19</v>
      </c>
      <c r="C2189" t="s">
        <v>24</v>
      </c>
      <c r="D2189" t="s">
        <v>12</v>
      </c>
      <c r="E2189">
        <v>318</v>
      </c>
      <c r="F2189" s="3">
        <v>21943906.07</v>
      </c>
      <c r="G2189">
        <v>5790240.2999999998</v>
      </c>
      <c r="H2189">
        <v>16153665.77</v>
      </c>
      <c r="I2189">
        <v>3.5</v>
      </c>
      <c r="J2189">
        <v>4.2699999999999996</v>
      </c>
      <c r="K2189" t="str">
        <f t="shared" si="34"/>
        <v>Aug 2021</v>
      </c>
    </row>
    <row r="2190" spans="1:11" x14ac:dyDescent="0.25">
      <c r="A2190" s="6">
        <v>45279</v>
      </c>
      <c r="B2190" t="s">
        <v>19</v>
      </c>
      <c r="C2190" t="s">
        <v>24</v>
      </c>
      <c r="D2190" t="s">
        <v>12</v>
      </c>
      <c r="E2190">
        <v>353</v>
      </c>
      <c r="F2190" s="3">
        <v>12373316.41</v>
      </c>
      <c r="G2190">
        <v>4852158.78</v>
      </c>
      <c r="H2190">
        <v>7521157.6299999999</v>
      </c>
      <c r="I2190">
        <v>4.9000000000000004</v>
      </c>
      <c r="J2190">
        <v>3.86</v>
      </c>
      <c r="K2190" t="str">
        <f t="shared" si="34"/>
        <v>Dec 2023</v>
      </c>
    </row>
    <row r="2191" spans="1:11" x14ac:dyDescent="0.25">
      <c r="A2191" s="6">
        <v>45430</v>
      </c>
      <c r="B2191" t="s">
        <v>19</v>
      </c>
      <c r="C2191" t="s">
        <v>24</v>
      </c>
      <c r="D2191" t="s">
        <v>14</v>
      </c>
      <c r="E2191">
        <v>328</v>
      </c>
      <c r="F2191" s="3">
        <v>18474020.59</v>
      </c>
      <c r="G2191">
        <v>6878364.8399999999</v>
      </c>
      <c r="H2191">
        <v>11595655.75</v>
      </c>
      <c r="I2191">
        <v>3.82</v>
      </c>
      <c r="J2191">
        <v>4.79</v>
      </c>
      <c r="K2191" t="str">
        <f t="shared" si="34"/>
        <v>May 2024</v>
      </c>
    </row>
    <row r="2192" spans="1:11" x14ac:dyDescent="0.25">
      <c r="A2192" s="6">
        <v>44855</v>
      </c>
      <c r="B2192" t="s">
        <v>19</v>
      </c>
      <c r="C2192" t="s">
        <v>23</v>
      </c>
      <c r="D2192" t="s">
        <v>14</v>
      </c>
      <c r="E2192">
        <v>95</v>
      </c>
      <c r="F2192" s="3">
        <v>6461313.6200000001</v>
      </c>
      <c r="G2192">
        <v>1639557.57</v>
      </c>
      <c r="H2192">
        <v>4821756.05</v>
      </c>
      <c r="I2192">
        <v>3.96</v>
      </c>
      <c r="J2192">
        <v>4.96</v>
      </c>
      <c r="K2192" t="str">
        <f t="shared" si="34"/>
        <v>Oct 2022</v>
      </c>
    </row>
    <row r="2193" spans="1:11" x14ac:dyDescent="0.25">
      <c r="A2193" s="6">
        <v>44359</v>
      </c>
      <c r="B2193" t="s">
        <v>19</v>
      </c>
      <c r="C2193" t="s">
        <v>21</v>
      </c>
      <c r="D2193" t="s">
        <v>14</v>
      </c>
      <c r="E2193">
        <v>321</v>
      </c>
      <c r="F2193" s="3">
        <v>16697682.890000001</v>
      </c>
      <c r="G2193">
        <v>3550847.24</v>
      </c>
      <c r="H2193">
        <v>13146835.65</v>
      </c>
      <c r="I2193">
        <v>2.82</v>
      </c>
      <c r="J2193">
        <v>4.25</v>
      </c>
      <c r="K2193" t="str">
        <f t="shared" si="34"/>
        <v>Jun 2021</v>
      </c>
    </row>
    <row r="2194" spans="1:11" x14ac:dyDescent="0.25">
      <c r="A2194" s="6">
        <v>44262</v>
      </c>
      <c r="B2194" t="s">
        <v>19</v>
      </c>
      <c r="C2194" t="s">
        <v>22</v>
      </c>
      <c r="D2194" t="s">
        <v>12</v>
      </c>
      <c r="E2194">
        <v>405</v>
      </c>
      <c r="F2194" s="3">
        <v>16834212.030000001</v>
      </c>
      <c r="G2194">
        <v>5629889.6399999997</v>
      </c>
      <c r="H2194">
        <v>11204322.390000001</v>
      </c>
      <c r="I2194">
        <v>4.17</v>
      </c>
      <c r="J2194">
        <v>4.4000000000000004</v>
      </c>
      <c r="K2194" t="str">
        <f t="shared" si="34"/>
        <v>Mar 2021</v>
      </c>
    </row>
    <row r="2195" spans="1:11" x14ac:dyDescent="0.25">
      <c r="A2195" s="6">
        <v>44078</v>
      </c>
      <c r="B2195" t="s">
        <v>19</v>
      </c>
      <c r="C2195" t="s">
        <v>20</v>
      </c>
      <c r="D2195" t="s">
        <v>17</v>
      </c>
      <c r="E2195">
        <v>100</v>
      </c>
      <c r="F2195" s="3">
        <v>4554549.2</v>
      </c>
      <c r="G2195">
        <v>1315811.74</v>
      </c>
      <c r="H2195">
        <v>3238737.46</v>
      </c>
      <c r="I2195">
        <v>3.13</v>
      </c>
      <c r="J2195">
        <v>3.81</v>
      </c>
      <c r="K2195" t="str">
        <f t="shared" si="34"/>
        <v>Sep 2020</v>
      </c>
    </row>
    <row r="2196" spans="1:11" x14ac:dyDescent="0.25">
      <c r="A2196" s="6">
        <v>44625</v>
      </c>
      <c r="B2196" t="s">
        <v>19</v>
      </c>
      <c r="C2196" t="s">
        <v>20</v>
      </c>
      <c r="D2196" t="s">
        <v>17</v>
      </c>
      <c r="E2196">
        <v>102</v>
      </c>
      <c r="F2196" s="3">
        <v>4064434.16</v>
      </c>
      <c r="G2196">
        <v>994324.44</v>
      </c>
      <c r="H2196">
        <v>3070109.72</v>
      </c>
      <c r="I2196">
        <v>4.3099999999999996</v>
      </c>
      <c r="J2196">
        <v>3.77</v>
      </c>
      <c r="K2196" t="str">
        <f t="shared" si="34"/>
        <v>Mar 2022</v>
      </c>
    </row>
    <row r="2197" spans="1:11" x14ac:dyDescent="0.25">
      <c r="A2197" s="6">
        <v>45182</v>
      </c>
      <c r="B2197" t="s">
        <v>19</v>
      </c>
      <c r="C2197" t="s">
        <v>23</v>
      </c>
      <c r="D2197" t="s">
        <v>12</v>
      </c>
      <c r="E2197">
        <v>241</v>
      </c>
      <c r="F2197" s="3">
        <v>19405834.710000001</v>
      </c>
      <c r="G2197">
        <v>4890783.33</v>
      </c>
      <c r="H2197">
        <v>14515051.369999999</v>
      </c>
      <c r="I2197">
        <v>4.05</v>
      </c>
      <c r="J2197">
        <v>3.68</v>
      </c>
      <c r="K2197" t="str">
        <f t="shared" si="34"/>
        <v>Sep 2023</v>
      </c>
    </row>
    <row r="2198" spans="1:11" x14ac:dyDescent="0.25">
      <c r="A2198" s="6">
        <v>44690</v>
      </c>
      <c r="B2198" t="s">
        <v>19</v>
      </c>
      <c r="C2198" t="s">
        <v>22</v>
      </c>
      <c r="D2198" t="s">
        <v>17</v>
      </c>
      <c r="E2198">
        <v>436</v>
      </c>
      <c r="F2198" s="3">
        <v>19971757.469999999</v>
      </c>
      <c r="G2198">
        <v>7142915.5899999999</v>
      </c>
      <c r="H2198">
        <v>12828841.880000001</v>
      </c>
      <c r="I2198">
        <v>0.69</v>
      </c>
      <c r="J2198">
        <v>3.98</v>
      </c>
      <c r="K2198" t="str">
        <f t="shared" si="34"/>
        <v>May 2022</v>
      </c>
    </row>
    <row r="2199" spans="1:11" x14ac:dyDescent="0.25">
      <c r="A2199" s="6">
        <v>44667</v>
      </c>
      <c r="B2199" t="s">
        <v>19</v>
      </c>
      <c r="C2199" t="s">
        <v>20</v>
      </c>
      <c r="D2199" t="s">
        <v>17</v>
      </c>
      <c r="E2199">
        <v>316</v>
      </c>
      <c r="F2199" s="3">
        <v>23301347.789999999</v>
      </c>
      <c r="G2199">
        <v>4993027.34</v>
      </c>
      <c r="H2199">
        <v>18308320.449999999</v>
      </c>
      <c r="I2199">
        <v>3.82</v>
      </c>
      <c r="J2199">
        <v>3.96</v>
      </c>
      <c r="K2199" t="str">
        <f t="shared" si="34"/>
        <v>Apr 2022</v>
      </c>
    </row>
    <row r="2200" spans="1:11" x14ac:dyDescent="0.25">
      <c r="A2200" s="6">
        <v>44137</v>
      </c>
      <c r="B2200" t="s">
        <v>19</v>
      </c>
      <c r="C2200" t="s">
        <v>21</v>
      </c>
      <c r="D2200" t="s">
        <v>14</v>
      </c>
      <c r="E2200">
        <v>63</v>
      </c>
      <c r="F2200" s="3">
        <v>4617306.84</v>
      </c>
      <c r="G2200">
        <v>1668814.22</v>
      </c>
      <c r="H2200">
        <v>2948492.62</v>
      </c>
      <c r="I2200">
        <v>0.92</v>
      </c>
      <c r="J2200">
        <v>4.3</v>
      </c>
      <c r="K2200" t="str">
        <f t="shared" si="34"/>
        <v>Nov 2020</v>
      </c>
    </row>
    <row r="2201" spans="1:11" x14ac:dyDescent="0.25">
      <c r="A2201" s="6">
        <v>44518</v>
      </c>
      <c r="B2201" t="s">
        <v>19</v>
      </c>
      <c r="C2201" t="s">
        <v>24</v>
      </c>
      <c r="D2201" t="s">
        <v>17</v>
      </c>
      <c r="E2201">
        <v>59</v>
      </c>
      <c r="F2201" s="3">
        <v>4421145.34</v>
      </c>
      <c r="G2201">
        <v>1661198.5</v>
      </c>
      <c r="H2201">
        <v>2759946.84</v>
      </c>
      <c r="I2201">
        <v>1.86</v>
      </c>
      <c r="J2201">
        <v>4.3</v>
      </c>
      <c r="K2201" t="str">
        <f t="shared" si="34"/>
        <v>Nov 2021</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11177D-AB7F-4D73-9A48-FD35DDDC47E2}">
  <dimension ref="B5:B8"/>
  <sheetViews>
    <sheetView topLeftCell="B1" workbookViewId="0">
      <selection activeCell="S15" sqref="S15"/>
    </sheetView>
  </sheetViews>
  <sheetFormatPr defaultRowHeight="15" x14ac:dyDescent="0.25"/>
  <cols>
    <col min="1" max="1" width="13.140625" bestFit="1" customWidth="1"/>
    <col min="2" max="2" width="19" bestFit="1" customWidth="1"/>
  </cols>
  <sheetData>
    <row r="5" spans="2:2" x14ac:dyDescent="0.25">
      <c r="B5" s="3">
        <f>SUM(CarData!F:F)</f>
        <v>37423578289.339981</v>
      </c>
    </row>
    <row r="6" spans="2:2" x14ac:dyDescent="0.25">
      <c r="B6">
        <f>SUM(CarData!E:E)</f>
        <v>602462</v>
      </c>
    </row>
    <row r="7" spans="2:2" x14ac:dyDescent="0.25">
      <c r="B7" s="4">
        <f>SUM(CarData!G:G)</f>
        <v>11353406968.200008</v>
      </c>
    </row>
    <row r="8" spans="2:2" x14ac:dyDescent="0.25">
      <c r="B8" t="str">
        <f>INDEX(car_data[Region], MATCH(MAX(car_data[Revenue]), car_data[Revenue], 0))</f>
        <v>North America</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48D3EF-69C6-40DF-989F-7BF5474FA1B9}">
  <dimension ref="A1"/>
  <sheetViews>
    <sheetView showGridLines="0" showRowColHeaders="0" tabSelected="1" topLeftCell="A8" zoomScale="85" zoomScaleNormal="85" workbookViewId="0">
      <selection activeCell="AC32" sqref="AC32"/>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E99F9C5-D484-4CB6-8E7A-E1E26F6D4EF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4</vt:i4>
      </vt:variant>
    </vt:vector>
  </HeadingPairs>
  <TitlesOfParts>
    <vt:vector size="11" baseType="lpstr">
      <vt:lpstr>Sheet1 (2)</vt:lpstr>
      <vt:lpstr>Sheet1 (3)</vt:lpstr>
      <vt:lpstr>Sheet8</vt:lpstr>
      <vt:lpstr>Sheet3</vt:lpstr>
      <vt:lpstr>CarData</vt:lpstr>
      <vt:lpstr>dashboard</vt:lpstr>
      <vt:lpstr>MAI DASBOARD</vt:lpstr>
      <vt:lpstr>topregion</vt:lpstr>
      <vt:lpstr>totalprofit</vt:lpstr>
      <vt:lpstr>Totalrevenue</vt:lpstr>
      <vt:lpstr>totalunitsold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1234</dc:creator>
  <cp:lastModifiedBy>1234</cp:lastModifiedBy>
  <dcterms:created xsi:type="dcterms:W3CDTF">2025-10-24T03:07:03Z</dcterms:created>
  <dcterms:modified xsi:type="dcterms:W3CDTF">2026-01-13T05:13:21Z</dcterms:modified>
</cp:coreProperties>
</file>